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amie\Documents\Friends\Rachie\CCSpits\AndyWeb\js\"/>
    </mc:Choice>
  </mc:AlternateContent>
  <bookViews>
    <workbookView xWindow="0" yWindow="0" windowWidth="28800" windowHeight="13020"/>
  </bookViews>
  <sheets>
    <sheet name="READ_ME" sheetId="2" r:id="rId1"/>
    <sheet name="Data" sheetId="8" r:id="rId2"/>
    <sheet name="Configuration" sheetId="5" r:id="rId3"/>
    <sheet name="FullList" sheetId="9" r:id="rId4"/>
  </sheets>
  <functionGroups builtInGroupCount="18"/>
  <definedNames>
    <definedName name="_xlnm._FilterDatabase" localSheetId="1" hidden="1">Data!$A$1:$AJ$1</definedName>
    <definedName name="_xlnm._FilterDatabase" localSheetId="3" hidden="1">FullList!$A$1:$X$133</definedName>
    <definedName name="DateLastUpdated">READ_ME!$O$1</definedName>
    <definedName name="LinkDetails">Configuration!$B$6:$C$13</definedName>
    <definedName name="PopupDetails">Configuration!$B$3</definedName>
  </definedNames>
  <calcPr calcId="152511"/>
</workbook>
</file>

<file path=xl/calcChain.xml><?xml version="1.0" encoding="utf-8"?>
<calcChain xmlns="http://schemas.openxmlformats.org/spreadsheetml/2006/main">
  <c r="F3" i="8" l="1"/>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2" i="8"/>
  <c r="G3" i="8"/>
  <c r="H3" i="8"/>
  <c r="G4" i="8"/>
  <c r="H4" i="8"/>
  <c r="G5" i="8"/>
  <c r="H5" i="8"/>
  <c r="G6" i="8"/>
  <c r="H6" i="8"/>
  <c r="G7" i="8"/>
  <c r="H7" i="8"/>
  <c r="G8" i="8"/>
  <c r="H8" i="8"/>
  <c r="G9" i="8"/>
  <c r="H9" i="8"/>
  <c r="G10" i="8"/>
  <c r="H10" i="8"/>
  <c r="G11" i="8"/>
  <c r="H11" i="8"/>
  <c r="G12" i="8"/>
  <c r="H12" i="8"/>
  <c r="G13" i="8"/>
  <c r="H13" i="8"/>
  <c r="G14" i="8"/>
  <c r="H14" i="8"/>
  <c r="G15" i="8"/>
  <c r="H15" i="8"/>
  <c r="G16" i="8"/>
  <c r="H16" i="8"/>
  <c r="G17" i="8"/>
  <c r="H17" i="8"/>
  <c r="G18" i="8"/>
  <c r="H18" i="8"/>
  <c r="G19" i="8"/>
  <c r="H19" i="8"/>
  <c r="G20" i="8"/>
  <c r="H20" i="8"/>
  <c r="G21" i="8"/>
  <c r="H21" i="8"/>
  <c r="G22" i="8"/>
  <c r="H22" i="8"/>
  <c r="G23" i="8"/>
  <c r="H23" i="8"/>
  <c r="G24" i="8"/>
  <c r="H24" i="8"/>
  <c r="G25" i="8"/>
  <c r="H25" i="8"/>
  <c r="G26" i="8"/>
  <c r="H26" i="8"/>
  <c r="G27" i="8"/>
  <c r="H27" i="8"/>
  <c r="G28" i="8"/>
  <c r="H28" i="8"/>
  <c r="G29" i="8"/>
  <c r="H29" i="8"/>
  <c r="G30" i="8"/>
  <c r="H30" i="8"/>
  <c r="G31" i="8"/>
  <c r="H31" i="8"/>
  <c r="G32" i="8"/>
  <c r="H32" i="8"/>
  <c r="G33" i="8"/>
  <c r="H33" i="8"/>
  <c r="G34" i="8"/>
  <c r="H34" i="8"/>
  <c r="G35" i="8"/>
  <c r="H35" i="8"/>
  <c r="G36" i="8"/>
  <c r="H36" i="8"/>
  <c r="G37" i="8"/>
  <c r="H37" i="8"/>
  <c r="G38" i="8"/>
  <c r="H38" i="8"/>
  <c r="G39" i="8"/>
  <c r="H39" i="8"/>
  <c r="G40" i="8"/>
  <c r="H40" i="8"/>
  <c r="G41" i="8"/>
  <c r="H41" i="8"/>
  <c r="G42" i="8"/>
  <c r="H42" i="8"/>
  <c r="G43" i="8"/>
  <c r="H43" i="8"/>
  <c r="G44" i="8"/>
  <c r="H44" i="8"/>
  <c r="G45" i="8"/>
  <c r="H45" i="8"/>
  <c r="G46" i="8"/>
  <c r="H46" i="8"/>
  <c r="G47" i="8"/>
  <c r="H47" i="8"/>
  <c r="G48" i="8"/>
  <c r="H48" i="8"/>
  <c r="G49" i="8"/>
  <c r="H49" i="8"/>
  <c r="G50" i="8"/>
  <c r="H50" i="8"/>
  <c r="G51" i="8"/>
  <c r="H51" i="8"/>
  <c r="G52" i="8"/>
  <c r="H52" i="8"/>
  <c r="G53" i="8"/>
  <c r="H53" i="8"/>
  <c r="G54" i="8"/>
  <c r="H54" i="8"/>
  <c r="G55" i="8"/>
  <c r="H55" i="8"/>
  <c r="G56" i="8"/>
  <c r="H56" i="8"/>
  <c r="G57" i="8"/>
  <c r="H57" i="8"/>
  <c r="G58" i="8"/>
  <c r="H58" i="8"/>
  <c r="G59" i="8"/>
  <c r="H59" i="8"/>
  <c r="G60" i="8"/>
  <c r="H60" i="8"/>
  <c r="G61" i="8"/>
  <c r="H61" i="8"/>
  <c r="G62" i="8"/>
  <c r="H62" i="8"/>
  <c r="G63" i="8"/>
  <c r="H63" i="8"/>
  <c r="G64" i="8"/>
  <c r="H64" i="8"/>
  <c r="G65" i="8"/>
  <c r="H65" i="8"/>
  <c r="G66" i="8"/>
  <c r="H66" i="8"/>
  <c r="G67" i="8"/>
  <c r="H67" i="8"/>
  <c r="G68" i="8"/>
  <c r="H68" i="8"/>
  <c r="G69" i="8"/>
  <c r="H69" i="8"/>
  <c r="G70" i="8"/>
  <c r="H70" i="8"/>
  <c r="G71" i="8"/>
  <c r="H71" i="8"/>
  <c r="G72" i="8"/>
  <c r="H72" i="8"/>
  <c r="G73" i="8"/>
  <c r="H73" i="8"/>
  <c r="G74" i="8"/>
  <c r="H74" i="8"/>
  <c r="G75" i="8"/>
  <c r="H75" i="8"/>
  <c r="G76" i="8"/>
  <c r="H76" i="8"/>
  <c r="G77" i="8"/>
  <c r="H77" i="8"/>
  <c r="G78" i="8"/>
  <c r="H78" i="8"/>
  <c r="G79" i="8"/>
  <c r="H79" i="8"/>
  <c r="G80" i="8"/>
  <c r="H80" i="8"/>
  <c r="G81" i="8"/>
  <c r="H81" i="8"/>
  <c r="G82" i="8"/>
  <c r="H82" i="8"/>
  <c r="G83" i="8"/>
  <c r="H83" i="8"/>
  <c r="G84" i="8"/>
  <c r="H84" i="8"/>
  <c r="G85" i="8"/>
  <c r="H85" i="8"/>
  <c r="G86" i="8"/>
  <c r="H86" i="8"/>
  <c r="G87" i="8"/>
  <c r="H87" i="8"/>
  <c r="G88" i="8"/>
  <c r="H88" i="8"/>
  <c r="G89" i="8"/>
  <c r="H89" i="8"/>
  <c r="H2" i="8"/>
  <c r="G2" i="8"/>
  <c r="V133" i="9"/>
  <c r="U133" i="9"/>
  <c r="T133" i="9"/>
  <c r="S133" i="9"/>
  <c r="R133" i="9"/>
  <c r="Q133" i="9"/>
  <c r="E133" i="9"/>
  <c r="F133" i="9" s="1"/>
  <c r="V132" i="9"/>
  <c r="U132" i="9"/>
  <c r="T132" i="9"/>
  <c r="S132" i="9"/>
  <c r="R132" i="9"/>
  <c r="Q132" i="9"/>
  <c r="E132" i="9"/>
  <c r="F132" i="9" s="1"/>
  <c r="V131" i="9"/>
  <c r="U131" i="9"/>
  <c r="T131" i="9"/>
  <c r="S131" i="9"/>
  <c r="R131" i="9"/>
  <c r="Q131" i="9"/>
  <c r="E131" i="9"/>
  <c r="F131" i="9" s="1"/>
  <c r="S130" i="9"/>
  <c r="R130" i="9"/>
  <c r="Q130" i="9"/>
  <c r="F130" i="9"/>
  <c r="E130" i="9"/>
  <c r="S129" i="9"/>
  <c r="R129" i="9"/>
  <c r="Q129" i="9"/>
  <c r="E129" i="9"/>
  <c r="F129" i="9" s="1"/>
  <c r="S128" i="9"/>
  <c r="R128" i="9"/>
  <c r="Q128" i="9"/>
  <c r="E128" i="9"/>
  <c r="F128" i="9" s="1"/>
  <c r="S127" i="9"/>
  <c r="R127" i="9"/>
  <c r="Q127" i="9"/>
  <c r="E127" i="9"/>
  <c r="F127" i="9" s="1"/>
  <c r="S126" i="9"/>
  <c r="R126" i="9"/>
  <c r="Q126" i="9"/>
  <c r="E126" i="9"/>
  <c r="F126" i="9" s="1"/>
  <c r="S125" i="9"/>
  <c r="R125" i="9"/>
  <c r="Q125" i="9"/>
  <c r="E125" i="9"/>
  <c r="F125" i="9" s="1"/>
  <c r="S124" i="9"/>
  <c r="R124" i="9"/>
  <c r="Q124" i="9"/>
  <c r="F124" i="9"/>
  <c r="E124" i="9"/>
  <c r="S123" i="9"/>
  <c r="R123" i="9"/>
  <c r="Q123" i="9"/>
  <c r="F123" i="9"/>
  <c r="E123" i="9"/>
  <c r="S122" i="9"/>
  <c r="R122" i="9"/>
  <c r="Q122" i="9"/>
  <c r="F122" i="9"/>
  <c r="E122" i="9"/>
  <c r="S121" i="9"/>
  <c r="R121" i="9"/>
  <c r="Q121" i="9"/>
  <c r="E121" i="9"/>
  <c r="F121" i="9" s="1"/>
  <c r="S120" i="9"/>
  <c r="R120" i="9"/>
  <c r="Q120" i="9"/>
  <c r="F120" i="9"/>
  <c r="E120" i="9"/>
  <c r="S119" i="9"/>
  <c r="R119" i="9"/>
  <c r="Q119" i="9"/>
  <c r="F119" i="9"/>
  <c r="E119" i="9"/>
  <c r="S118" i="9"/>
  <c r="R118" i="9"/>
  <c r="Q118" i="9"/>
  <c r="F118" i="9"/>
  <c r="E118" i="9"/>
  <c r="S117" i="9"/>
  <c r="R117" i="9"/>
  <c r="Q117" i="9"/>
  <c r="F117" i="9"/>
  <c r="E117" i="9"/>
  <c r="S116" i="9"/>
  <c r="R116" i="9"/>
  <c r="Q116" i="9"/>
  <c r="E116" i="9"/>
  <c r="F116" i="9" s="1"/>
  <c r="S115" i="9"/>
  <c r="R115" i="9"/>
  <c r="Q115" i="9"/>
  <c r="F115" i="9"/>
  <c r="E115" i="9"/>
  <c r="S114" i="9"/>
  <c r="R114" i="9"/>
  <c r="Q114" i="9"/>
  <c r="F114" i="9"/>
  <c r="E114" i="9"/>
  <c r="S113" i="9"/>
  <c r="R113" i="9"/>
  <c r="Q113" i="9"/>
  <c r="F113" i="9"/>
  <c r="E113" i="9"/>
  <c r="S112" i="9"/>
  <c r="R112" i="9"/>
  <c r="Q112" i="9"/>
  <c r="E112" i="9"/>
  <c r="F112" i="9" s="1"/>
  <c r="S111" i="9"/>
  <c r="R111" i="9"/>
  <c r="Q111" i="9"/>
  <c r="E111" i="9"/>
  <c r="F111" i="9" s="1"/>
  <c r="S110" i="9"/>
  <c r="R110" i="9"/>
  <c r="Q110" i="9"/>
  <c r="F110" i="9"/>
  <c r="E110" i="9"/>
  <c r="S109" i="9"/>
  <c r="R109" i="9"/>
  <c r="Q109" i="9"/>
  <c r="E109" i="9"/>
  <c r="F109" i="9" s="1"/>
  <c r="S108" i="9"/>
  <c r="R108" i="9"/>
  <c r="Q108" i="9"/>
  <c r="F108" i="9"/>
  <c r="E108" i="9"/>
  <c r="S107" i="9"/>
  <c r="R107" i="9"/>
  <c r="Q107" i="9"/>
  <c r="F107" i="9"/>
  <c r="E107" i="9"/>
  <c r="S106" i="9"/>
  <c r="R106" i="9"/>
  <c r="Q106" i="9"/>
  <c r="F106" i="9"/>
  <c r="E106" i="9"/>
  <c r="S105" i="9"/>
  <c r="R105" i="9"/>
  <c r="Q105" i="9"/>
  <c r="F105" i="9"/>
  <c r="E105" i="9"/>
  <c r="S104" i="9"/>
  <c r="R104" i="9"/>
  <c r="Q104" i="9"/>
  <c r="F104" i="9"/>
  <c r="E104" i="9"/>
  <c r="S103" i="9"/>
  <c r="R103" i="9"/>
  <c r="Q103" i="9"/>
  <c r="F103" i="9"/>
  <c r="E103" i="9"/>
  <c r="S102" i="9"/>
  <c r="R102" i="9"/>
  <c r="Q102" i="9"/>
  <c r="F102" i="9"/>
  <c r="E102" i="9"/>
  <c r="S101" i="9"/>
  <c r="R101" i="9"/>
  <c r="Q101" i="9"/>
  <c r="E101" i="9"/>
  <c r="F101" i="9" s="1"/>
  <c r="S100" i="9"/>
  <c r="R100" i="9"/>
  <c r="Q100" i="9"/>
  <c r="E100" i="9"/>
  <c r="F100" i="9" s="1"/>
  <c r="S99" i="9"/>
  <c r="R99" i="9"/>
  <c r="Q99" i="9"/>
  <c r="E99" i="9"/>
  <c r="F99" i="9" s="1"/>
  <c r="S98" i="9"/>
  <c r="R98" i="9"/>
  <c r="Q98" i="9"/>
  <c r="F98" i="9"/>
  <c r="E98" i="9"/>
  <c r="S97" i="9"/>
  <c r="R97" i="9"/>
  <c r="Q97" i="9"/>
  <c r="E97" i="9"/>
  <c r="F97" i="9" s="1"/>
  <c r="S96" i="9"/>
  <c r="R96" i="9"/>
  <c r="Q96" i="9"/>
  <c r="E96" i="9"/>
  <c r="F96" i="9" s="1"/>
  <c r="S95" i="9"/>
  <c r="R95" i="9"/>
  <c r="Q95" i="9"/>
  <c r="E95" i="9"/>
  <c r="F95" i="9" s="1"/>
  <c r="S94" i="9"/>
  <c r="R94" i="9"/>
  <c r="Q94" i="9"/>
  <c r="F94" i="9"/>
  <c r="E94" i="9"/>
  <c r="S93" i="9"/>
  <c r="R93" i="9"/>
  <c r="Q93" i="9"/>
  <c r="F93" i="9"/>
  <c r="E93" i="9"/>
  <c r="S92" i="9"/>
  <c r="R92" i="9"/>
  <c r="Q92" i="9"/>
  <c r="E92" i="9"/>
  <c r="F92" i="9" s="1"/>
  <c r="S91" i="9"/>
  <c r="R91" i="9"/>
  <c r="Q91" i="9"/>
  <c r="F91" i="9"/>
  <c r="E91" i="9"/>
  <c r="S90" i="9"/>
  <c r="R90" i="9"/>
  <c r="Q90" i="9"/>
  <c r="F90" i="9"/>
  <c r="E90" i="9"/>
  <c r="S89" i="9"/>
  <c r="R89" i="9"/>
  <c r="Q89" i="9"/>
  <c r="E89" i="9"/>
  <c r="F89" i="9" s="1"/>
  <c r="S88" i="9"/>
  <c r="R88" i="9"/>
  <c r="Q88" i="9"/>
  <c r="F88" i="9"/>
  <c r="E88" i="9"/>
  <c r="S87" i="9"/>
  <c r="R87" i="9"/>
  <c r="Q87" i="9"/>
  <c r="F87" i="9"/>
  <c r="E87" i="9"/>
  <c r="S86" i="9"/>
  <c r="R86" i="9"/>
  <c r="Q86" i="9"/>
  <c r="F86" i="9"/>
  <c r="E86" i="9"/>
  <c r="S85" i="9"/>
  <c r="R85" i="9"/>
  <c r="Q85" i="9"/>
  <c r="E85" i="9"/>
  <c r="F85" i="9" s="1"/>
  <c r="S84" i="9"/>
  <c r="R84" i="9"/>
  <c r="Q84" i="9"/>
  <c r="E84" i="9"/>
  <c r="F84" i="9" s="1"/>
  <c r="S83" i="9"/>
  <c r="R83" i="9"/>
  <c r="F83" i="9"/>
  <c r="E83" i="9"/>
  <c r="S82" i="9"/>
  <c r="R82" i="9"/>
  <c r="Q82" i="9"/>
  <c r="E82" i="9"/>
  <c r="F82" i="9" s="1"/>
  <c r="S81" i="9"/>
  <c r="R81" i="9"/>
  <c r="Q81" i="9"/>
  <c r="E81" i="9"/>
  <c r="F81" i="9" s="1"/>
  <c r="S80" i="9"/>
  <c r="R80" i="9"/>
  <c r="Q80" i="9"/>
  <c r="F80" i="9"/>
  <c r="E80" i="9"/>
  <c r="S79" i="9"/>
  <c r="R79" i="9"/>
  <c r="Q79" i="9"/>
  <c r="F79" i="9"/>
  <c r="E79" i="9"/>
  <c r="S78" i="9"/>
  <c r="R78" i="9"/>
  <c r="Q78" i="9"/>
  <c r="F78" i="9"/>
  <c r="E78" i="9"/>
  <c r="S77" i="9"/>
  <c r="R77" i="9"/>
  <c r="Q77" i="9"/>
  <c r="F77" i="9"/>
  <c r="E77" i="9"/>
  <c r="S76" i="9"/>
  <c r="R76" i="9"/>
  <c r="Q76" i="9"/>
  <c r="E76" i="9"/>
  <c r="F76" i="9" s="1"/>
  <c r="S75" i="9"/>
  <c r="R75" i="9"/>
  <c r="Q75" i="9"/>
  <c r="E75" i="9"/>
  <c r="F75" i="9" s="1"/>
  <c r="S74" i="9"/>
  <c r="R74" i="9"/>
  <c r="Q74" i="9"/>
  <c r="F74" i="9"/>
  <c r="E74" i="9"/>
  <c r="S73" i="9"/>
  <c r="R73" i="9"/>
  <c r="Q73" i="9"/>
  <c r="F73" i="9"/>
  <c r="E73" i="9"/>
  <c r="S72" i="9"/>
  <c r="R72" i="9"/>
  <c r="Q72" i="9"/>
  <c r="E72" i="9"/>
  <c r="F72" i="9" s="1"/>
  <c r="S71" i="9"/>
  <c r="R71" i="9"/>
  <c r="Q71" i="9"/>
  <c r="F71" i="9"/>
  <c r="E71" i="9"/>
  <c r="S70" i="9"/>
  <c r="R70" i="9"/>
  <c r="Q70" i="9"/>
  <c r="F70" i="9"/>
  <c r="E70" i="9"/>
  <c r="S69" i="9"/>
  <c r="R69" i="9"/>
  <c r="Q69" i="9"/>
  <c r="E69" i="9"/>
  <c r="F69" i="9" s="1"/>
  <c r="S68" i="9"/>
  <c r="R68" i="9"/>
  <c r="Q68" i="9"/>
  <c r="F68" i="9"/>
  <c r="E68" i="9"/>
  <c r="S67" i="9"/>
  <c r="R67" i="9"/>
  <c r="Q67" i="9"/>
  <c r="F67" i="9"/>
  <c r="E67" i="9"/>
  <c r="S66" i="9"/>
  <c r="R66" i="9"/>
  <c r="Q66" i="9"/>
  <c r="E66" i="9"/>
  <c r="F66" i="9" s="1"/>
  <c r="S65" i="9"/>
  <c r="R65" i="9"/>
  <c r="Q65" i="9"/>
  <c r="E65" i="9"/>
  <c r="F65" i="9" s="1"/>
  <c r="S64" i="9"/>
  <c r="R64" i="9"/>
  <c r="Q64" i="9"/>
  <c r="E64" i="9"/>
  <c r="F64" i="9" s="1"/>
  <c r="S63" i="9"/>
  <c r="R63" i="9"/>
  <c r="Q63" i="9"/>
  <c r="F63" i="9"/>
  <c r="E63" i="9"/>
  <c r="S62" i="9"/>
  <c r="R62" i="9"/>
  <c r="Q62" i="9"/>
  <c r="F62" i="9"/>
  <c r="E62" i="9"/>
  <c r="S61" i="9"/>
  <c r="R61" i="9"/>
  <c r="Q61" i="9"/>
  <c r="F61" i="9"/>
  <c r="E61" i="9"/>
  <c r="S60" i="9"/>
  <c r="R60" i="9"/>
  <c r="Q60" i="9"/>
  <c r="F60" i="9"/>
  <c r="E60" i="9"/>
  <c r="S59" i="9"/>
  <c r="R59" i="9"/>
  <c r="Q59" i="9"/>
  <c r="F59" i="9"/>
  <c r="E59" i="9"/>
  <c r="S58" i="9"/>
  <c r="R58" i="9"/>
  <c r="Q58" i="9"/>
  <c r="F58" i="9"/>
  <c r="E58" i="9"/>
  <c r="S57" i="9"/>
  <c r="R57" i="9"/>
  <c r="Q57" i="9"/>
  <c r="E57" i="9"/>
  <c r="F57" i="9" s="1"/>
  <c r="S56" i="9"/>
  <c r="R56" i="9"/>
  <c r="Q56" i="9"/>
  <c r="F56" i="9"/>
  <c r="E56" i="9"/>
  <c r="S55" i="9"/>
  <c r="R55" i="9"/>
  <c r="Q55" i="9"/>
  <c r="F55" i="9"/>
  <c r="E55" i="9"/>
  <c r="S54" i="9"/>
  <c r="R54" i="9"/>
  <c r="Q54" i="9"/>
  <c r="F54" i="9"/>
  <c r="E54" i="9"/>
  <c r="S53" i="9"/>
  <c r="R53" i="9"/>
  <c r="Q53" i="9"/>
  <c r="E53" i="9"/>
  <c r="F53" i="9" s="1"/>
  <c r="S52" i="9"/>
  <c r="R52" i="9"/>
  <c r="Q52" i="9"/>
  <c r="E52" i="9"/>
  <c r="F52" i="9" s="1"/>
  <c r="S51" i="9"/>
  <c r="R51" i="9"/>
  <c r="Q51" i="9"/>
  <c r="E51" i="9"/>
  <c r="F51" i="9" s="1"/>
  <c r="S50" i="9"/>
  <c r="R50" i="9"/>
  <c r="Q50" i="9"/>
  <c r="F50" i="9"/>
  <c r="E50" i="9"/>
  <c r="S49" i="9"/>
  <c r="R49" i="9"/>
  <c r="Q49" i="9"/>
  <c r="E49" i="9"/>
  <c r="F49" i="9" s="1"/>
  <c r="S48" i="9"/>
  <c r="R48" i="9"/>
  <c r="Q48" i="9"/>
  <c r="F48" i="9"/>
  <c r="E48" i="9"/>
  <c r="S47" i="9"/>
  <c r="R47" i="9"/>
  <c r="Q47" i="9"/>
  <c r="E47" i="9"/>
  <c r="F47" i="9" s="1"/>
  <c r="S46" i="9"/>
  <c r="R46" i="9"/>
  <c r="Q46" i="9"/>
  <c r="E46" i="9"/>
  <c r="F46" i="9" s="1"/>
  <c r="S45" i="9"/>
  <c r="R45" i="9"/>
  <c r="Q45" i="9"/>
  <c r="E45" i="9"/>
  <c r="F45" i="9" s="1"/>
  <c r="S44" i="9"/>
  <c r="R44" i="9"/>
  <c r="Q44" i="9"/>
  <c r="F44" i="9"/>
  <c r="E44" i="9"/>
  <c r="S43" i="9"/>
  <c r="R43" i="9"/>
  <c r="F43" i="9"/>
  <c r="E43" i="9"/>
  <c r="S42" i="9"/>
  <c r="R42" i="9"/>
  <c r="Q42" i="9"/>
  <c r="E42" i="9"/>
  <c r="F42" i="9" s="1"/>
  <c r="S41" i="9"/>
  <c r="R41" i="9"/>
  <c r="Q41" i="9"/>
  <c r="F41" i="9"/>
  <c r="E41" i="9"/>
  <c r="S40" i="9"/>
  <c r="R40" i="9"/>
  <c r="Q40" i="9"/>
  <c r="F40" i="9"/>
  <c r="E40" i="9"/>
  <c r="S39" i="9"/>
  <c r="R39" i="9"/>
  <c r="Q39" i="9"/>
  <c r="E39" i="9"/>
  <c r="F39" i="9" s="1"/>
  <c r="S38" i="9"/>
  <c r="R38" i="9"/>
  <c r="Q38" i="9"/>
  <c r="F38" i="9"/>
  <c r="E38" i="9"/>
  <c r="S37" i="9"/>
  <c r="R37" i="9"/>
  <c r="Q37" i="9"/>
  <c r="F37" i="9"/>
  <c r="E37" i="9"/>
  <c r="S36" i="9"/>
  <c r="R36" i="9"/>
  <c r="Q36" i="9"/>
  <c r="F36" i="9"/>
  <c r="E36" i="9"/>
  <c r="S35" i="9"/>
  <c r="R35" i="9"/>
  <c r="Q35" i="9"/>
  <c r="F35" i="9"/>
  <c r="E35" i="9"/>
  <c r="S34" i="9"/>
  <c r="R34" i="9"/>
  <c r="Q34" i="9"/>
  <c r="F34" i="9"/>
  <c r="E34" i="9"/>
  <c r="S33" i="9"/>
  <c r="R33" i="9"/>
  <c r="Q33" i="9"/>
  <c r="E33" i="9"/>
  <c r="F33" i="9" s="1"/>
  <c r="S32" i="9"/>
  <c r="R32" i="9"/>
  <c r="Q32" i="9"/>
  <c r="F32" i="9"/>
  <c r="E32" i="9"/>
  <c r="S31" i="9"/>
  <c r="R31" i="9"/>
  <c r="Q31" i="9"/>
  <c r="E31" i="9"/>
  <c r="F31" i="9" s="1"/>
  <c r="S30" i="9"/>
  <c r="R30" i="9"/>
  <c r="Q30" i="9"/>
  <c r="F30" i="9"/>
  <c r="E30" i="9"/>
  <c r="S29" i="9"/>
  <c r="R29" i="9"/>
  <c r="Q29" i="9"/>
  <c r="F29" i="9"/>
  <c r="E29" i="9"/>
  <c r="S28" i="9"/>
  <c r="R28" i="9"/>
  <c r="Q28" i="9"/>
  <c r="F28" i="9"/>
  <c r="E28" i="9"/>
  <c r="S27" i="9"/>
  <c r="R27" i="9"/>
  <c r="Q27" i="9"/>
  <c r="F27" i="9"/>
  <c r="E27" i="9"/>
  <c r="S26" i="9"/>
  <c r="R26" i="9"/>
  <c r="Q26" i="9"/>
  <c r="E26" i="9"/>
  <c r="F26" i="9" s="1"/>
  <c r="S25" i="9"/>
  <c r="R25" i="9"/>
  <c r="Q25" i="9"/>
  <c r="F25" i="9"/>
  <c r="E25" i="9"/>
  <c r="S24" i="9"/>
  <c r="R24" i="9"/>
  <c r="Q24" i="9"/>
  <c r="F24" i="9"/>
  <c r="E24" i="9"/>
  <c r="S23" i="9"/>
  <c r="R23" i="9"/>
  <c r="Q23" i="9"/>
  <c r="E23" i="9"/>
  <c r="F23" i="9" s="1"/>
  <c r="S22" i="9"/>
  <c r="R22" i="9"/>
  <c r="Q22" i="9"/>
  <c r="F22" i="9"/>
  <c r="E22" i="9"/>
  <c r="S21" i="9"/>
  <c r="R21" i="9"/>
  <c r="Q21" i="9"/>
  <c r="E21" i="9"/>
  <c r="F21" i="9" s="1"/>
  <c r="S20" i="9"/>
  <c r="R20" i="9"/>
  <c r="Q20" i="9"/>
  <c r="E20" i="9"/>
  <c r="F20" i="9" s="1"/>
  <c r="S19" i="9"/>
  <c r="R19" i="9"/>
  <c r="Q19" i="9"/>
  <c r="F19" i="9"/>
  <c r="E19" i="9"/>
  <c r="S18" i="9"/>
  <c r="R18" i="9"/>
  <c r="Q18" i="9"/>
  <c r="F18" i="9"/>
  <c r="E18" i="9"/>
  <c r="S17" i="9"/>
  <c r="R17" i="9"/>
  <c r="Q17" i="9"/>
  <c r="F17" i="9"/>
  <c r="E17" i="9"/>
  <c r="S16" i="9"/>
  <c r="R16" i="9"/>
  <c r="Q16" i="9"/>
  <c r="F16" i="9"/>
  <c r="E16" i="9"/>
  <c r="S15" i="9"/>
  <c r="R15" i="9"/>
  <c r="Q15" i="9"/>
  <c r="E15" i="9"/>
  <c r="F15" i="9" s="1"/>
  <c r="S14" i="9"/>
  <c r="R14" i="9"/>
  <c r="Q14" i="9"/>
  <c r="F14" i="9"/>
  <c r="E14" i="9"/>
  <c r="S13" i="9"/>
  <c r="R13" i="9"/>
  <c r="Q13" i="9"/>
  <c r="F13" i="9"/>
  <c r="E13" i="9"/>
  <c r="S12" i="9"/>
  <c r="R12" i="9"/>
  <c r="Q12" i="9"/>
  <c r="E12" i="9"/>
  <c r="F12" i="9" s="1"/>
  <c r="S11" i="9"/>
  <c r="R11" i="9"/>
  <c r="Q11" i="9"/>
  <c r="F11" i="9"/>
  <c r="E11" i="9"/>
  <c r="S10" i="9"/>
  <c r="R10" i="9"/>
  <c r="Q10" i="9"/>
  <c r="E10" i="9"/>
  <c r="F10" i="9" s="1"/>
  <c r="S9" i="9"/>
  <c r="R9" i="9"/>
  <c r="Q9" i="9"/>
  <c r="F9" i="9"/>
  <c r="E9" i="9"/>
  <c r="S8" i="9"/>
  <c r="R8" i="9"/>
  <c r="Q8" i="9"/>
  <c r="F8" i="9"/>
  <c r="E8" i="9"/>
  <c r="S7" i="9"/>
  <c r="R7" i="9"/>
  <c r="Q7" i="9"/>
  <c r="F7" i="9"/>
  <c r="E7" i="9"/>
  <c r="S6" i="9"/>
  <c r="R6" i="9"/>
  <c r="Q6" i="9"/>
  <c r="E6" i="9"/>
  <c r="F6" i="9" s="1"/>
  <c r="S5" i="9"/>
  <c r="R5" i="9"/>
  <c r="Q5" i="9"/>
  <c r="E5" i="9"/>
  <c r="F5" i="9" s="1"/>
  <c r="S4" i="9"/>
  <c r="R4" i="9"/>
  <c r="Q4" i="9"/>
  <c r="F4" i="9"/>
  <c r="E4" i="9"/>
  <c r="S3" i="9"/>
  <c r="R3" i="9"/>
  <c r="Q3" i="9"/>
  <c r="F3" i="9"/>
  <c r="E3" i="9"/>
  <c r="S2" i="9"/>
  <c r="R2" i="9"/>
  <c r="Q2" i="9"/>
  <c r="F2" i="9"/>
  <c r="E2" i="9"/>
</calcChain>
</file>

<file path=xl/sharedStrings.xml><?xml version="1.0" encoding="utf-8"?>
<sst xmlns="http://schemas.openxmlformats.org/spreadsheetml/2006/main" count="2984" uniqueCount="1127">
  <si>
    <t>Brownswood Park (St John the Evangelist)</t>
  </si>
  <si>
    <t>Clapton (St James)</t>
  </si>
  <si>
    <t>Clapton, Upper (St Matthew)</t>
  </si>
  <si>
    <t>Stamford Hill (St Thomas)</t>
  </si>
  <si>
    <t>Dalston (Holy Trinity) with St Philip and Haggerston All Saints</t>
  </si>
  <si>
    <t>Dalston (St Mark with St Bartholomew)</t>
  </si>
  <si>
    <t>De Beauvoir Town (St Peter)</t>
  </si>
  <si>
    <t>Hackney Marsh (All Souls)</t>
  </si>
  <si>
    <t>St Barnabas, Homerton</t>
  </si>
  <si>
    <t>Hackney Wick (St Mary of Eton)</t>
  </si>
  <si>
    <t>Hackney, South (St John of Jerusalem) with Christ Church</t>
  </si>
  <si>
    <t>Hackney, South (St Michael and All Angels) London Fields with Haggerston St Paul</t>
  </si>
  <si>
    <t>Hackney, West (St Paul)</t>
  </si>
  <si>
    <t>St Paul, West Hackney</t>
  </si>
  <si>
    <t>Haggerston (St Chad)</t>
  </si>
  <si>
    <t>Hoxton (Holy Trinity) (St Mary)</t>
  </si>
  <si>
    <t>Hoxton (St Anne) (St Columba)</t>
  </si>
  <si>
    <t>Grace Church Hackney</t>
  </si>
  <si>
    <t>Hoxton (St John the Baptist) with Ch Ch</t>
  </si>
  <si>
    <t>Shoreditch (St Leonard) with St Michael</t>
  </si>
  <si>
    <t>Stamford Hill (St Bartholomew)</t>
  </si>
  <si>
    <t>Stoke Newington (St Andrew)</t>
  </si>
  <si>
    <t>Stoke Newington (St Mary) (Old Parish Church)</t>
  </si>
  <si>
    <t>Stoke Newington (St Olave)</t>
  </si>
  <si>
    <t>Stoke Newington Common (St Michael and All Angels)</t>
  </si>
  <si>
    <t>Stoke Newington St Faith (St Matthias) and All Saints</t>
  </si>
  <si>
    <t>All Saints Haggerston</t>
  </si>
  <si>
    <t>Church</t>
  </si>
  <si>
    <t>ChurchWebsite</t>
  </si>
  <si>
    <t>Hackney</t>
  </si>
  <si>
    <t>Bethnal Green (St Barnabas)</t>
  </si>
  <si>
    <t>Bethnal Green (St James the Less)</t>
  </si>
  <si>
    <t>Bethnal Green (St Matthew with St James the Great)</t>
  </si>
  <si>
    <t>Bethnal Green (St Peter) (St Thomas)</t>
  </si>
  <si>
    <t>Bow (St Mary) &amp; Holy Trinity with Bromley St Leonard</t>
  </si>
  <si>
    <t>St Mary and Holy Trinity, Bow</t>
  </si>
  <si>
    <t>Bow Common (St Paul)</t>
  </si>
  <si>
    <t>Bromley By Bow (All Hallows)</t>
  </si>
  <si>
    <t>Isle of Dogs (Christ Church and St John) (St Luke)</t>
  </si>
  <si>
    <t>Limehouse (St Anne) (St Peter)</t>
  </si>
  <si>
    <t>St Anne, Limehouse</t>
  </si>
  <si>
    <t>London Docks (St Peter) with Wapping St John</t>
  </si>
  <si>
    <t>Old Ford (St Paul) (St Mark)</t>
  </si>
  <si>
    <t>Shadwell (St Paul) with Ratcliffe St James</t>
  </si>
  <si>
    <t>Spitalfields (Christ Church with All Saints)</t>
  </si>
  <si>
    <t>St George-In-The-East (St Mary)</t>
  </si>
  <si>
    <t>St George-In-The-East with St Paul</t>
  </si>
  <si>
    <t>St John On Bethnal Green</t>
  </si>
  <si>
    <t>St John on Bethnal Green</t>
  </si>
  <si>
    <t>Stepney (St Dunstan and All Saints)</t>
  </si>
  <si>
    <t>TowerHamlets</t>
  </si>
  <si>
    <t>The Church on the Corner</t>
  </si>
  <si>
    <t>Canonbury (St Stephen)</t>
  </si>
  <si>
    <t>Clerkenwell (Our Most Holy Redeemer)</t>
  </si>
  <si>
    <t>Clerkenwell (St Mark)</t>
  </si>
  <si>
    <t>Trinity Church Islington</t>
  </si>
  <si>
    <t>Finsbury (St Clement) (St Barnabas) (St Matthew)</t>
  </si>
  <si>
    <t>Finsbury Park (St Thomas)</t>
  </si>
  <si>
    <t>Highbury (Christ Church) (St John) (St Saviour)</t>
  </si>
  <si>
    <t>Highbury New Park (St Augustine)</t>
  </si>
  <si>
    <t>Holloway, West (St Luke)</t>
  </si>
  <si>
    <t>Hornsey Rise (St Mary)</t>
  </si>
  <si>
    <t>Whitehall Park (St Andrew)</t>
  </si>
  <si>
    <t>Holloway, Upper (St John the Evangelist)</t>
  </si>
  <si>
    <t>St John the Evangelist, Upper Holloway</t>
  </si>
  <si>
    <t>Islington (St James the Apostle) (St Peter)</t>
  </si>
  <si>
    <t>Islington (St Mary)</t>
  </si>
  <si>
    <t>Mildmay Grove (St Jude and St Paul)</t>
  </si>
  <si>
    <t>Pentonville (St Silas with All Saints) (St James)</t>
  </si>
  <si>
    <t>Tollington (St Mark)</t>
  </si>
  <si>
    <t>Tufnell Park (St George and All Saints)</t>
  </si>
  <si>
    <t>Islington</t>
  </si>
  <si>
    <t>ElectoralRoll</t>
  </si>
  <si>
    <t>TotalIncome</t>
  </si>
  <si>
    <t>CommonFundPayment</t>
  </si>
  <si>
    <t>Deanery summary information</t>
  </si>
  <si>
    <t>WikipediaPageForChurch</t>
  </si>
  <si>
    <t/>
  </si>
  <si>
    <t>http://www.stmarkdalston.org.uk/</t>
  </si>
  <si>
    <t>http://www.shoreditchchurch.org.uk/</t>
  </si>
  <si>
    <t>https://www.st-matthews.co.uk/</t>
  </si>
  <si>
    <t>http://stlukesmillwall.org/</t>
  </si>
  <si>
    <t>https://barnsburyparish.com/</t>
  </si>
  <si>
    <t>http://www.tollingtonparish.org.uk/</t>
  </si>
  <si>
    <t>https://en.wikipedia.org/wiki/St_John_the_Baptist,_Hoxton</t>
  </si>
  <si>
    <t>https://en.wikipedia.org/wiki/St_Leonard%27s,_Shoreditch</t>
  </si>
  <si>
    <t>https://en.wikipedia.org/wiki/St_Andrew,_Stoke_Newington</t>
  </si>
  <si>
    <t>https://en.wikipedia.org/wiki/St_Matthias%27_Church,_Stoke_Newington</t>
  </si>
  <si>
    <t>https://en.wikipedia.org/wiki/Our_Most_Holy_Redeemer</t>
  </si>
  <si>
    <t>https://en.wikipedia.org/wiki/St_Mark%27s_Church,_Myddelton_Square</t>
  </si>
  <si>
    <t>https://en.wikipedia.org/wiki/St_Clement%27s,_King_Square</t>
  </si>
  <si>
    <t>https://en.wikipedia.org/wiki/Christ_Church_Highbury</t>
  </si>
  <si>
    <t>https://en.wikipedia.org/wiki/St_James%27_Church,_Islington</t>
  </si>
  <si>
    <t>https://en.wikipedia.org/wiki/St_Mary%27s_Church,_Islington</t>
  </si>
  <si>
    <t>https://en.wikipedia.org/wiki/St_Barnabas%27s,_Bethnal_Green</t>
  </si>
  <si>
    <t>https://en.wikipedia.org/wiki/St_James-the-Less,_Bethnal_Green</t>
  </si>
  <si>
    <t>https://en.wikipedia.org/wiki/St_Matthew%27s,_Bethnal_Green</t>
  </si>
  <si>
    <t>https://en.wikipedia.org/wiki/St_Peter%27s,_Bethnal_Green</t>
  </si>
  <si>
    <t>https://en.wikipedia.org/wiki/Bow_Church</t>
  </si>
  <si>
    <t>https://en.wikipedia.org/wiki/St_Paul%27s,_Bow_Common</t>
  </si>
  <si>
    <t>https://en.wikipedia.org/wiki/All_Hallows,_Bow</t>
  </si>
  <si>
    <t>https://en.wikipedia.org/wiki/St_Anne%27s,_Limehouse</t>
  </si>
  <si>
    <t>https://en.wikipedia.org/wiki/St_Peter%27s,_London_Docks</t>
  </si>
  <si>
    <t>https://en.wikipedia.org/wiki/St_Paul_Old_Ford</t>
  </si>
  <si>
    <t>https://en.wikipedia.org/wiki/St_Paul%27s_Church,_Shadwell</t>
  </si>
  <si>
    <t>https://en.wikipedia.org/wiki/Christ_Church,_Spitalfields</t>
  </si>
  <si>
    <t>https://en.wikipedia.org/wiki/St_George_in_the_East,_Stepney</t>
  </si>
  <si>
    <t>https://en.wikipedia.org/wiki/St_John_on_Bethnal_Green</t>
  </si>
  <si>
    <t>WikipediaPageBeneficeOrLocality</t>
  </si>
  <si>
    <t>https://en.wikipedia.org/wiki/Upper_Clapton</t>
  </si>
  <si>
    <t>https://en.wikipedia.org/wiki/Stamford_Hill</t>
  </si>
  <si>
    <t>https://en.wikipedia.org/wiki/Dalston</t>
  </si>
  <si>
    <t>https://en.wikipedia.org/wiki/De_Beauvoir_Town</t>
  </si>
  <si>
    <t>https://en.wikipedia.org/wiki/Hackney_Wick</t>
  </si>
  <si>
    <t>https://en.wikipedia.org/wiki/South_Hackney</t>
  </si>
  <si>
    <t>https://en.wikipedia.org/wiki/West_Hackney</t>
  </si>
  <si>
    <t>https://en.wikipedia.org/wiki/Haggerston</t>
  </si>
  <si>
    <t>https://en.wikipedia.org/wiki/Hoxton</t>
  </si>
  <si>
    <t>https://en.wikipedia.org/wiki/Shoreditch</t>
  </si>
  <si>
    <t>https://en.wikipedia.org/wiki/Stoke_Newington</t>
  </si>
  <si>
    <t>https://en.wikipedia.org/wiki/Stoke_Newington_Common</t>
  </si>
  <si>
    <t>https://en.wikipedia.org/wiki/Canonbury</t>
  </si>
  <si>
    <t>https://en.wikipedia.org/wiki/Clerkenwell</t>
  </si>
  <si>
    <t>https://en.wikipedia.org/wiki/Finsbury</t>
  </si>
  <si>
    <t>https://en.wikipedia.org/wiki/Finsbury_Park_(area)</t>
  </si>
  <si>
    <t>https://en.wikipedia.org/wiki/Highbury</t>
  </si>
  <si>
    <t>https://en.wikipedia.org/wiki/Highbury_New_Park</t>
  </si>
  <si>
    <t>https://en.wikipedia.org/wiki/Hornsey</t>
  </si>
  <si>
    <t>https://en.wikipedia.org/wiki/Upper_Holloway</t>
  </si>
  <si>
    <t>https://en.wikipedia.org/wiki/Islington</t>
  </si>
  <si>
    <t>https://en.wikipedia.org/wiki/Pentonville</t>
  </si>
  <si>
    <t>https://en.wikipedia.org/wiki/Tollington_(ward)</t>
  </si>
  <si>
    <t>https://en.wikipedia.org/wiki/Tufnell_Park</t>
  </si>
  <si>
    <t>https://en.wikipedia.org/wiki/Bethnal_Green</t>
  </si>
  <si>
    <t>https://en.wikipedia.org/wiki/Bow,_London</t>
  </si>
  <si>
    <t>https://en.wikipedia.org/wiki/Bow_Common</t>
  </si>
  <si>
    <t>https://en.wikipedia.org/wiki/Bromley-by-Bow</t>
  </si>
  <si>
    <t>https://en.wikipedia.org/wiki/Isle_of_Dogs</t>
  </si>
  <si>
    <t>https://en.wikipedia.org/wiki/Limehouse</t>
  </si>
  <si>
    <t>https://en.wikipedia.org/wiki/London_Docks</t>
  </si>
  <si>
    <t>https://en.wikipedia.org/wiki/Old_Ford</t>
  </si>
  <si>
    <t>https://en.wikipedia.org/wiki/Shadwell</t>
  </si>
  <si>
    <t>https://en.wikipedia.org/wiki/Spitalfields</t>
  </si>
  <si>
    <t>https://en.wikipedia.org/wiki/St_George_in_the_East_(parish)</t>
  </si>
  <si>
    <t>https://en.wikipedia.org/wiki/Stepney</t>
  </si>
  <si>
    <t>https://www.crockford.org.uk/places/12504/the-benefice-of-brownswood-park-(st-john-the-evangelist)</t>
  </si>
  <si>
    <t>https://www.crockford.org.uk/places/12523/the-benefice-of-clapton-(st-james)</t>
  </si>
  <si>
    <t>https://www.crockford.org.uk/places/13070/the-benefice-of-clapton,-upper-(st-matthew)</t>
  </si>
  <si>
    <t>https://www.crockford.org.uk/places/13020/the-benefice-of-stamford-hill-(st-thomas)</t>
  </si>
  <si>
    <t>https://www.crockford.org.uk/places/12544/the-benefice-of-dalston-(holy-trinity)-with-st-philip-and-haggerston-all-saints</t>
  </si>
  <si>
    <t>https://www.crockford.org.uk/places/12545/the-benefice-of-dalston-(st-mark-with-st-bartholomew)</t>
  </si>
  <si>
    <t>https://www.crockford.org.uk/places/12547/the-benefice-of-de-beauvoir-town-(st-peter)</t>
  </si>
  <si>
    <t>https://www.crockford.org.uk/places/12627/the-benefice-of-hackney-marsh-(all-souls)</t>
  </si>
  <si>
    <t>https://www.crockford.org.uk/places/12628/the-benefice-of-hackney-wick-(st-mary-of-eton)</t>
  </si>
  <si>
    <t>https://www.crockford.org.uk/places/12982/the-benefice-of-hackney,-south-(st-john-of-jerusalem)-with-christ-church</t>
  </si>
  <si>
    <t>https://www.crockford.org.uk/places/12984/the-benefice-of-hackney,-south-(st-michael-and-all-angels)-london-fields-with-haggerston-st-paul</t>
  </si>
  <si>
    <t>https://www.crockford.org.uk/places/13099/the-benefice-of-hackney,-west-(st-paul)</t>
  </si>
  <si>
    <t>https://www.crockford.org.uk/places/12633/the-benefice-of-haggerston-(st-chad)</t>
  </si>
  <si>
    <t>https://www.crockford.org.uk/places/12735/the-benefice-of-hoxton-(holy-trinity)-(st-mary)</t>
  </si>
  <si>
    <t>https://www.crockford.org.uk/places/12738/the-benefice-of-hoxton-(st-anne)-(st-columba)</t>
  </si>
  <si>
    <t>https://www.crockford.org.uk/places/12741/the-benefice-of-hoxton-(st-john-the-baptist)-with-ch-ch</t>
  </si>
  <si>
    <t>https://www.crockford.org.uk/places/12977/the-benefice-of-shoreditch-(st-leonard)-with-st-michael</t>
  </si>
  <si>
    <t>https://www.crockford.org.uk/places/13018/the-benefice-of-stamford-hill-(st-bartholomew)</t>
  </si>
  <si>
    <t>https://www.crockford.org.uk/places/13028/the-benefice-of-stoke-newington-(st-andrew)</t>
  </si>
  <si>
    <t>https://www.crockford.org.uk/places/13030/the-benefice-of-stoke-newington-(st-mary)-(old-parish-church)</t>
  </si>
  <si>
    <t>https://www.crockford.org.uk/places/13031/the-benefice-of-stoke-newington-(st-olave)</t>
  </si>
  <si>
    <t>https://www.crockford.org.uk/places/13032/the-benefice-of-stoke-newington-common-(st-michael-and-all-angels)</t>
  </si>
  <si>
    <t>https://www.crockford.org.uk/places/13029/the-benefice-of-stoke-newington-st-faith-(st-matthias)-and-all-saints</t>
  </si>
  <si>
    <t>https://www.crockford.org.uk/places/12509/the-benefice-of-canonbury-(st-stephen)</t>
  </si>
  <si>
    <t>https://www.crockford.org.uk/places/12530/the-benefice-of-clerkenwell-(our-most-holy-redeemer)</t>
  </si>
  <si>
    <t>https://www.crockford.org.uk/places/12532/the-benefice-of-clerkenwell-(st-mark)</t>
  </si>
  <si>
    <t>https://www.crockford.org.uk/places/12592/the-benefice-of-finsbury-(st-clement)-(st-barnabas)-(st-matthew)</t>
  </si>
  <si>
    <t>https://www.crockford.org.uk/places/12593/the-benefice-of-finsbury-park-(st-thomas)</t>
  </si>
  <si>
    <t>https://www.crockford.org.uk/places/12696/the-benefice-of-highbury-(christ-church)-(st-john)-(st-saviour)</t>
  </si>
  <si>
    <t>https://www.crockford.org.uk/places/12698/the-benefice-of-highbury-new-park-(st-augustine)</t>
  </si>
  <si>
    <t>https://www.crockford.org.uk/places/13108/the-benefice-of-holloway,-west-(st-luke)</t>
  </si>
  <si>
    <t>https://www.crockford.org.uk/places/12728/the-benefice-of-hornsey-rise-(st-mary)</t>
  </si>
  <si>
    <t>https://www.crockford.org.uk/places/13123/the-benefice-of-whitehall-park-(st-andrew)</t>
  </si>
  <si>
    <t>https://www.crockford.org.uk/places/13074/the-benefice-of-holloway,-upper-(st-john-the-evangelist)</t>
  </si>
  <si>
    <t>https://www.crockford.org.uk/places/12752/the-benefice-of-islington-(st-james-the-apostle)-(st-peter)</t>
  </si>
  <si>
    <t>https://www.crockford.org.uk/places/12755/the-benefice-of-islington-(st-mary)</t>
  </si>
  <si>
    <t>https://www.crockford.org.uk/places/12834/the-benefice-of-mildmay-grove-(st-jude-and-st-paul)</t>
  </si>
  <si>
    <t>https://www.crockford.org.uk/places/12911/the-benefice-of-pentonville-(st-silas-with-all-saints)-(st-james)</t>
  </si>
  <si>
    <t>https://www.crockford.org.uk/places/13044/the-benefice-of-tollington-(st-mark)</t>
  </si>
  <si>
    <t>https://www.crockford.org.uk/places/13058/the-benefice-of-tufnell-park-(st-george-and-all-saints)</t>
  </si>
  <si>
    <t>https://www.crockford.org.uk/places/12472/the-benefice-of-bethnal-green-(st-barnabas)</t>
  </si>
  <si>
    <t>https://www.crockford.org.uk/places/12476/the-benefice-of-bethnal-green-(st-james-the-less)</t>
  </si>
  <si>
    <t>https://www.crockford.org.uk/places/12481/the-benefice-of-bethnal-green-(st-matthew-with-st-james-the-great)</t>
  </si>
  <si>
    <t>https://www.crockford.org.uk/places/12482/the-benefice-of-bethnal-green-(st-peter)-(st-thomas)</t>
  </si>
  <si>
    <t>https://www.crockford.org.uk/places/12488/the-benefice-of-bow-(st-mary)-and-holy-trinity-with-bromley-st-leonard</t>
  </si>
  <si>
    <t>https://www.crockford.org.uk/places/12489/the-benefice-of-bow-common-(st-paul)</t>
  </si>
  <si>
    <t>https://www.crockford.org.uk/places/12496/the-benefice-of-bromley-by-bow-(all-hallows)</t>
  </si>
  <si>
    <t>https://www.crockford.org.uk/places/12743/the-benefice-of-isle-of-dogs-(christ-church-and-st-john)-(st-luke)</t>
  </si>
  <si>
    <t>https://www.crockford.org.uk/places/12794/the-benefice-of-limehouse-(st-anne)-(st-peter)</t>
  </si>
  <si>
    <t>https://www.crockford.org.uk/places/12828/the-benefice-of-london-docks-(st-peter)-with-wapping-st-john</t>
  </si>
  <si>
    <t>https://www.crockford.org.uk/places/12886/the-benefice-of-old-ford-(st-paul)-(st-mark)</t>
  </si>
  <si>
    <t>https://www.crockford.org.uk/places/12969/the-benefice-of-shadwell-(st-paul)-with-ratcliffe-st-james</t>
  </si>
  <si>
    <t>https://www.crockford.org.uk/places/13008/the-benefice-of-spitalfields-(christ-church-with-all-saints)</t>
  </si>
  <si>
    <t>https://www.crockford.org.uk/places/12947/the-benefice-of-st-george-in-the-east-(st-mary)</t>
  </si>
  <si>
    <t>https://www.crockford.org.uk/places/12946/the-benefice-of-st-george-in-the-east-with-st-paul</t>
  </si>
  <si>
    <t>https://www.crockford.org.uk/places/12479/the-benefice-of-st-john-on-bethnal-green</t>
  </si>
  <si>
    <t>https://www.crockford.org.uk/places/13024/the-benefice-of-stepney-(st-dunstan-and-all-saints)</t>
  </si>
  <si>
    <t>Latitude</t>
  </si>
  <si>
    <t>Longitude</t>
  </si>
  <si>
    <t>Postcode</t>
  </si>
  <si>
    <t>$Church$</t>
  </si>
  <si>
    <t>Wikipedia page for church</t>
  </si>
  <si>
    <t>Website for group ministry</t>
  </si>
  <si>
    <t>LinkFrom</t>
  </si>
  <si>
    <t>LinkTo</t>
  </si>
  <si>
    <t>End of table</t>
  </si>
  <si>
    <t>Crockford details</t>
  </si>
  <si>
    <t>$Benefice$</t>
  </si>
  <si>
    <t>Configuration details</t>
  </si>
  <si>
    <t>PopupDetails</t>
  </si>
  <si>
    <t>Deanery</t>
  </si>
  <si>
    <t>N4 2LW</t>
  </si>
  <si>
    <t>E5 9EN</t>
  </si>
  <si>
    <t>E5 9BW</t>
  </si>
  <si>
    <t>E8 2LJ</t>
  </si>
  <si>
    <t>N1 4DA</t>
  </si>
  <si>
    <t>E9 6DL</t>
  </si>
  <si>
    <t>E5 0AJ</t>
  </si>
  <si>
    <t>E9 5JA</t>
  </si>
  <si>
    <t>E9 7EY</t>
  </si>
  <si>
    <t>E8 3ER</t>
  </si>
  <si>
    <t>N16 7UY</t>
  </si>
  <si>
    <t>N1 5LF</t>
  </si>
  <si>
    <t>N1 6NP</t>
  </si>
  <si>
    <t>E1 6JN</t>
  </si>
  <si>
    <t>N15 6AA</t>
  </si>
  <si>
    <t>N16 9ES</t>
  </si>
  <si>
    <t>N4 2TW</t>
  </si>
  <si>
    <t>N16 8DD</t>
  </si>
  <si>
    <t>N1 1BQ</t>
  </si>
  <si>
    <t>N1 0ES</t>
  </si>
  <si>
    <t>N1 2DF</t>
  </si>
  <si>
    <t>EC1R 0EA</t>
  </si>
  <si>
    <t>EC1R 1XX</t>
  </si>
  <si>
    <t>EC1V 8DA</t>
  </si>
  <si>
    <t>N4 2QP</t>
  </si>
  <si>
    <t>N5 1SA</t>
  </si>
  <si>
    <t>N5 2DR</t>
  </si>
  <si>
    <t>N7 9JE</t>
  </si>
  <si>
    <t>N7 8AB</t>
  </si>
  <si>
    <t>N19 3AD</t>
  </si>
  <si>
    <t>N19 3TN</t>
  </si>
  <si>
    <t>N1 2TX</t>
  </si>
  <si>
    <t>N1 9UL</t>
  </si>
  <si>
    <t>N4 3LD</t>
  </si>
  <si>
    <t>N7 6DU</t>
  </si>
  <si>
    <t>N7 0ND</t>
  </si>
  <si>
    <t>E2 9JD</t>
  </si>
  <si>
    <t>E2 7AE</t>
  </si>
  <si>
    <t>E3 4AR</t>
  </si>
  <si>
    <t>E3 3PX</t>
  </si>
  <si>
    <t>E14 3BN</t>
  </si>
  <si>
    <t>E14 8LH</t>
  </si>
  <si>
    <t>E14 7HA</t>
  </si>
  <si>
    <t>E14 4AL</t>
  </si>
  <si>
    <t>E1W 2RW</t>
  </si>
  <si>
    <t>E3 5JL</t>
  </si>
  <si>
    <t>E14 0EY</t>
  </si>
  <si>
    <t>E14 0PT</t>
  </si>
  <si>
    <t>E1W 3DH</t>
  </si>
  <si>
    <t>E1 6LY</t>
  </si>
  <si>
    <t>E1 0BQ</t>
  </si>
  <si>
    <t>E1 0BH</t>
  </si>
  <si>
    <t>E1 0NR</t>
  </si>
  <si>
    <t>N1 8PF</t>
  </si>
  <si>
    <t>E3 5TG</t>
  </si>
  <si>
    <t>E2 6DT</t>
  </si>
  <si>
    <t>E5 8EG</t>
  </si>
  <si>
    <t>E8 4EP</t>
  </si>
  <si>
    <t>E8 4EZ</t>
  </si>
  <si>
    <t>E2 8JR</t>
  </si>
  <si>
    <t>N1 7QG</t>
  </si>
  <si>
    <t>N16 5DU</t>
  </si>
  <si>
    <t>N16 7ED</t>
  </si>
  <si>
    <t>N19 5RR</t>
  </si>
  <si>
    <t>E3 3AH</t>
  </si>
  <si>
    <t>E2 9PA</t>
  </si>
  <si>
    <t>N1 4PL</t>
  </si>
  <si>
    <t>https://www.london.anglican.org/directory/st-john-at-hackney/</t>
  </si>
  <si>
    <t>Parish of Hackney</t>
  </si>
  <si>
    <t>https://www.london.anglican.org/directory/st-matthew-upper-clapton/</t>
  </si>
  <si>
    <t>St Matthew Upper Clapton</t>
  </si>
  <si>
    <t>https://www.london.anglican.org/directory/st-thomas-clapton-common/</t>
  </si>
  <si>
    <t>St Thomas Clapton Common</t>
  </si>
  <si>
    <t>https://www.london.anglican.org/directory/holy-trinity-dalston-with-all-saints-haggerston/</t>
  </si>
  <si>
    <t>Holy Trinity Dalston with All Saints Haggerston</t>
  </si>
  <si>
    <t>https://www.london.anglican.org/directory/holy-trinity-dalston/</t>
  </si>
  <si>
    <t>Holy Trinity Dalston</t>
  </si>
  <si>
    <t>https://www.london.anglican.org/directory/all-saints-haggerston/</t>
  </si>
  <si>
    <t>https://www.london.anglican.org/directory/st-mark-dalston/</t>
  </si>
  <si>
    <t>St Mark Dalston</t>
  </si>
  <si>
    <t>https://www.london.anglican.org/directory/st-barnabas-homerton-hackney-marsh-team-ministry/</t>
  </si>
  <si>
    <t>https://www.london.anglican.org/directory/all-souls-clapton-park-hackney-marsh-team-ministry/</t>
  </si>
  <si>
    <t>https://www.london.anglican.org/directory/christchurch-on-the-mead-hackney-marsh-team-ministry/</t>
  </si>
  <si>
    <t>https://www.london.anglican.org/directory/st-john-of-jerusalem-south-hackney/</t>
  </si>
  <si>
    <t>St John of Jerusalem South Hackney</t>
  </si>
  <si>
    <t>https://www.london.anglican.org/directory/st-mary-of-eton-hackney/</t>
  </si>
  <si>
    <t>St Mary of Eton Hackney</t>
  </si>
  <si>
    <t>https://www.london.anglican.org/directory/st-michael-all-angels-london-fields/</t>
  </si>
  <si>
    <t>https://www.london.anglican.org/directory/st-paul-west-hackney/</t>
  </si>
  <si>
    <t>https://www.london.anglican.org/directory/st-peter-de-beauvoir-town/</t>
  </si>
  <si>
    <t>St Peter De Beauvoir Town</t>
  </si>
  <si>
    <t>https://www.london.anglican.org/directory/st-mary-stoke-newington/</t>
  </si>
  <si>
    <t>St Mary Stoke Newington</t>
  </si>
  <si>
    <t>https://www.london.anglican.org/directory/st-andrew-stoke-newington/</t>
  </si>
  <si>
    <t>St Andrew Stoke Newington</t>
  </si>
  <si>
    <t>https://www.london.anglican.org/directory/st-matthias-stoke-newington/</t>
  </si>
  <si>
    <t>St Matthias Stoke Newington</t>
  </si>
  <si>
    <t>https://www.london.anglican.org/directory/st-michael-all-angels-stoke-newington-common/</t>
  </si>
  <si>
    <t>https://www.london.anglican.org/directory/st-olave-woodberry-down/</t>
  </si>
  <si>
    <t>St Olave Woodberry Down</t>
  </si>
  <si>
    <t>https://www.london.anglican.org/directory/st-john-the-evangelist-brownswood-park/</t>
  </si>
  <si>
    <t>St John the Evangelist Brownswood Park</t>
  </si>
  <si>
    <t>https://www.london.anglican.org/directory/st-leonard-shoreditch/</t>
  </si>
  <si>
    <t>St Leonard Shoreditch</t>
  </si>
  <si>
    <t>https://www.london.anglican.org/directory/st-anne-hoxton/</t>
  </si>
  <si>
    <t>St Anne Hoxton</t>
  </si>
  <si>
    <t>https://www.london.anglican.org/directory/holy-trinity-hoxton/</t>
  </si>
  <si>
    <t>Holy Trinity Hoxton</t>
  </si>
  <si>
    <t>https://www.london.anglican.org/directory/st-john-the-baptist-hoxton/</t>
  </si>
  <si>
    <t>St John the Baptist Hoxton</t>
  </si>
  <si>
    <t>https://www.london.anglican.org/directory/st-chad-haggerston/</t>
  </si>
  <si>
    <t>St Chad Haggerston</t>
  </si>
  <si>
    <t>https://www.london.anglican.org/directory/st-bartholomew-stamford-hill/</t>
  </si>
  <si>
    <t>St Bartholomew Stamford Hill</t>
  </si>
  <si>
    <t>https://www.london.anglican.org/directory/st-james-clapton/</t>
  </si>
  <si>
    <t>St James Clapton</t>
  </si>
  <si>
    <t>https://www.london.anglican.org/directory/st-barnabas-dalston/</t>
  </si>
  <si>
    <t>St Barnabas Dalston</t>
  </si>
  <si>
    <t>https://www.london.anglican.org/directory/grace-church-hackney/</t>
  </si>
  <si>
    <t>https://www.london.anglican.org/directory/sisters-of-the-society-of-st-margaret/</t>
  </si>
  <si>
    <t>Sisters of the Society of St Margaret</t>
  </si>
  <si>
    <t>https://www.london.anglican.org/directory/st-josephs-hospice/</t>
  </si>
  <si>
    <t>https://www.london.anglican.org/directory/homerton-university-hospital-nhs-foundation/</t>
  </si>
  <si>
    <t>Homerton University Hospital NHS Foundation</t>
  </si>
  <si>
    <t>https://www.london.anglican.org/directory/st-mary-islington/</t>
  </si>
  <si>
    <t>St Mary Islington</t>
  </si>
  <si>
    <t>https://www.london.anglican.org/directory/st-andrew-whitehall-park/</t>
  </si>
  <si>
    <t>St Andrew Whitehall Park</t>
  </si>
  <si>
    <t>https://www.london.anglican.org/directory/the-barnsbury-team/</t>
  </si>
  <si>
    <t>The Barnsbury Team</t>
  </si>
  <si>
    <t>https://www.london.anglican.org/directory/st-andrew-thornhill-square-the-barnsbury-team/</t>
  </si>
  <si>
    <t>https://www.london.anglican.org/directory/all-saints-caledonian-road-the-barnsbury-team/</t>
  </si>
  <si>
    <t>https://www.london.anglican.org/directory/the-church-on-the-corner-the-barnsbury-team/</t>
  </si>
  <si>
    <t>https://www.london.anglican.org/directory/st-augustine-highbury-new-park/</t>
  </si>
  <si>
    <t>St Augustine Highbury New Park</t>
  </si>
  <si>
    <t>https://www.london.anglican.org/directory/christ-church-highbury/</t>
  </si>
  <si>
    <t>Christ Church Highbury</t>
  </si>
  <si>
    <t>https://www.london.anglican.org/directory/st-george-all-saints-tufnell-park/</t>
  </si>
  <si>
    <t>https://www.london.anglican.org/directory/st-james-islington/</t>
  </si>
  <si>
    <t>St James Islington</t>
  </si>
  <si>
    <t>https://www.london.anglican.org/directory/st-jude-and-st-paul-mildmay-grove/</t>
  </si>
  <si>
    <t>St Jude and St Paul Mildmay Grove</t>
  </si>
  <si>
    <t>https://www.london.anglican.org/directory/st-luke-west-holloway/</t>
  </si>
  <si>
    <t>St Luke West Holloway</t>
  </si>
  <si>
    <t>https://www.london.anglican.org/directory/the-parish-of-tollington-st-mark-emmanuel-st-saviour/</t>
  </si>
  <si>
    <t>St Mark, Tollington Park</t>
  </si>
  <si>
    <t>https://www.london.anglican.org/directory/st-mary-hornsey-rise/</t>
  </si>
  <si>
    <t>St Mary Hornsey Rise</t>
  </si>
  <si>
    <t>https://www.london.anglican.org/directory/hope-church-islington/</t>
  </si>
  <si>
    <t>Hope Church Islington</t>
  </si>
  <si>
    <t>https://www.london.anglican.org/directory/nags-head-church-community/</t>
  </si>
  <si>
    <t>Nags Head Church Community</t>
  </si>
  <si>
    <t>https://www.london.anglican.org/directory/st-john-the-evangelist-upper-holloway/</t>
  </si>
  <si>
    <t>https://www.london.anglican.org/directory/st-saviour-hanley-road/</t>
  </si>
  <si>
    <t>St Saviour, Hanley Road</t>
  </si>
  <si>
    <t>https://www.london.anglican.org/directory/st-silas-pentonville/</t>
  </si>
  <si>
    <t>St Silas Pentonville</t>
  </si>
  <si>
    <t>https://www.london.anglican.org/directory/st-stephen-canonbury/</t>
  </si>
  <si>
    <t>St Stephen Canonbury</t>
  </si>
  <si>
    <t>https://www.london.anglican.org/directory/st-thomas-finsbury-park/</t>
  </si>
  <si>
    <t>St Thomas Finsbury Park</t>
  </si>
  <si>
    <t>https://www.london.anglican.org/directory/st-james-clerkenwell/</t>
  </si>
  <si>
    <t>St James Clerkenwell</t>
  </si>
  <si>
    <t>https://www.london.anglican.org/directory/our-most-holy-redeemer-clerkenwell/</t>
  </si>
  <si>
    <t>Our Most Holy Redeemer Clerkenwell</t>
  </si>
  <si>
    <t>https://www.london.anglican.org/directory/st-mark-clerkenwell/</t>
  </si>
  <si>
    <t>St Mark Clerkenwell</t>
  </si>
  <si>
    <t>https://www.london.anglican.org/directory/st-clement-king-square/</t>
  </si>
  <si>
    <t>St Clement King Square</t>
  </si>
  <si>
    <t>https://www.london.anglican.org/directory/emmanuel-hornsey-road/</t>
  </si>
  <si>
    <t>Emmanuel Hornsey Road</t>
  </si>
  <si>
    <t>https://www.london.anglican.org/directory/city-ymca-london/</t>
  </si>
  <si>
    <t>City YMCA London</t>
  </si>
  <si>
    <t>https://www.london.anglican.org/directory/trinity-church-islington/</t>
  </si>
  <si>
    <t>https://www.london.anglican.org/directory/the-priory-church-of-st-john/</t>
  </si>
  <si>
    <t>The Priory Church of St John</t>
  </si>
  <si>
    <t>https://www.london.anglican.org/directory/the-charterhouse/</t>
  </si>
  <si>
    <t>The Charterhouse</t>
  </si>
  <si>
    <t>https://www.london.anglican.org/directory/st-mary-magdalene-academy/</t>
  </si>
  <si>
    <t>St Mary Magdalene Academy</t>
  </si>
  <si>
    <t>https://www.london.anglican.org/directory/the-whittington-hospital/</t>
  </si>
  <si>
    <t>The Whittington Hospital</t>
  </si>
  <si>
    <t>https://www.london.anglican.org/directory/moorfields-eye-hospital/</t>
  </si>
  <si>
    <t>Moorfields Eye Hospital</t>
  </si>
  <si>
    <t>https://www.london.anglican.org/directory/hm-prison-pentonville/</t>
  </si>
  <si>
    <t>HM Prison Pentonville</t>
  </si>
  <si>
    <t>https://www.london.anglican.org/directory/london-metropolitan-university-chaplaincy/</t>
  </si>
  <si>
    <t>London Metropolitan University Chaplaincy</t>
  </si>
  <si>
    <t>https://www.london.anglican.org/directory/city-university/</t>
  </si>
  <si>
    <t>City University</t>
  </si>
  <si>
    <t>https://www.london.anglican.org/directory/st-matthew-bethnal-green/</t>
  </si>
  <si>
    <t>St Matthew Bethnal Green</t>
  </si>
  <si>
    <t>https://www.london.anglican.org/directory/st-barnabas-bethnal-green/</t>
  </si>
  <si>
    <t>St Barnabas Bethnal Green</t>
  </si>
  <si>
    <t>https://www.london.anglican.org/directory/st-james-the-less-bethnal-green/</t>
  </si>
  <si>
    <t>St James-the-Less Bethnal Green</t>
  </si>
  <si>
    <t>https://www.london.anglican.org/directory/st-john-on-bethnal-green/</t>
  </si>
  <si>
    <t>https://www.london.anglican.org/directory/st-peter-bethnal-green/</t>
  </si>
  <si>
    <t>St Peter Bethnal Green</t>
  </si>
  <si>
    <t>https://www.london.anglican.org/directory/poplar-team-ministry/</t>
  </si>
  <si>
    <t>Poplar Team Ministry</t>
  </si>
  <si>
    <t>https://www.london.anglican.org/directory/all-saints-poplar-poplar-team-ministry/</t>
  </si>
  <si>
    <t>https://www.london.anglican.org/directory/st-nicholas-aberfeldy-poplar-team-ministry/</t>
  </si>
  <si>
    <t>https://www.london.anglican.org/directory/christ-church-and-st-john-w-st-luke-isle-of-dogs/</t>
  </si>
  <si>
    <t>Christ Church and St John w St Luke, Isle of Dogs</t>
  </si>
  <si>
    <t>https://www.london.anglican.org/directory/christ-church-isle-of-dogs/</t>
  </si>
  <si>
    <t>Christ Church Isle of Dogs</t>
  </si>
  <si>
    <t>https://www.london.anglican.org/directory/st-luke-millwall/</t>
  </si>
  <si>
    <t>St Luke Millwall</t>
  </si>
  <si>
    <t>https://www.london.anglican.org/directory/all-hallows-bromley-by-bow/</t>
  </si>
  <si>
    <t>All Hallows Bromley by Bow</t>
  </si>
  <si>
    <t>https://www.london.anglican.org/directory/st-mary-and-holy-trinity-bow/</t>
  </si>
  <si>
    <t>https://www.london.anglican.org/directory/st-paul-and-st-mark-old-ford/</t>
  </si>
  <si>
    <t>St Paul and St Mark Old Ford</t>
  </si>
  <si>
    <t>https://www.london.anglican.org/directory/st-anne-w-st-peter-limehouse/</t>
  </si>
  <si>
    <t>St Anne w St Peter Limehouse</t>
  </si>
  <si>
    <t>https://www.london.anglican.org/directory/st-anne-limehouse/</t>
  </si>
  <si>
    <t>https://www.london.anglican.org/directory/st-george-in-the-east/</t>
  </si>
  <si>
    <t>St George-in-the-East</t>
  </si>
  <si>
    <t>https://www.london.anglican.org/directory/st-mary-cable-street/</t>
  </si>
  <si>
    <t>St Mary Cable Street</t>
  </si>
  <si>
    <t>https://www.london.anglican.org/directory/st-peter-london-docks/</t>
  </si>
  <si>
    <t>St Peter London Docks</t>
  </si>
  <si>
    <t>https://www.london.anglican.org/directory/st-paul-shadwell/</t>
  </si>
  <si>
    <t>St Paul Shadwell</t>
  </si>
  <si>
    <t>https://www.london.anglican.org/directory/st-dunstan-all-saints-stepney/</t>
  </si>
  <si>
    <t>https://www.london.anglican.org/directory/st-paul-bow-common/</t>
  </si>
  <si>
    <t>St Paul Bow Common</t>
  </si>
  <si>
    <t>https://www.london.anglican.org/directory/christ-church-spitalfields/</t>
  </si>
  <si>
    <t>Christ Church Spitalfields</t>
  </si>
  <si>
    <t>https://www.london.anglican.org/directory/st-peters-barge-canary-wharf/</t>
  </si>
  <si>
    <t>https://www.london.anglican.org/directory/bishops-chaplain-in-docklands/</t>
  </si>
  <si>
    <t>https://www.london.anglican.org/directory/hms-president/</t>
  </si>
  <si>
    <t>HMS President</t>
  </si>
  <si>
    <t>https://www.london.anglican.org/directory/the-tower-hamlets-centre-for-mental-health/</t>
  </si>
  <si>
    <t>The Tower Hamlets Centre for Mental Health</t>
  </si>
  <si>
    <t>https://www.london.anglican.org/directory/mile-end-hospital-barts-health-nhs-trust/</t>
  </si>
  <si>
    <t>https://www.london.anglican.org/directory/the-royal-london-hospital-barts-health-nhs-trust/</t>
  </si>
  <si>
    <t>https://www.london.anglican.org/directory/st-margarets-house/</t>
  </si>
  <si>
    <t>https://www.london.anglican.org/directory/queen-mary-university-of-london/</t>
  </si>
  <si>
    <t>Queen Mary University of London</t>
  </si>
  <si>
    <t>https://www.london.anglican.org/directory/the-royal-foundation-of-st-katharine/</t>
  </si>
  <si>
    <t>The Royal Foundation of St Katharine</t>
  </si>
  <si>
    <t>https://www.london.anglican.org/directory/london-metropolitan-university/</t>
  </si>
  <si>
    <t>London Metropolitan University</t>
  </si>
  <si>
    <t>EC1R 4QE</t>
  </si>
  <si>
    <t>N4 3DQ</t>
  </si>
  <si>
    <t>St Michael &amp; All Angels London Fields</t>
  </si>
  <si>
    <t>St Michael &amp; All Angels Stoke Newington Common</t>
  </si>
  <si>
    <t>St George &amp; All Saints Tufnell Park</t>
  </si>
  <si>
    <t>St Dunstan &amp; All Saints Stepney</t>
  </si>
  <si>
    <t>St Peter's Barge Canary Wharf</t>
  </si>
  <si>
    <t>RefNumber</t>
  </si>
  <si>
    <t>DirectoryUrl</t>
  </si>
  <si>
    <t>Incumbent</t>
  </si>
  <si>
    <t>IncumbentPosition</t>
  </si>
  <si>
    <t>IncumbentLink</t>
  </si>
  <si>
    <t>Ref:0501</t>
  </si>
  <si>
    <t>Ref:0504</t>
  </si>
  <si>
    <t>The Revd Al Gordon</t>
  </si>
  <si>
    <t>https://www.london.anglican.org/directory/al-gordon/</t>
  </si>
  <si>
    <t>Ref:0505</t>
  </si>
  <si>
    <t>The Revd Tola Badejo</t>
  </si>
  <si>
    <t>Priest in Charge</t>
  </si>
  <si>
    <t>https://www.london.anglican.org/directory/tola-badejo/</t>
  </si>
  <si>
    <t>Ref:0506</t>
  </si>
  <si>
    <t>The Revd Dr William Campbell-Taylor</t>
  </si>
  <si>
    <t>https://www.london.anglican.org/directory/william-campbell-taylor/</t>
  </si>
  <si>
    <t>Ref:0506A</t>
  </si>
  <si>
    <t>The Revd Laura Fawcett</t>
  </si>
  <si>
    <t>https://www.london.anglican.org/directory/laura-fawcett/</t>
  </si>
  <si>
    <t>Ref:0506B</t>
  </si>
  <si>
    <t>Ref:0507</t>
  </si>
  <si>
    <t>Ref:0509A</t>
  </si>
  <si>
    <t>The Revd Josh Zvimba</t>
  </si>
  <si>
    <t>https://www.london.anglican.org/directory/josh-zvimba/</t>
  </si>
  <si>
    <t>All Souls Clapton Park</t>
  </si>
  <si>
    <t>Ref:Hackney Marsh Team Ministry</t>
  </si>
  <si>
    <t>The Revd Clive Main</t>
  </si>
  <si>
    <t>Team Rector</t>
  </si>
  <si>
    <t>https://www.london.anglican.org/directory/clive-main/</t>
  </si>
  <si>
    <t>Christchurch-on-the-Mead</t>
  </si>
  <si>
    <t>Ref:0510</t>
  </si>
  <si>
    <t>Mr Roy Tokunbo Olowu</t>
  </si>
  <si>
    <t>Licensed Lay Minister</t>
  </si>
  <si>
    <t>https://www.london.anglican.org/directory/roy-tokunbo-olowu/</t>
  </si>
  <si>
    <t>Ref:0511</t>
  </si>
  <si>
    <t>The Revd Andrew Wilson</t>
  </si>
  <si>
    <t>https://www.london.anglican.org/directory/andrew-wilson/</t>
  </si>
  <si>
    <t>Ref:0512</t>
  </si>
  <si>
    <t>The Revd Sue Makin</t>
  </si>
  <si>
    <t>https://www.london.anglican.org/directory/sue-makin/</t>
  </si>
  <si>
    <t>Ref:0513</t>
  </si>
  <si>
    <t>The Revd Daniel Gerrans</t>
  </si>
  <si>
    <t>https://www.london.anglican.org/directory/daniel-gerrans/</t>
  </si>
  <si>
    <t>Ref:0514</t>
  </si>
  <si>
    <t>The Revd Niall Weir</t>
  </si>
  <si>
    <t>https://www.london.anglican.org/directory/niall-weir/</t>
  </si>
  <si>
    <t>Ref:0515</t>
  </si>
  <si>
    <t>The Revd Preb Julia Porter-Pryce</t>
  </si>
  <si>
    <t>https://www.london.anglican.org/directory/julia-porter-pryce/</t>
  </si>
  <si>
    <t>Ref:0516</t>
  </si>
  <si>
    <t>The Revd Canon Dilly Baker</t>
  </si>
  <si>
    <t>https://www.london.anglican.org/directory/dilly-baker/</t>
  </si>
  <si>
    <t>Ref:0517</t>
  </si>
  <si>
    <t>The Revd Charis Enga</t>
  </si>
  <si>
    <t>https://www.london.anglican.org/directory/charis-enga/</t>
  </si>
  <si>
    <t>Ref:0518</t>
  </si>
  <si>
    <t>The Revd David Lambert</t>
  </si>
  <si>
    <t>https://www.london.anglican.org/directory/david-lambert/</t>
  </si>
  <si>
    <t>Ref:0519</t>
  </si>
  <si>
    <t>The Revd Steve Gayle</t>
  </si>
  <si>
    <t>https://www.london.anglican.org/directory/steve-gayle/</t>
  </si>
  <si>
    <t>Ref:0520</t>
  </si>
  <si>
    <t>The Revd Preb Tunde Roberts</t>
  </si>
  <si>
    <t>https://www.london.anglican.org/directory/tunde-roberts/</t>
  </si>
  <si>
    <t>Ref:0521</t>
  </si>
  <si>
    <t>The Revd Alice Whalley</t>
  </si>
  <si>
    <t>https://www.london.anglican.org/directory/alice-whalley/</t>
  </si>
  <si>
    <t>Ref:0523</t>
  </si>
  <si>
    <t>The Ven Elizabeth Adekunle</t>
  </si>
  <si>
    <t>https://www.london.anglican.org/directory/liz-adekunle/</t>
  </si>
  <si>
    <t>Ref:0525</t>
  </si>
  <si>
    <t>The Revd Ben Bell</t>
  </si>
  <si>
    <t>https://www.london.anglican.org/directory/ben-bell/</t>
  </si>
  <si>
    <t>Ref:0526</t>
  </si>
  <si>
    <t>The Revd Andrew Newcombe</t>
  </si>
  <si>
    <t>https://www.london.anglican.org/directory/andrew-newcombe/</t>
  </si>
  <si>
    <t>Ref:0527</t>
  </si>
  <si>
    <t>Mr Geoffrey Boetang</t>
  </si>
  <si>
    <t>Administrator</t>
  </si>
  <si>
    <t>https://www.london.anglican.org/directory/geoffrey-boetang/</t>
  </si>
  <si>
    <t>Ref:0528</t>
  </si>
  <si>
    <t>The Revd James Westcott</t>
  </si>
  <si>
    <t>https://www.london.anglican.org/directory/james-westcott/</t>
  </si>
  <si>
    <t>Ref:0529</t>
  </si>
  <si>
    <t>The Revd Charles Card-Reynolds</t>
  </si>
  <si>
    <t>https://www.london.anglican.org/directory/charles-card-reynolds/</t>
  </si>
  <si>
    <t>Ref:0585</t>
  </si>
  <si>
    <t>The Revd Preb Rosemia Brown</t>
  </si>
  <si>
    <t>https://www.london.anglican.org/directory/rosemia-brown/</t>
  </si>
  <si>
    <t>Ref:0586</t>
  </si>
  <si>
    <t>Ref:0587</t>
  </si>
  <si>
    <t>The Revd Andrew Jones</t>
  </si>
  <si>
    <t>Minister in Charge</t>
  </si>
  <si>
    <t>https://www.london.anglican.org/directory/andrew-jones/</t>
  </si>
  <si>
    <t>The Urswick School &amp;#8211; a Church of England Secondary School</t>
  </si>
  <si>
    <t>Ref:0588</t>
  </si>
  <si>
    <t>https://www.london.anglican.org/directory/the-urswick-school-a-church-of-england-secondary-school/</t>
  </si>
  <si>
    <t>The Revd Sr Judith Blackburn</t>
  </si>
  <si>
    <t>Religious Community Leader</t>
  </si>
  <si>
    <t>https://www.london.anglican.org/directory/judith-blackburn-ssm/</t>
  </si>
  <si>
    <t>St Mary's Church of England Primary School</t>
  </si>
  <si>
    <t>Ref:0590</t>
  </si>
  <si>
    <t>https://www.london.anglican.org/directory/st-marys-cofe-primary-school/</t>
  </si>
  <si>
    <t>Mr Richard Brown</t>
  </si>
  <si>
    <t>Head Teacher</t>
  </si>
  <si>
    <t>https://www.london.anglican.org/directory/richard-brown/</t>
  </si>
  <si>
    <t>St Matthias Church of England Primary School</t>
  </si>
  <si>
    <t>Ref:0591</t>
  </si>
  <si>
    <t>https://www.london.anglican.org/directory/st-matthias-cofe-primary-school/</t>
  </si>
  <si>
    <t>Mrs Jane O&amp;#8217;Brien</t>
  </si>
  <si>
    <t>https://www.london.anglican.org/directory/jane-obrien/</t>
  </si>
  <si>
    <t>St John of Jerusalem Church of England Primary School</t>
  </si>
  <si>
    <t>Ref:0592</t>
  </si>
  <si>
    <t>https://www.london.anglican.org/directory/st-john-of-jerusalem-cofe-primary-school/</t>
  </si>
  <si>
    <t>Ms Sian Davies</t>
  </si>
  <si>
    <t>https://www.london.anglican.org/directory/sian-davies-4/</t>
  </si>
  <si>
    <t>St John the Baptist Church of England Primary School</t>
  </si>
  <si>
    <t>Ref:0593</t>
  </si>
  <si>
    <t>https://www.london.anglican.org/directory/st-john-the-baptist-cofe-primary-school/</t>
  </si>
  <si>
    <t>Mrs Asarena Simon</t>
  </si>
  <si>
    <t>https://www.london.anglican.org/directory/asarena-simon/</t>
  </si>
  <si>
    <t>St Paul's with St Michael's Church of England Primary School</t>
  </si>
  <si>
    <t>Ref:0594</t>
  </si>
  <si>
    <t>https://www.london.anglican.org/directory/st-pauls-with-st-michaels-cof-e-primary-school/</t>
  </si>
  <si>
    <t>https://www.london.anglican.org/directory/sian-davies-3/</t>
  </si>
  <si>
    <t>St John and St James Church of England Primary School</t>
  </si>
  <si>
    <t>Ref:0595</t>
  </si>
  <si>
    <t>https://www.london.anglican.org/directory/st-john-and-st-james-cof-e-primary-school/</t>
  </si>
  <si>
    <t>Mrs Kiyeran Lot</t>
  </si>
  <si>
    <t>https://www.london.anglican.org/directory/kiyeran-lot/</t>
  </si>
  <si>
    <t>Holy Trinity Church of England Primary School</t>
  </si>
  <si>
    <t>Ref:0596</t>
  </si>
  <si>
    <t>https://www.london.anglican.org/directory/holy-trinity-cofe-primary-school/</t>
  </si>
  <si>
    <t>https://www.london.anglican.org/directory/sian-davies-2/</t>
  </si>
  <si>
    <t>St Joseph's Hospice</t>
  </si>
  <si>
    <t>Ref:0597</t>
  </si>
  <si>
    <t>https://www.london.anglican.org/directory/sian-davies/</t>
  </si>
  <si>
    <t>Ref:0599</t>
  </si>
  <si>
    <t>The Revd Jane Alty</t>
  </si>
  <si>
    <t>Chaplain - Hospice</t>
  </si>
  <si>
    <t>https://www.london.anglican.org/directory/jane-alty/</t>
  </si>
  <si>
    <t>Ref:0601</t>
  </si>
  <si>
    <t>Ref:0604</t>
  </si>
  <si>
    <t>Mrs Imogen Erskine</t>
  </si>
  <si>
    <t>https://www.london.anglican.org/directory/imogen-erskine/</t>
  </si>
  <si>
    <t>Ref:0605</t>
  </si>
  <si>
    <t>The Revd Steve Clarke</t>
  </si>
  <si>
    <t>https://www.london.anglican.org/directory/steve-clarke/</t>
  </si>
  <si>
    <t>St Andrew Thornhill Square</t>
  </si>
  <si>
    <t>Ref:The Barnsbury Team</t>
  </si>
  <si>
    <t>All Saints Caledonian Road</t>
  </si>
  <si>
    <t>Mrs Sarah Wall</t>
  </si>
  <si>
    <t>Parish Administrator</t>
  </si>
  <si>
    <t>https://www.london.anglican.org/directory/sarah-wall-2/</t>
  </si>
  <si>
    <t>Mr Martin Lawford</t>
  </si>
  <si>
    <t>https://www.london.anglican.org/directory/martin-lawford/</t>
  </si>
  <si>
    <t>Ref:0606</t>
  </si>
  <si>
    <t>The Revd Mark Fletcher</t>
  </si>
  <si>
    <t>https://www.london.anglican.org/directory/mark-fletcher/</t>
  </si>
  <si>
    <t>Ref:0607</t>
  </si>
  <si>
    <t>The Revd Gabriel Anstis</t>
  </si>
  <si>
    <t>https://www.london.anglican.org/directory/gabriel-anstis/</t>
  </si>
  <si>
    <t>Ref:0610</t>
  </si>
  <si>
    <t>Mrs Jules Soanes</t>
  </si>
  <si>
    <t>https://www.london.anglican.org/directory/jules-soanes/</t>
  </si>
  <si>
    <t>Ref:0612</t>
  </si>
  <si>
    <t>The Revd Alexandra Lilley</t>
  </si>
  <si>
    <t>https://www.london.anglican.org/directory/alexandra-lilley/</t>
  </si>
  <si>
    <t>Ref:0615</t>
  </si>
  <si>
    <t>The Revd John Burniston</t>
  </si>
  <si>
    <t>https://www.london.anglican.org/directory/john-burniston/</t>
  </si>
  <si>
    <t>Ref:0616</t>
  </si>
  <si>
    <t>The Revd James Hill</t>
  </si>
  <si>
    <t>https://www.london.anglican.org/directory/james-hill/</t>
  </si>
  <si>
    <t>Ref:0617</t>
  </si>
  <si>
    <t>Revd John Mackenzie</t>
  </si>
  <si>
    <t>https://www.london.anglican.org/directory/john-mackenzie/</t>
  </si>
  <si>
    <t>Ref:0618</t>
  </si>
  <si>
    <t>The Rev'd Trevor Golding</t>
  </si>
  <si>
    <t>https://www.london.anglican.org/directory/trevor-golding/</t>
  </si>
  <si>
    <t>Ref:0619</t>
  </si>
  <si>
    <t>The Revd Tamsin Merchant</t>
  </si>
  <si>
    <t>https://www.london.anglican.org/directory/tamsin-merchant/</t>
  </si>
  <si>
    <t>Ref:0620</t>
  </si>
  <si>
    <t>The Revd Paul Zaphiriou</t>
  </si>
  <si>
    <t>https://www.london.anglican.org/directory/paul-zaphiriou/</t>
  </si>
  <si>
    <t>Ref:0622</t>
  </si>
  <si>
    <t>Ref:0624</t>
  </si>
  <si>
    <t>Revd Alan Comfort</t>
  </si>
  <si>
    <t>https://www.london.anglican.org/directory/alan-comfort/</t>
  </si>
  <si>
    <t>Ref:0625</t>
  </si>
  <si>
    <t>The Revd Pete Hughes</t>
  </si>
  <si>
    <t>https://www.london.anglican.org/directory/pete-hughes/</t>
  </si>
  <si>
    <t>Ref:0626</t>
  </si>
  <si>
    <t>The Revd Rayner Wakeling</t>
  </si>
  <si>
    <t>https://www.london.anglican.org/directory/rayner-wakeling/</t>
  </si>
  <si>
    <t>Ref:0628</t>
  </si>
  <si>
    <t>The Revd John Beauchamp</t>
  </si>
  <si>
    <t>https://www.london.anglican.org/directory/john-beauchamp/</t>
  </si>
  <si>
    <t>Ref:0629</t>
  </si>
  <si>
    <t>The Revd Preb Stephen Coles</t>
  </si>
  <si>
    <t>https://www.london.anglican.org/directory/stephen-coles/</t>
  </si>
  <si>
    <t>Ref:0630</t>
  </si>
  <si>
    <t>The Revd Pete Nicholas</t>
  </si>
  <si>
    <t>https://www.london.anglican.org/directory/pete-nicholas/</t>
  </si>
  <si>
    <t>Ref:0632</t>
  </si>
  <si>
    <t>The Revd Christopher Trundle</t>
  </si>
  <si>
    <t>https://www.london.anglican.org/directory/christopher-trundle/</t>
  </si>
  <si>
    <t>Ref:0633</t>
  </si>
  <si>
    <t>Ref:0635</t>
  </si>
  <si>
    <t>The Revd David Allen</t>
  </si>
  <si>
    <t>https://www.london.anglican.org/directory/david-allen/</t>
  </si>
  <si>
    <t>Ref:0681</t>
  </si>
  <si>
    <t>Ref:0682</t>
  </si>
  <si>
    <t>Ref:0683</t>
  </si>
  <si>
    <t>The Revd Jeremy Hobson</t>
  </si>
  <si>
    <t>https://www.london.anglican.org/directory/jeremy-hobson/</t>
  </si>
  <si>
    <t>Ref:0684</t>
  </si>
  <si>
    <t xml:space="preserve"> The Dean</t>
  </si>
  <si>
    <t>Placeholder for book</t>
  </si>
  <si>
    <t>https://www.london.anglican.org/directory/the-dean/</t>
  </si>
  <si>
    <t>St John's Church of England Primary School</t>
  </si>
  <si>
    <t>Ref:0685</t>
  </si>
  <si>
    <t>https://www.london.anglican.org/directory/st-johns-cofe-primary-school/</t>
  </si>
  <si>
    <t>The Revd Robin Isherwood</t>
  </si>
  <si>
    <t>Chaplain</t>
  </si>
  <si>
    <t>https://www.london.anglican.org/directory/robin-isherwood/</t>
  </si>
  <si>
    <t>St Mark's Church of England Primary School</t>
  </si>
  <si>
    <t>Ref:0686</t>
  </si>
  <si>
    <t>https://www.london.anglican.org/directory/st-marks-cofe-primary-school/</t>
  </si>
  <si>
    <t>Mr Brian Welsh</t>
  </si>
  <si>
    <t>https://www.london.anglican.org/directory/brian-welsh/</t>
  </si>
  <si>
    <t>St Jude &amp; St Paul's Church of England Primary School</t>
  </si>
  <si>
    <t>Ref:0687</t>
  </si>
  <si>
    <t>https://www.london.anglican.org/directory/st-jude-st-pauls-cofe-primary-school/</t>
  </si>
  <si>
    <t>Ms Martha Braithwaite</t>
  </si>
  <si>
    <t>https://www.london.anglican.org/directory/martha-braithwaite/</t>
  </si>
  <si>
    <t>St Luke's Church of England Primary School</t>
  </si>
  <si>
    <t>Ref:0688</t>
  </si>
  <si>
    <t>https://www.london.anglican.org/directory/st-lukes-cofe-primary-school/</t>
  </si>
  <si>
    <t>Mrs Adeola Oladejo</t>
  </si>
  <si>
    <t>https://www.london.anglican.org/directory/adeola-oladejo/</t>
  </si>
  <si>
    <t>Ref:0689</t>
  </si>
  <si>
    <t>Mrs Ann Dwulit</t>
  </si>
  <si>
    <t>https://www.london.anglican.org/directory/ann-dwulit/</t>
  </si>
  <si>
    <t>Ref:0690</t>
  </si>
  <si>
    <t>Ms Victoria Linsley</t>
  </si>
  <si>
    <t>https://www.london.anglican.org/directory/victoria-linsley/</t>
  </si>
  <si>
    <t>Ref:0691</t>
  </si>
  <si>
    <t>Clerkenwell Parochial Church of England Primary School</t>
  </si>
  <si>
    <t>Ref:0692</t>
  </si>
  <si>
    <t>https://www.london.anglican.org/directory/clerkenwell-parochial-cofe-primary-school/</t>
  </si>
  <si>
    <t>St Andrew's</t>
  </si>
  <si>
    <t>Ref:Barnsbury</t>
  </si>
  <si>
    <t>https://www.london.anglican.org/directory/st-andrews-barnsbury-cofe-primary-school/</t>
  </si>
  <si>
    <t>Ms Amanda Szewczyk-Radley</t>
  </si>
  <si>
    <t>https://www.london.anglican.org/directory/amanda-szewczyk-radley/</t>
  </si>
  <si>
    <t>Ref:0694</t>
  </si>
  <si>
    <t>Ms Felicity Djerehe</t>
  </si>
  <si>
    <t>https://www.london.anglican.org/directory/felicity-djerehe/</t>
  </si>
  <si>
    <t>Ref:0695</t>
  </si>
  <si>
    <t>Chaplain - Hospital</t>
  </si>
  <si>
    <t>Ref:0696</t>
  </si>
  <si>
    <t>Ref:0698</t>
  </si>
  <si>
    <t>The Revd Bola Adamolekun</t>
  </si>
  <si>
    <t>Chaplain - Prison Service</t>
  </si>
  <si>
    <t>https://www.london.anglican.org/directory/bola-adamolekun/</t>
  </si>
  <si>
    <t>Ref:0699</t>
  </si>
  <si>
    <t>Ref:0701</t>
  </si>
  <si>
    <t>The Revd Andrew Baughen</t>
  </si>
  <si>
    <t>Chaplain - University</t>
  </si>
  <si>
    <t>https://www.london.anglican.org/directory/andrew-baughen/</t>
  </si>
  <si>
    <t>Ref:0702</t>
  </si>
  <si>
    <t>The Revd Erin Clark</t>
  </si>
  <si>
    <t>https://www.london.anglican.org/directory/erin-clark/</t>
  </si>
  <si>
    <t>Ref:0705</t>
  </si>
  <si>
    <t>The Revd Brian Ralph</t>
  </si>
  <si>
    <t>https://www.london.anglican.org/directory/brian-ralph/</t>
  </si>
  <si>
    <t>Ref:0706</t>
  </si>
  <si>
    <t>The Revd Chris Newman-Day</t>
  </si>
  <si>
    <t>https://www.london.anglican.org/directory/chris-newman-day/</t>
  </si>
  <si>
    <t>Ref:0707</t>
  </si>
  <si>
    <t>The Revd Preb Alan Green</t>
  </si>
  <si>
    <t>https://www.london.anglican.org/directory/alan-green/</t>
  </si>
  <si>
    <t>Ref:0708</t>
  </si>
  <si>
    <t>The Revd Heather Atkinson</t>
  </si>
  <si>
    <t>https://www.london.anglican.org/directory/heather-atkinson/</t>
  </si>
  <si>
    <t>All Saints Poplar</t>
  </si>
  <si>
    <t>Ref:Poplar Team Ministry</t>
  </si>
  <si>
    <t>St Nicholas Aberfeldy</t>
  </si>
  <si>
    <t>Ms Laura Penney</t>
  </si>
  <si>
    <t>https://www.london.anglican.org/directory/laura-penney/</t>
  </si>
  <si>
    <t>Ref:0709</t>
  </si>
  <si>
    <t>The Revd Matt Wall</t>
  </si>
  <si>
    <t>Team Vicar</t>
  </si>
  <si>
    <t>https://www.london.anglican.org/directory/matt-wall/</t>
  </si>
  <si>
    <t>Ref:0709A</t>
  </si>
  <si>
    <t>The Revd Tom Pyke</t>
  </si>
  <si>
    <t>https://www.london.anglican.org/directory/tom-pyke/</t>
  </si>
  <si>
    <t>Ref:0709B</t>
  </si>
  <si>
    <t>Ref:0710</t>
  </si>
  <si>
    <t>The Revd Ed Dix</t>
  </si>
  <si>
    <t>https://www.london.anglican.org/directory/ed-dix/</t>
  </si>
  <si>
    <t>Ref:0711</t>
  </si>
  <si>
    <t>The Revd Cris Rogers</t>
  </si>
  <si>
    <t>https://www.london.anglican.org/directory/cris-rogers/</t>
  </si>
  <si>
    <t>Ref:0713</t>
  </si>
  <si>
    <t>The Revd Tim May</t>
  </si>
  <si>
    <t>https://www.london.anglican.org/directory/tim-may/</t>
  </si>
  <si>
    <t>Ref:0714</t>
  </si>
  <si>
    <t>The Revd James Hughesdon</t>
  </si>
  <si>
    <t>https://www.london.anglican.org/directory/james-hughesdon/</t>
  </si>
  <si>
    <t>Ref:0714A</t>
  </si>
  <si>
    <t>The Revd Richard Bray</t>
  </si>
  <si>
    <t>https://www.london.anglican.org/directory/richard-bray/</t>
  </si>
  <si>
    <t>Ref:0715</t>
  </si>
  <si>
    <t>Ref:0716</t>
  </si>
  <si>
    <t>The Revd Richard Springer</t>
  </si>
  <si>
    <t>https://www.london.anglican.org/directory/richard-springer/</t>
  </si>
  <si>
    <t>Ref:0717</t>
  </si>
  <si>
    <t>The Revd Peter McGeary</t>
  </si>
  <si>
    <t>https://www.london.anglican.org/directory/peter-mcgeary/</t>
  </si>
  <si>
    <t>Ref:0718</t>
  </si>
  <si>
    <t>The Revd Jonathan Beswick</t>
  </si>
  <si>
    <t>https://www.london.anglican.org/directory/jonathan-beswick/</t>
  </si>
  <si>
    <t>Ref:0719</t>
  </si>
  <si>
    <t>The Revd Phil Williams</t>
  </si>
  <si>
    <t>https://www.london.anglican.org/directory/phil-williams/</t>
  </si>
  <si>
    <t>Ref:0721</t>
  </si>
  <si>
    <t>The Revd Trevor Critchlow</t>
  </si>
  <si>
    <t>https://www.london.anglican.org/directory/trevor-critchlow/</t>
  </si>
  <si>
    <t>Ref:0724</t>
  </si>
  <si>
    <t>The Revd Bernadette Hegarty</t>
  </si>
  <si>
    <t>https://www.london.anglican.org/directory/bernadette-hegarty/</t>
  </si>
  <si>
    <t>Ref:0776</t>
  </si>
  <si>
    <t>The Revd Andy Rider</t>
  </si>
  <si>
    <t>https://www.london.anglican.org/directory/andy-rider/</t>
  </si>
  <si>
    <t>Bishop's Chaplain in Docklands</t>
  </si>
  <si>
    <t>Ref:0777</t>
  </si>
  <si>
    <t>The Revd Marcus Nodder</t>
  </si>
  <si>
    <t>https://www.london.anglican.org/directory/marcus-nodder/</t>
  </si>
  <si>
    <t>Ref:0778</t>
  </si>
  <si>
    <t>The Revd Dr Fiona Stewart-Darling</t>
  </si>
  <si>
    <t>https://www.london.anglican.org/directory/fiona-stewart-darling/</t>
  </si>
  <si>
    <t>Sir John Cass's Foundation &amp; Red Coat Church of England Secondary School</t>
  </si>
  <si>
    <t>Ref:0779</t>
  </si>
  <si>
    <t>https://www.london.anglican.org/directory/sir-john-casss-foundation-red-coat-cofe-secondary-school/</t>
  </si>
  <si>
    <t>St Paul's Church of England Primary School</t>
  </si>
  <si>
    <t>Ref:0780</t>
  </si>
  <si>
    <t>https://www.london.anglican.org/directory/st-pauls-cofe-primary-school/</t>
  </si>
  <si>
    <t>Mr Paul Woods</t>
  </si>
  <si>
    <t>https://www.london.anglican.org/directory/paul-woods/</t>
  </si>
  <si>
    <t>St Peter's Church of England Primary School</t>
  </si>
  <si>
    <t>Ref:0781</t>
  </si>
  <si>
    <t>https://www.london.anglican.org/directory/st-peters-cofe-primary-school/</t>
  </si>
  <si>
    <t>Mr Terry Bennett</t>
  </si>
  <si>
    <t>https://www.london.anglican.org/directory/terry-bennett-2/</t>
  </si>
  <si>
    <t>Stepney Greencoat Church of England Primary School</t>
  </si>
  <si>
    <t>Ref:0782</t>
  </si>
  <si>
    <t>https://www.london.anglican.org/directory/stepney-greencoat-cofe-primary-school/</t>
  </si>
  <si>
    <t>Mrs Elizabeth Figueiredo</t>
  </si>
  <si>
    <t>https://www.london.anglican.org/directory/elizabeth-dickson/</t>
  </si>
  <si>
    <t>Christ Church Church of England Primary School</t>
  </si>
  <si>
    <t>Ref:0783</t>
  </si>
  <si>
    <t>https://www.london.anglican.org/directory/christ-church-cofe-primary-school/</t>
  </si>
  <si>
    <t>Ms Emily Wright</t>
  </si>
  <si>
    <t>https://www.london.anglican.org/directory/emily-wright/</t>
  </si>
  <si>
    <t>St Saviour's Church of England Primary School</t>
  </si>
  <si>
    <t>Ref:0784</t>
  </si>
  <si>
    <t>https://www.london.anglican.org/directory/st-saviours-cofe-primary-school/</t>
  </si>
  <si>
    <t>Mr Julian Morant</t>
  </si>
  <si>
    <t>https://www.london.anglican.org/directory/julian-morant/</t>
  </si>
  <si>
    <t>Ref:0785</t>
  </si>
  <si>
    <t>Mrs Fanoula Smith</t>
  </si>
  <si>
    <t>https://www.london.anglican.org/directory/fanoula-smith/</t>
  </si>
  <si>
    <t>St Paul with St Luke Church of England Primary School</t>
  </si>
  <si>
    <t>Ref:0786</t>
  </si>
  <si>
    <t>https://www.london.anglican.org/directory/st-paul-with-st-luke-cofe-primary-school/</t>
  </si>
  <si>
    <t>Ref:0787</t>
  </si>
  <si>
    <t>Ms Nicola Horton</t>
  </si>
  <si>
    <t>https://www.london.anglican.org/directory/nicola-horton/</t>
  </si>
  <si>
    <t>Ref:0788</t>
  </si>
  <si>
    <t>Raine's Foundation Church of England Secondary School</t>
  </si>
  <si>
    <t>Ref:0789</t>
  </si>
  <si>
    <t>https://www.london.anglican.org/directory/raines-foundation-cofe-secondary-school/</t>
  </si>
  <si>
    <t>Ref:0790</t>
  </si>
  <si>
    <t>Chaplain - School</t>
  </si>
  <si>
    <t>Mile End Hospital</t>
  </si>
  <si>
    <t>Ref:Barts Health NHS Trust</t>
  </si>
  <si>
    <t>The Revd Dr Nigel Copsey</t>
  </si>
  <si>
    <t>https://www.london.anglican.org/directory/nigel-copsey/</t>
  </si>
  <si>
    <t>The Royal London Hospital</t>
  </si>
  <si>
    <t>The Revd Tasha Critchlow</t>
  </si>
  <si>
    <t xml:space="preserve">(Part Time) </t>
  </si>
  <si>
    <t>https://www.london.anglican.org/directory/tasha-critchlow/</t>
  </si>
  <si>
    <t>St Margaret's House</t>
  </si>
  <si>
    <t>Ref:0794</t>
  </si>
  <si>
    <t>(Part Time)</t>
  </si>
  <si>
    <t>Ref:0795</t>
  </si>
  <si>
    <t>Ref:0796</t>
  </si>
  <si>
    <t>The Revd Ella Sharples</t>
  </si>
  <si>
    <t>https://www.london.anglican.org/directory/ella-sharples/</t>
  </si>
  <si>
    <t>Ref:0797</t>
  </si>
  <si>
    <t>Barts &amp; The London School of Medicine &amp; Dentistry</t>
  </si>
  <si>
    <t>Ref:0799</t>
  </si>
  <si>
    <t>https://www.london.anglican.org/directory/barts-the-london-school-of-medicine-dentistry/</t>
  </si>
  <si>
    <t>DataBoundary</t>
  </si>
  <si>
    <t>DataLevels</t>
  </si>
  <si>
    <t>egryHf{MqAMcBU{@OEDCd@ICy@ESo@YBA?Ko@?uDCsEBuKAsAD{DCm@EY]_ADCz@LXkB^y@f@}@^Oz@IDCOkF?Ol@GbJg@DN@x@BFD@tBBlFRzDHBFG`OFFrDN`BJn@?\DzCFp@?VCzA?fBGlBMD@?VBVMhECr@KhAo@~P_@xHIREn@ICoEMi@EeEEM?c@^]AqA@cBQs@Ia@CSEaBKe@GsDYaAK[AsDW}CM</t>
  </si>
  <si>
    <t>P@?C?C?DB?BF???@C?AE@CB?C@?D?H?D?@?D??F?@F?@??B??@??I?@A?@A@?G??@B@B?C???????A??P</t>
  </si>
  <si>
    <t>https://http:/www.hackneymarshteam.org.uk</t>
  </si>
  <si>
    <t>{suyHvxGJsA?i@Ic@@_B`AeFAeCGw@{@yEEs@?c@Fq@FSpA_CXw@CiCGo@m@}CMsABoATgC^oBxAyEReAHmA?gBg@_DMe@QWYCQJGRIl@GtBGd@ORSPS?YQIo@@sFCuB?_AHm@`CmHlCmJbBeFdDmEn@eAjDmAzBKR_E~HwT\WTKPc@\eCTc@hCy@~DiBtFs@nAOn@C?lBCXaAnEcAvFb@fBCdA@jAZbNDn@@hAVnJRpLAxBDpBDh@Nr@Nh@zAzEt@vBJb@r@rBVdAdAtIvAvI\zC^fC@@tAc@|IoCt@Sl@WTOTYX[x@kAZ[XSp@WREBFFxGAxB@|DC`EGlF@VCfA?x@ABQFi@JU@YHoARQ@CBy@DcAAO@EPChB@d@KvF]v\EhBOAc@@SKs@H_@Ck@Ou@`CITC?SiAeAoHe@}EaAmIcBgKScA_IvDi@XmGbC]R}SjIK@g@EgAJw@TuAj@OgAeAgKQsAYaBIYcAsFCGwA`AGLq@b@cA{FEFUbAQpAc@vBo@`FY|AOXSTyAv@</t>
  </si>
  <si>
    <t>PA@@CD@BA?D?A@DA@BAD@BB@EBA@FB@C??C?B@EA@A@G@@E@DBECB?B@AFAC@?J?B@EB?A???A?@F@?A????D@@?G???@D?@??B?A@G@?A????E?@?????B@?F?@???I?AA@AD??F?A?A?H?B??C?@B?G??B??EA@?EG?@?A?D?AP</t>
  </si>
  <si>
    <t>E9 5QB</t>
  </si>
  <si>
    <t>http://www.hackneymarshteam.org.uk</t>
  </si>
  <si>
    <t>sciyH{dMO{AuB_JcAcD{DyIsEgGaLkMuGqF[_@cIcGkFgDsCkD{EcHeCaFgAuCeBeEsA{Eo@aD}@uIgAoa@MmD@mE^oHh@cVBqECoBU}Em@qGuAgKqA}I{@uGo@eJcAgHcAoDuAqEgAgEm@aDw@uFk@mES{Bi@}OAeDPiEjAwTf@uE~CeQpA}H`BqGpJw[t@qCpBwIvCoPvBkPVuCZeFx@mQ~HrAtT~DKrEtEbAvATrGEpL?pIjCpErA|Bt@~InCm@vLInChEn@~Bb@\JAx@lAf`AnArhAFdB\jZFxDh@~f@HvD\x]TpO?j@pA|dAAX`A~x@AFMRo@tASl@_@jCQhBwAhLOxJI|BKzB?dBDhBXpDTpDHjB?fAIdFETk@vLC?cCiD_EqE_@][c@eFwFgH`A}I`E]JYP</t>
  </si>
  <si>
    <t>PACAFAD@BADAFA?D@BI?DAACA?FA??AAD?@C@?D@AH?AD?EA@CAE@C@L?EE?D?E???F?F@?I?????@??????@H??@C??E@?@C@?@?CA?H?A???FC@?P</t>
  </si>
  <si>
    <t>https://www.gracechurchhackney.org.uk</t>
  </si>
  <si>
    <t>http://www.holytrinity.hackney.sch.uk</t>
  </si>
  <si>
    <t>E8 3DY</t>
  </si>
  <si>
    <t>etpyHppPhAcAj@a@fPwKvFwC`Ai@FIl@jJV`F`AWj@G?CnBc@hCs@\G^@rDVv@FXFg@vBWvA{BjND`AABWHGTeCdOcAk@[M[EQ@CQACQ@e@Ng@T?Ee@RqC|A_F~CcAx@wCuJ}BsIeCsHoAgCcDsESQ</t>
  </si>
  <si>
    <t>P?AB@?G?F?@???D???H?@BB?ABH?A?A?C?@@E?A@G@@DA@P</t>
  </si>
  <si>
    <t>E5 0PD</t>
  </si>
  <si>
    <t>https://hackney.church</t>
  </si>
  <si>
    <t>kvsyHhnKcDid@aB_Ba@_@[Oy@UFoB@uAOkC[eCk@uCdFwDpBcATYm@{AMq@z@i@o@aEs@iC{@X[w@KiDz@IImCWaEu@LYkE|@SYwDy@RMuAkBt@fDqA\SlGcCh@Y~HwDRbAbBfK`AlId@|EdAnHRhAB?HUt@aCj@N^Br@IRJb@AN@ClF?rCBBb@YPELx@vAdHnAg@RARGh@@dBJd@Ih@CrB]?@v@|KLvC@Dh@CD@n@hLB`AkDlAgHzByEzB_FpCKN_@ZWNSN]Py@f@kA~@eCj@YB[Jq@^a@^k@p@i@x@[f@eBlDKXm@fA</t>
  </si>
  <si>
    <t>PD?B?E?AC@F@AD@CEADCDCC?CCCCECCG??A?J?A?A?F??DA@AA?F?D@?C?F@?B?B???F@C@?B?H?C@B?A???@C@A?E?@B???P</t>
  </si>
  <si>
    <t>https://www.stsaviourspriory.org.uk</t>
  </si>
  <si>
    <t>http://www.standrewsn16.org</t>
  </si>
  <si>
    <t>_kwyH|iPIMMK_@MWO_A{@UYaAeBgA}AEO]q@Wu@w@gDc@}Ac@oAy@kB]c@GE_@CK@YFYJi@\ONGLMb@E\?z@f@xEAj@CLA@e@k@A_Ag@uH_@}LA_FHcGJ{BVaDv@cHLwB`AiIjAiL@CR@fCd@nCX\BBBx@DvDH|@?pCDnGB|ABf@BjCBzAFhA@vMXCdAGFc@`CEFCAADgAxEEF_@rAEDQDaCVK?ECc@k@gB\KFGGC@EHAPDHFCD@Rd@QZSLILMXI`@En@Af@D`C?lAJz@Ip@D\Lh@BTAfAGv@@ZFVtBQxCSxAPb@FBBMRq@l@u@b@m@T}@Va@FCBbDvR_JrDwAv@}@p@}CnCWZqApAeK|J</t>
  </si>
  <si>
    <t>P?@?@B??D??A@?BA?F?A?B@?D?ABA?C?G@@B@E?@@A?H?@A???C??????A??IB@A??@@?E?@B?AC@A?E?B@?AC@?@B?F??AAA??A@A?F?C??F?@B@??EGB@D@?@P</t>
  </si>
  <si>
    <t>http://www.hoxtonchurch.org.uk</t>
  </si>
  <si>
    <t>wzpyHpzOs@_K@a@hEem@tBHrDDLBb@@h@DhABvALjBHjBCpCUl@?|ALdBRCrB[fNI@kCC}@C}@?_BGEB@nC\jLAD[Bc@@q@EEBHtE@tKCFuHd@e@FuAFsCROA_BJm@@w@gAC?QL</t>
  </si>
  <si>
    <t>P@DG@A?????C@@B?I?F???@?E@D@A?@D@?G???@??CB?P</t>
  </si>
  <si>
    <t>https://saintbarnabasdalston.org.uk</t>
  </si>
  <si>
    <t>https://www.holybart.com</t>
  </si>
  <si>
    <t>ahxyH`zMkBmA_Ae@OCCCSIq@Os@IeAIg@AuAF_BPCDe@Do@N}B`@cAH_A@UyDCKgAkR_@qEmEa`@q@gEu@kDEGy@wC{@oCeAaCUc@s@w@]S]KCGWI_AOM]o@aCWiAc@{Bi@eDk@}EYkDS{Cv@^`Ct@XRH@`CA@B@^Af@jBj@^jAN\vAhBLVfC|FbCdFr@nAdA`CXb@n@NhDGjGsBpBdRDFn@zDzAc@bAa@v@UjAi@B@\nDED]NCFp@fHzBtXHbBAlDCtAaA@_AJ_@HI`BLxCHp@Nl@X~BBdBVrC</t>
  </si>
  <si>
    <t>P?C??@A?E?B@?@?A?G??@CAE@?B@D@B???ABE?A?CA?J@@?CC??CE?A?BA??@FACFA?F@?@?GC??C?@D?D@?DEA?@A@P</t>
  </si>
  <si>
    <t>_vpyHh_NDk@HS^yHn@_QJiABs@LiECW?WLsANaEPyJBsHAo@DaF?iDBgAJgAdAdAf@p@pBpBjElGbBnAjClApBfAfAZF\V|FRxRRdFFj@Jl@fArE`@zAk@nAGXIh@QlKI~AeBS}AMm@?qCTkBBkBIwAMiACi@Ec@AMCsDEuBI</t>
  </si>
  <si>
    <t>P?@A@?A@?@@CA???A?I@?BDA?AF@AAD?@?HA?C@G?B@@C?????A@P</t>
  </si>
  <si>
    <t>https://www.stjamesclapton.co.uk</t>
  </si>
  <si>
    <t>http://www.johnjames.hackney.sch.uk</t>
  </si>
  <si>
    <t>http://www.st-johnjerusalem.hackney.sch.uk</t>
  </si>
  <si>
    <t>E9 7DH</t>
  </si>
  <si>
    <t>http://www.sjoj.co.uk</t>
  </si>
  <si>
    <t>wyqyHfxIIsBKcBKkAg@}IaCaPdAyDYk@}AkCIw@gAyGu@{D|DyKs@gFi@}EDK`BsA@EIg@BGB?@@XbArBcB^_@RMFL@?`AoALBLNRDBCF}@BsAF}@h@{DP_ARw@r@oBUuB^e@hDqFDArGfLdBpDjGdJ`BfG?D_FfJ`DlGm@z@@d@fBzBZf@Tn@N~@PxAT`CJrB?hBM~AM|@Oh@Ul@w@rAWl@Sr@S~@E^G|ADrBP|ANt@Z~@h@~@\^bAn@JQt@Jd@@B@]nCIlAC~@FtBBTB?Bn@L|@`@tBR`Ar@dCLj@E@i@G_AU]Eu@Ac@BMCe@?eAEcAIcBSsBK}@@q@Rc@J[EYMe@[iGeFgBoAUKWAyDFmAA</t>
  </si>
  <si>
    <t>P???CDD?C@?EE?G?C?@D?@D?BA?BC@A?E??AC?@CD??JABCF?EDBCA@D?A?FA?C?A?A?C?AF?B@D@CB??E@B@D???@A??H?@?A?@??A?@CA?AE?@@?E??P</t>
  </si>
  <si>
    <t>http://www.st-john.hackney.sch.uk</t>
  </si>
  <si>
    <t>https://www.stjohnshoxton.org.uk</t>
  </si>
  <si>
    <t>etpyHppPACSQs@c@qDoCGcCH}ACcB@oB?KFK^g@TOx@hAl@A~AKN@rCStAGd@GtHe@BGAuKIuEDCp@Db@AZC@E]kLAoCDC~AF|@?|@BjCBHAD@r@BJABFDAJBh@??Cn@G|@WNlFv@@LQTABBJEBBtAEBZHnDD@lAEBD?pGLBt@?BBDAt@BJ~Hl@lIVzDDjAi@`@MNUXUf@YGw@GsDW_@A]FiCr@oBb@?Bk@FaAVWaFm@kJGHaAh@wFvCgPvKk@`@iAbA</t>
  </si>
  <si>
    <t>P???EA@?@?G@CD??@???F?@D@?A@D@G?@???@??@@?@C??IDA@??@?E?D?@CD?@??EB??H?A?D???D???@?F?G?@BA?P</t>
  </si>
  <si>
    <t>https://www.sjebp.com</t>
  </si>
  <si>
    <t>wkvyHlvSuAg@GI`EkIRc@?CuHgN?@oBkDgDuE}DaGoEsGk@q@mBmCLQpAeAjEyCxA}@h@YfAY\ErB?nAEx@GVEl@SzCuAn@a@f@QjBgAl@WdB_A`C}@pBg@h@SDE?O@Ct@MhAGtFFBAz@A@BQn@UxA]|Aa@pAy@hB_@lAIh@CdCOpBPbCFd@Rt@VvB@f@NtALp@Zt@a@Bs@|@aEnGiB|Ck@tAiBlCmDvGkA~Be@n@ADZt@@LsDhG</t>
  </si>
  <si>
    <t>P@D??F@?C??@?H?A@?D?B?B@?D??@??B@?B??E@A@?I@@?B@@C@@E@?A??B@FBB?A@C?@B?@CP</t>
  </si>
  <si>
    <t>https://www.stjh.org.uk</t>
  </si>
  <si>
    <t>oznyHffPEkAW{Dm@mIK_Iu@CE@CCu@?MCAwGoADEAIoDC[uADCCKDCCU@MPw@AOmF}@Vo@F?Bi@?KCE@CGK@s@CEAZgNBsBH_BJaHDkBHi@FYVm@R_@AQb@c@?@h@e@p@i@j@_@l@S@CA[BE`Dc@DCSoG@GVKbE|NjBq@pIaCB?b@pHd@fLH?^Cb@?GmBxBa@PAAzFBp@vBz@nDdBlAr@p@b@@Fm@jH\LHHnAdCLP@HNL@FZb@v@h@jAlArCbCdAbAnD~DDFDV}BhLENyGqDOJc@GKUwCy@[TyB[[OE?q@TAE?UCCiCKM?[HaAMEZw@DCB?LE@aA?UDGKUHAN?fAR|KA@i@DmAFeAHUDEAWHSBEDKACBi@Je@LaA^o@^</t>
  </si>
  <si>
    <t>P??BD??@?DF?D?D?@??@AEE??B@?@@??G?@?@@E?@AC???A@B??D?EB@IF@?F@F??DC?F?E@A?E?E?B??@??B@@?BA?H?FBABAEB@?BB??BA?ACBB??B?AAF?@F?????@??@C??A?P</t>
  </si>
  <si>
    <t>}tsyH~nNYSWa@Qu@MyAK}ASmFGkDDiDCAzHb@J?_@oFQkB]sBSs@Wm@KQWW}@Y[Q]]W]a@qAS}@y@iCOcAK_@EIgAqAOMMGY?GCm@m@C?oAcAc@U_AY?m@`@eKdCgAhBeArAaAz@y@bAkAjAkBl@gAJYdBmDZg@h@y@j@q@`@_@p@_@ZKXCdCk@jA_Ax@g@\QROVO^[JO~EqCxE{B@XGz@AlAJxDJhBDlETrDVdI?lAHjDTlF?NPdFGH{@H_@Ng@|@_@x@YjB{@MEB\~@DXBl@EzD@rACtKBrE?tDJn@}@NaCZy@d@UHmAVa@N?GMJi@VkBn@i@BUVu@jAFd@ELGHOLwAx@qCtAw@f@u@p@o@p@OT</t>
  </si>
  <si>
    <t>P@B@C?A@?E?F?FA@?DA?A?C??@@?E?B??A@?B?E?H@B@D@B???B@?E?A@C@???A?B@J??A?@BA??@??E@AC?BC@EA?C@?A?AG?BA??@A?@AE?BA?C?@@B@?P</t>
  </si>
  <si>
    <t>http://www.stmaryofeton.org.uk</t>
  </si>
  <si>
    <t>{lryHlcGDaCAWFmFBaEA}D@yBEoFEo@SBc@Ng@Z[Zy@jAYZUXUNm@Vu@RsLrDGSYuBe@_EoAsHeAuIWeAs@sBKc@u@wBkBeGOs@GkACoA@yBSqLWoJAiAEo@[cNAkABeAc@gBbAwF`AoEBY?mBvAIZLV@n@Sv@AfA[lAeAf@WhAMfEmAnBOPKr@GzJlBHX@NAz@BDPABDfB~XBF|Ah@HFQz@e@tDmA`OBDNFlHhCFFx@fGz@fFVrB@TpBzG\tAn@tBXlGLhAh@~KV~Bs@nBSv@Q~@i@zDG|@CrAG|@CBSEMOMCaAnAA?GMSL_@^sBbBYcAAAC?CFHf@ADgBzAh@`FwEtBc@Hg@?[BQ?GAGs@EaA</t>
  </si>
  <si>
    <t>P???A?@?G?@B??@?D@?G??@@C????B@H?@A???A?BE@B?GA@BACA@CAA@@JBF?B@@AD@?E?AF??@F?@?C??D?@@G@?CA??E?A@CB?AB?D@?D@?CEFB??D?B?P</t>
  </si>
  <si>
    <t>https://www.stmaryn16.org</t>
  </si>
  <si>
    <t>_lvyH`hQMk@_@yBa@_BOWWO]EI@OJSLm@ZIFu@`AQNuAl@SBK?SGa@Q]SOOU[i@mAQW_@_@SOw@WQMQQwAwBQe@E[?OFu@?_@E][q@Sy@i@_AWaAdK}JpAqAV[|CoC|@q@vAw@~IsDcDwRBC`@G|@Wl@Ut@c@p@m@LSCCc@GyAQyCRuBPGWA[Fw@@gACUMi@E]Hq@K{@?mAEaC@g@Do@Ha@LYHMRMP[Se@EAGBEI@QDIBAFFJGfB]b@j@DBJ?`CWPEDE^sADGfAyE@EB@DGb@aCFGBeAV?XDDDvA`@zBl@zFr@dCRtBXBfEh@H\lAFHpDxMNpA@Bj@ARBDFJZTh@LFf@DDBs@xTBBNDf@^LLb@l@tBbFTpAJnAB~@?tCzCpCpG@V@JDJLDTLv@lAdFEFq@l@Fb@KFIVQt@a@z@OdAMR]ZUHK?QEg@_@c@CQ@UDk@\_DvAm@FcAAw@KWEuAa@SLuAf@]H}Al@gDjBaAb@M^AC{@@C@uFGiAFu@LAB?NEDi@RqBf@aC|@eB~@m@VkBfAg@Po@`@</t>
  </si>
  <si>
    <t>P?@B@EA?B??A?BD?@B??E??BA??B?D?B?@?C@@@H@?@D@BGE??@B@?F??C?F?A@A??AAA??F?B@?@CA?@B?E?A@CA?B@?E?@@??A@BBJ???B?@GCB?CAD?@B??B@?EE??A?CD@B?FD@?E?@@I?BB@?@AA?E?B@A?D@?AD@A?E???B?BD@?@B@D??B?@B????P</t>
  </si>
  <si>
    <t>http://www.stmarys.islington.sch.uk/</t>
  </si>
  <si>
    <t>https://stmatthewse5.wordpress.com/</t>
  </si>
  <si>
    <t>k~uyHnhM[Go@?EC{BaIy@aDc@qBk@eDa@_Dg@oESeCQkDc@iO?e@a@cQJCvEg@`@Oj@c@vDiEhDoDv@k@|@i@~Cy@~CgABEj@IrA_@BFTlHJjHG`Cc@~JD@p@B^FNDVPPX~@`DZr@T`@l@l@f@\zAn@pHpEh@Tb@JP@l@?FrBE~ACDsHjDiGrCk@ReEjBiBx@GHo@XkMxF[fEk@nCy@|BMh@</t>
  </si>
  <si>
    <t>P??D?B?@E@?C@?H?@D@?ADA@?@?I?@C?F??A?D@?B@D@@C?A?E@H?@?????@FBA?P</t>
  </si>
  <si>
    <t>http://www.stmatthiasschool.org.uk/</t>
  </si>
  <si>
    <t>https://www.stmchurch.co.uk</t>
  </si>
  <si>
    <t>ybtyHtiPGc@p@m@DGmAeFMw@K]EEKEWAqGA{CqC?uCC_AKoAUqAuBcFc@m@MMg@_@OECCr@yTECg@EMGUi@K[EGSCk@@ACOqAqDyMGI]mAi@ICgEBA|H|@nCT|CFdDAzFl@rAHv@BBCx@@jBDzCTDBEhDFjDRlFXvDJf@JVPVXRWr@O|@_@pHG`BQ`IDfALrBDXAPHHIxAk@dBYr@_@vAUhBFd@e@tF[P]XMb@Gv@ABKA[SkAi@M@CC</t>
  </si>
  <si>
    <t>PB?C??E?@ADF?B@DC?A??EE?@B??B@?DAC?BCI??B?B?A???A?HA?C@C?@D@B?CB???AAF?@CAAE@B@?D@?@?P</t>
  </si>
  <si>
    <t>https://www.stmichaelslondonfields.org.uk</t>
  </si>
  <si>
    <t>olryHlbLUmFIkD?mAWeIUsDEmEUmFAu@@mAF{@AYfH{BjDmACaAo@iLPEfAEdDEVABClA@xDGV@TJfBnAhGdFd@ZXLZDb@Kp@S|@ArBJbBRbAHdADd@?LBb@Ct@@\D~@Th@FDAVrAT~AN`BBpAGfBKjAKn@Qf@Yh@qClDe@dAUdAQlCAh@?hDE`F@n@ArFKtIWdHMrAEAmBLgBF{A?WBq@?{CG]Eo@?aBKsDOGGFaOCG{DImFSuBCEACGAy@EOcJf@m@F</t>
  </si>
  <si>
    <t>P@??A@@B@??F?F?H?@??A??E?@@?EA?AC@?A??@?A?@?I@?B@D@?C@B@E?A???@B@H??@??B??@?F@?F??D?@?D?P</t>
  </si>
  <si>
    <t>http://www.stolaveschurch.co.uk</t>
  </si>
  <si>
    <t>qixyHpjRScCwCTqCV{B{MsAqIoAyKGcACGGy@Q}CBCT?FCfWo@RADAY_ES{DAgA?mDI_DK}@S_D`BtAf@n@@ABM@k@g@yEAe@Fs@Tq@^[r@]d@IT@PF\b@x@jBb@nAb@|Av@fDVt@\p@DNfA|A`AdBTX~@z@VN^LTVXbAh@~@Rx@Zp@D\?^Gt@?NJh@Zn@fA~Ab@^v@VRN^^PVh@lATZNN\Rt@XJ?RCtAm@POb@k@Z]l@[b@YHA\DLFHFNVTx@ThATtALj@{CtAm@RWDy@FoADsB?]DwA`@sBnAkExCqAdA]^uA`AmAf@UVM@}An@EDuB`AcDhA}BjA[T]b@]Zk@\i@Pa@\STCL</t>
  </si>
  <si>
    <t>PD?F?CA???G??@??G@B??A?E??E?AA?DACA?I@AB?@A??D??B@?@D@@@C?@?AC@F@?B?@@B?@E?AB??A?C@?E?@A??H@C?@AB?E@A?@CAA?@?@AC@?A?A@@P</t>
  </si>
  <si>
    <t>N16 7QB</t>
  </si>
  <si>
    <t>http://stpaulswesthackney.org</t>
  </si>
  <si>
    <t>uxsyHtsM}CWkBEy@ACBw@CsAI{Fm@sF?oAEoCU}H}@C@uBYeCS{Fs@e@KmDcACCLi@x@}Bj@oCXcElB_A~I}Dn@YFIhBy@dEkBj@S|P_IBED_Bz@TDEr@L`Ac@a@dK?l@~@Xb@TnAbAB?l@l@FBX?LFNLfApADHJ^NbAx@hCR|@`@pAV\\\ZP|@XVVJPVl@`@bBNbAPjB^nFK?{Hc@</t>
  </si>
  <si>
    <t>PA???A?BA@D??@@B?G@@@BI?@????@D?D@@CH?E?B?@A??B?D?@@??D?A?AC?@F?@F?P</t>
  </si>
  <si>
    <t>http://www.spsm.hackney.sch.uk</t>
  </si>
  <si>
    <t>http://www.stpeterdebeauvoir.org.uk</t>
  </si>
  <si>
    <t>y{pyHx{OGIsCw@eUeGEBEGqBi@GKo@QcO_Eq@DyBVAAIU?QHq@f@kGJm@JcA@g@?YCOe@_AWeAH{@DcAXgDHuBHq@b@kJDa@B?z@NbBTpAL|CLrDVZ@`AJrDXd@F`BJRD`@Br@HbBPpAA\@b@_@L?dEDh@DnELHBiE`m@A`@r@~Ja@f@</t>
  </si>
  <si>
    <t>P@@@@??@AD??H@A?@??D?A@C????@?I???A??A???????C?B@B@??HC@CP</t>
  </si>
  <si>
    <t>Street, N16</t>
  </si>
  <si>
    <t>https://www.saintthomasclapton.org</t>
  </si>
  <si>
    <t>mbxyHb_Na@a@qC_CWsCCeBEi@SuAOm@Iq@MyCFs@@k@^K~@K`AADwEAmAGaA{BuXq@gHBG\ODE[iDAECAkAh@w@TcA`@{Ab@o@{DEGqBeRnBo@dAOV?l@FZEd@SR[`AeCh@_@\@^T`@FPCHSBe@Nk@r@aAl@SQk@Gw@Cw@Ja@NWTM\BZH\T`@`@H^AjAt@nCdDi@Z[^g@?aAIg@O]aA{@SYCi@HYLKVKd@Kb@DzAr@\Fb@EnAe@j@Gz@kAVgBA{CNaAj@eAx@a@|A_AjAe@T~@j@dBZt@R^b@h@RN\FXCBFAROl@k@rASbAMnAAl@AbCJvGJvCFl@VhBXrAV|@B@HEz@e@|BeBl@Ub@K`AOTCB@`@bQ?d@b@hOPjDRdCbAxIp@zDb@pBx@`DzB`IDB_MYiAA{AGkCCg@C}ACoGCqCE}@?wDIy@ECC]CoCYyA[m@ISACDGh@aA|JaAhIMvB</t>
  </si>
  <si>
    <t>P?D@?A??EA?D@ADE?A?C??CF?A@??F?AHBA?A@D@ADAA@E@@CBCA?C@AF?B?DABEF?BD@B@C@E?@CA@C@@ECAADB?@J?A?C?B@@E?@AC?@D@C?A?F??AC?A??E?@A?EAC?A?H??A??????C???@@?G???@P</t>
  </si>
  <si>
    <t>http://www.theurswickschool.co.uk/</t>
  </si>
  <si>
    <t>N1 0DH)</t>
  </si>
  <si>
    <t>http://www.allsaintsislington.org</t>
  </si>
  <si>
    <t>yrqyHjmWGuASuBaAaHiA}GuA{IqA{Gc@kCDAF@jCWBI{BoMsAwIgBeNaCuN]oD?EFEtCeAnBm@rA_@L?~FuAr@OPAj@FpKnCvGV`EVZF~AHDB?r@`@tECH^xDBBHCB@@FGd@Sv@}DfO|EdELPSjE@F~Df@r@D@b@UlK?JBDnCd@rKqA~@KBBl@dQ@I?^d@|NY@?CI@wCAwEOaACC@gAEqKSEBECg@AiDJgAHGHg@J}A^_Bj@uCbBqAtAmAtBm@p@aAx@[R_@Ng@H}@AEA</t>
  </si>
  <si>
    <t>P?AB?@?E?@AD@AAAG?@?B????I@C@?@?G@@BB@@?E?@F?D?E?E???FC@@FA??I???A???@@??B?F@?@BDA@B?C@A?P</t>
  </si>
  <si>
    <t>http://www.christchurchhighbury.com</t>
  </si>
  <si>
    <t>yltyH~rSIgVG}D?oABUCKCCC?KJULaMdHADUoBAq@K_BGQQcCWkG@Cr@Id@ARGBCOy@?KZeDB?h@iHAEmAuAACXwK@EFAbFIX@fAChBH@FI`D@lABF`HHHG|@Cl@@\BBENoD@qCtKq@\BXPHJHNNz@N|HABG@ABb@rS@@~CQNCtAGp@B`CV@B|Er@HAHD~@R`@JTdAf@`Dd@lDPvBHzD?`@I`B?^Ip@CDiHoD}CwAGG{HaECF_@hFCdAW`DIb@a@~AOvAOHeI~CC?e@a@e@USGe@?{@LyD|@yE|@</t>
  </si>
  <si>
    <t>P????G?A??@DF?@@@D??@?D?B@@D??DH?@A?@E?@?E@@@?F@AE@I?B@CA??AF???@C???A??G@A?C?A?@H@?A?G??@B?AF?D??B?D??P</t>
  </si>
  <si>
    <t>https://www.city.ac.uk/</t>
  </si>
  <si>
    <t>https://www.cityymca.org</t>
  </si>
  <si>
    <t>http://www.clerkenwellprimary.org/</t>
  </si>
  <si>
    <t>http://www.hopechurchislington.org</t>
  </si>
  <si>
    <t>u~syHdaUeEsFkDsDwBsByD_DoEyC}@g@cDeBcDoA?K]mBlKgCXEdLeCDCxE}@xEeAl@G\Bn@Zd@`@B?dI_DNI@CLsA`@_BHc@VaDBeA^iFBGzH`EFF|CvAhHnDFSDc@?_@HcCdBADAN?^KDB?BYx@Mh@CdA?XDFvCR`CIZCB@`@CB@pBGHbB^~Et@pJ}A`@oBl@uCdAGD?D\nD`CtNfBdNrAvIzBnMCHkCVGAE@}OrAcDZSH[AYB{DEcE@kDA_DaE}AwBwDqGaDiGwBuC</t>
  </si>
  <si>
    <t>PAB@D?BAD?H@???@D@B@?CG?AA?B@??G?@?E?@?D@??E?@?B@?EB?????I??F?A@?FAAA@@I?@?@@C??@?G?B@AP</t>
  </si>
  <si>
    <t>https://nagsheadcc.com</t>
  </si>
  <si>
    <t>http://www.holyredeemerclerkenwell.com</t>
  </si>
  <si>
    <t>ykoyHbsUiE}Jw@iDz@[pEsBBGUoB@GpEcC{@aDxDeA~CmEpBiCb@u@hAcAdAq@@@pF`GtAy@~@tBCLcA`BuArBu@`AaA|AkCbF_BnDG|@IHYxAQb@[r@s@jAeApBi@x@OLo@VuARSDO?iCNwAL</t>
  </si>
  <si>
    <t>PBF?D@?DDED?@B@?HDCAF???ACBA@@C??@E@A?B??P</t>
  </si>
  <si>
    <t>https://www.standrewsislington.com</t>
  </si>
  <si>
    <t>http://www.standrewsn19.org</t>
  </si>
  <si>
    <t>cbwyHzvZW}BSwBE]q@sBkCyFi@uAiAgDaAmDeAsC}@{C_B{Dy@cBWc@Oc@w@sC{AkIx@a@t@g@~DoDxAiClBsDpAwBtBrEzC~FxD|Gv@jAFFTE^Y`@cArBwDhAcCnCpF`AtBdApBzAxBYpAiBfGeDpJ_CpGsFnLM`@_@lBa@nAqBlF</t>
  </si>
  <si>
    <t>P??CA?B@@?B@?@CAG?AD??I@A?F@AC@@F??AH@ABAB?A?P</t>
  </si>
  <si>
    <t>http://www.standrews.islington.sch.uk/</t>
  </si>
  <si>
    <t>http://www.staugustine.org.uk</t>
  </si>
  <si>
    <t>k|tyHbdRuBkD@?oE{HC?ACe@{E_AmDUuA@GIgA?i@D_@XiAFq@ACUQL_@`Ac@fDkB|Am@\ItAg@RMtA`@VDv@JbA@l@G~CwAj@]TEPAb@Bf@^PDJ?TI\[LSNeA`@{@Pu@HWJGBBLAjAh@ZRJ@@CFw@Lc@\YZQd@uFGe@TiB^wAn@gBrBp@jBr@nCtBnAhA`@PtC~@?|CD|DHpC^lIZjEj@fF?ItBfOfAfHC?\fCI@}Es@ACaCWq@CuAFOB_DPAAc@sS@CFA@CO}HO{@S[YQ]CuKp@ApCOnDCD]Cm@A}@BIFaHICGAmAHaDAGiBIoDB}CH[|K@BlAtA@Di@hHC?[dD</t>
  </si>
  <si>
    <t>P????EB@C??B?@B?BH?A???D?A@DA?@D?A@B?E?AA@?@D?@?@F?@B@CAAC@G?B?C?I?@B@DAA???H???C@???GA??AD@B@HEA@F?@@@E?@?DA?GD??D@@P</t>
  </si>
  <si>
    <t>https://www.stclementfinsbury.org</t>
  </si>
  <si>
    <t>sfoyHxwRCCg@KaHwAtKsp@FUVI@CEaAzBkNVwAf@wBTg@b@i@j@c@l@]rAg@|@QBCJ@DERCVID@R|Cr@~Mp@zHd@zDh@tDhAjHlApF|BbISb@MWOF_Az@QHwCx@I?qH|BcKlDqCpA</t>
  </si>
  <si>
    <t>P??FBA?BB@?F@B?CA?@???I@@B@D?BAGBB??B?@BAP</t>
  </si>
  <si>
    <t>http://www.stgeorgestufnellpark.org</t>
  </si>
  <si>
    <t>mouyHffWpB_CdLkRtAoCRYHP^b@xBnDjAzArAhArDpCvCdCfF~DlDdEl@x@g@nA{AjDcDxGgBhD\hBxAbK^nA~CnIo@lA_A~AgB`Ck@j@m@V_@VUPORSb@Qj@Qz@Gp@_@dBSf@QVc@d@y@r@mEdDEGm@[qEsA{B[QE?QEQmBiGkAcDwAoDgAaCgC}EkAmBkAiBbAmDwAsBQIk@{@aDsFXs@k@_AnB{Dj@uAXy@n@kCPi@\u@|@wApB}B</t>
  </si>
  <si>
    <t>PB@?G??@C???C?H?A?F?C@F?AC@?A?D?A@?A?D?@I?AB?E?@A?C@A?EDAA?GCC?B??D@AP</t>
  </si>
  <si>
    <t>http://inspiresaintjames.org/</t>
  </si>
  <si>
    <t>iwnyHrbUH_A~AoDxBeErA{Bt@aAtAsB~@{AFS_AuBuAx@wDgE{@{@eAp@iAbAqFmOGWGyA_AoA_GcNjAkBXWpCqAbKmDpH}BH?vCy@PI~@{@NGJV|B~KZhC`Ac@Hj@PEHj@Bn@DVBBVHv@NF@HMGc@BA^M?Jx@SHIDDABFV`@[FX@HA@FZW^v@`C_AdAJh@WPeBrCUf@TXt@h@JXTWxCqBf@rE{@ZIHq@|@aAnBSTG@i@C]Fm@KmBtAg@b@S^i@dBOv@Bv@AXETABe@LABD\P~@DvEIb@BbDIzCGRaAfAUj@]xAA@u@W_@S{BjBo@@GJcDP_@l@gByC</t>
  </si>
  <si>
    <t>PB@C??@@GCD?E@FB@CAHC@DA@?B??I@AEDBA??C??D@A@CAA@C??BF???BBDABA?E@AD@EG?B@@C?@ACA@F?B@?B??D?ABA@D@B@F?@DCA@CEP</t>
  </si>
  <si>
    <t>https://www.stjamesislington.org</t>
  </si>
  <si>
    <t>__pyH`wSEIcBu@eBsAgAs@yAwA{BcCc@a@U_@{CkJe@eAsAyBsCuD}DcFC?uC}EkFoK@S~DaILSx@iBrB{D`DuD~EuFlBqB@GRPbDrEnAfCdCrH|BrIvCtJbAy@~E_DpC}Ad@S?Df@Ud@OPA@BBPPAZDZLbAj@oNt{@_@tCKl@QVMHI@aBIe@H</t>
  </si>
  <si>
    <t>P@A?B??E@@D@A?CAH@???D??@I@AD@@G@A?E@@?C?A?A?H@?E@?BAP</t>
  </si>
  <si>
    <t>http://www.stjohnsupperholloway.church</t>
  </si>
  <si>
    <t>http://www.st-johns.towerhamlets.sch.uk/</t>
  </si>
  <si>
    <t>http://stjudestpauls.co.uk</t>
  </si>
  <si>
    <t>http://www.sjsp.org.uk</t>
  </si>
  <si>
    <t>suryHhiRUgAa@K_ASIE]gCB?gAgHuBgO?HYaC[kDQeCQcDW{HE}D?}CuC_Aa@QoAiAoCuBkBs@sBq@Tq@HyAII@QEYMsBEgAPaI`@eJDm@N}@To@PYn@q@t@q@v@g@pCuAvAy@NMFIDMGe@t@kATWh@CjBo@h@WLK?F`@OlAWTIx@e@`C[|@O@?XCRn@x@DHBc@`JIp@ItBYfDEbAIz@VdAd@~@BN?j@MxAKl@q@nIJVxBWp@EbO~Dn@PFJpBh@DFgBlOe@rC_@dDuA~KZl@sDzHvC`I@dDw@n@mBjBg@^o@Xy@VOJl@bFGDwKfEUL</t>
  </si>
  <si>
    <t>PC??D???AE?A?CA?F?C?B?EABA???H@C?A@F?@B@?C?AB?EA@?A@??AB???JB?D@????D@A?C?@GB?CA@??G@@?CDECF??B??EE??P</t>
  </si>
  <si>
    <t>http://www.saintlukeschurch.org.uk</t>
  </si>
  <si>
    <t>yrqyHjmWE@]AI@OFcA|@a@Ta@N]Fs@HiDp@_BLyHpAaCd@wDn@}Ab@w@l@i@n@Y^[l@_AvBc@bAY~@Wf@{@pAC@o@t@YPq@\mA`@WDy@d@w@Ae@@]JURg@|@uBbFgBpC_DoI_@oAyAcK]iBfBiDbDyGzAkDf@oAm@y@mDeEgF_EwCeCsDqCsAiAkA{AyBoD_@c@IQzAmCzCgFtHoLvAaCJUvA}BnAeBzAiBvBtC`DhGvDpG|AvB~C`EjD@bEAzDDXCZ@RIbD[|OsAb@jCpAzGtAzIhA|G`A`HRtBFtA</t>
  </si>
  <si>
    <t>P?@?BA?C??@@A?@F@?C?@?A?D?@B@?@C?AE@AAI@C?F?A?G?C???C@??I?@@??B?HA@B?G?@??C@@G?@?BA?P</t>
  </si>
  <si>
    <t>http://www.st-lukes.towerhamlets.sch.uk</t>
  </si>
  <si>
    <t>https://www.stmarks-clerkenwell.co.uk</t>
  </si>
  <si>
    <t>{soyHzaUuB{ICS_@{HGwDMmOCILo@^uC~EgZ`HvAf@JBBYVkAjB?B~F~M~@nAFxAFVpFlOc@t@qBhC_DlEyDdAz@`DqEbCAFTrBiBx@GFcBt@{@Z</t>
  </si>
  <si>
    <t>P?DA??E??I??EA?EAC@BG@?DEDD?D?@?P</t>
  </si>
  <si>
    <t>https://www.tollingtonparish.org.uk</t>
  </si>
  <si>
    <t>kqvyHrqWOYaD{E_DcGgBaEqKuWOSuEqLK_@f@s@Xo@t@u@\i@f@y@L[Zt@F^B@HGJSvBaGjDkKjB{EjDeH|@{A|CqE?Hf@k@xBkD`FmIAM[u@JOfEzKlAJrFj@tCb@vBd@pFdBfA`@`Ab@TFbDdB|@f@nExCxD~CvBrBjDrDdErF{AhBoAdBwA|BKTwA`CuHnLuDlGuA`CuAnCeLjRqB~Bu@oCw@iBqByH_@kAECaD~DuSnX</t>
  </si>
  <si>
    <t>P?AC?@A?H@A@@?D@C?@D@@D@BAAB@C@AJE?A@D?B?@F?AC@BI?B??@B@?@BF@@@?G?P</t>
  </si>
  <si>
    <t>http://www.st-marks.islington.sch.uk/</t>
  </si>
  <si>
    <t>http://www.stmaryshornseyrise.org.uk</t>
  </si>
  <si>
    <t>c~wyHtqXUgCMoBAs@_AmK@_AAy@Bu@HwABMLSFQBY?a@]}BKc@o@oAMa@e@eAG]MeC[_CUsA]mCcA{GrAmBz@aBdBeEpAeC\k@x@iAf@_Ap@aAhAkADDHRj@|@^n@j@s@J^tEpLNRpKtWbCrFbCpE`DzENXjFjHwFrKiBzDsBvDa@bA_@XUDGGw@kAqA{BgBaD{C_GuBsEqAvBmBrDyAhC_EnDu@f@y@`@</t>
  </si>
  <si>
    <t>P@?@D??BA??@?D?B@?@CA???G@A@B???AI???DD?A@@DB?@H@@@AG@B?B?AG??DA?P</t>
  </si>
  <si>
    <t>https://www.stmaryislington.org</t>
  </si>
  <si>
    <t>wqpyHz|SEC_BI[GaEWwGWqKoCk@GQ@s@NcGrAu@qJ_@_FIcBqBFCAa@BCA[BaCHwCSEG?YBeALi@X}@DGLADBL@lDBvADlB@G_C?CJIBEa@kDAe@tAk@h@O~NgCjC?JAD@~@?v@NDGVoAB?|DbFrCtDrAxBd@dAzCjJT^b@`@zBbCxAvAfAr@dBrAbBt@DFGD_AEMBYZmA`B_@RoCf@IIo@Lc@Bm@CSGcAAEB</t>
  </si>
  <si>
    <t>P?@?@C@E??G??F?????BE?@B?I?A?@??EA??B?F?BD???AD??H?AD@@E??B?A?G@?C?ADBA?B@@?P</t>
  </si>
  <si>
    <t>http://www.smmacademy.org</t>
  </si>
  <si>
    <t>https://www.saint-silas.org.uk</t>
  </si>
  <si>
    <t>ksoyHhlVk@_QEIsM|AoCe@CE?KTmKAc@s@E_Eg@AGRkEMQ}EeE|DgORw@Fe@AGCAIBCC_@yDBIa@uE?s@DCbA@RFl@Bb@Cn@MHHnCg@^SlAaBX[LC~@Dl@M`BHHALINUBHLlOFvD^zHBRlDdOhE|JSNYd@{@fDeAbG_@nCSlBKn@AT</t>
  </si>
  <si>
    <t>P?FCF???E?E?D?G@?E?@@BB@@F?@@B?ABDA?D?AAB?@I??B?ECF@BCA???P</t>
  </si>
  <si>
    <t>http://www.ststephenscanonbury.org.uk</t>
  </si>
  <si>
    <t>y{pyHx{OGJ?JAnBBbBI|AFbCZX|EjD?JmBpB_FtFaDtDsBzDy@hBMR_E`ICJ@FjFnKrCzEWxAC?w@O_A?EAK@kC?_OfCi@NoAf@GFB`@`@jDCDKH?BF~BmBAwAEmDCMAECM@EFEC_@J{BBI{DEq@KeAe@mDg@_DTMvKgEFEm@cFNKx@Wn@Yf@_@lBkBv@o@AeDwCaIrD{H[m@tA_L^eDd@sCfBmODCdUdGrCv@FH</t>
  </si>
  <si>
    <t>P?@?@AE?AF??D@???F?ACG?A???DB?F@AA??AE??@?B???AI?B??F??EE??B??FCEDC?@@G@@@P</t>
  </si>
  <si>
    <t>https://www.stthomaschurch.co.uk</t>
  </si>
  <si>
    <t>ofuyHp_TmFcBwBe@uCc@sFk@mAKgE{KZe@jA_ClDwGhBmCj@uAhB}C`EoGl@w@DE`@C[u@Mq@OuAAg@WwBSu@Ge@QcCNqBBeCHi@^mAx@iB`@qA\}ATyAPo@TP@BGp@YhAE^?h@HfAAFTtA~@lDd@zE@BB?nEzHA?tBjD?JNv@CDSFe@@s@HABVjGPbCFPJ~A@p@TnB@E`MeHTMJKB?BBBJCT?nAF|DHfVEBeLdCYDiKbCEB^lB?J</t>
  </si>
  <si>
    <t>P@C@?EG@?@A@C?B@F@B??A?@E@@C@@B?@I?B@?B??C@BE????B?E@@??DA@@?@G@??B?@G??@G???D@?P</t>
  </si>
  <si>
    <t>http://www.thecharterhouse.org</t>
  </si>
  <si>
    <t>http://www.churchonthecorner.org.uk</t>
  </si>
  <si>
    <t>https://www.trinityislington.org</t>
  </si>
  <si>
    <t>E3 3PN</t>
  </si>
  <si>
    <t>http://www.allhallowsbow.org.uk</t>
  </si>
  <si>
    <t>}cnyHlsCgA_Bk@gAm@gBU}@[kBUqCGcB?_F@oAjAm@rEoCzJsFxF{CpCsAl@UfBhGtDxLpBdHbBhFMVc@n@uA`BmCvAyB~@eAh@g@b@kA~Ae@`AaAvDQ_@iBlG}@jAqArBsA}BYq@_@eBIm@EmAyBcDiA}Ay@_A</t>
  </si>
  <si>
    <t>P@B?AD@B?G??A@?H??@G?@C@?AE@BCBB@G@C?AC@?P</t>
  </si>
  <si>
    <t>http://www.parishofpoplar.org</t>
  </si>
  <si>
    <t>cvlyHznCmByGLWcBiFqBeHuDyLgBiGWL_EyLcB_G[_A{B_DQ_@}BgEIUU_AIMwAs@g@_@sBcAg@YYWpADn@a@bAa@vAd@vCzApBvAjA^zBGl@_@d@}@|BmG|AwBxDkCXIlADp@Qh@{@Lu@Ew@Ow@oA{AiBeAa@m@[yAUaDF[hFiMX{@`CmJxAaElAoBjA_A\Gp@ATLzAfAv@V~A`AhBx@tC|ArAf@hAHd@E^e@N_@Hk@Bg@GyAC_@Mo@]o@e@c@eAe@yB]aB?mBIa@Gg@OUMi@e@s@y@m@aASy@Iq@@[Fu@HYXw@z@eAh@_@r@Y|AWvBZv@Lp@`@t@h@|ArAj@~@t@t@fAz@l@U\_@Po@NsANsB`@sEL_A`@qAf@cA`BiAr@DjFdC|G`IWh@c@fAcBnG]|Aa@tBSjCE|@Aj@D~B`@vGr@|Ez@vDVr@p@xAfAxBbC~Dn@t@\Zj@`@l@j@hCtBp@^t@VvBn@fCl@~@Jh@Ab@KDBFnXBB~BRDBh@rFz@nGDDDA^UF?^HL\W`ARdCNfAABQ@u@GmAAUF_@Pe@b@KREjAq@~Ke@zICNa@zH_ACmB?E@s@AI@YAuR?g@ByFAcGBgAKkDm@CPM~AQdD@dBKBa@?OCg@W[GoBE_@KMACDa@vFy@bKABAl@e@dFsC?w@Em@?gBLmABAOR}D?Y}BaAa@{AwE}AwBm@</t>
  </si>
  <si>
    <t>PBB@??CB@?EB?A??D@@@?IB@D@ACBFB@BDCAAGAC@DAADAF@B?ABGB@D?A@A@@E@CA?G@A?C@EAB@@D?A?EA?C?A?GA@DBEA?BA@ACGAB??B@DBCJCF?A?CA?E?ACAF?@AD?@??E@A?CA@?FE@?D@D?@@BACB@I?@?C?A@E????G@?????@??C@G??AE?A??A@?@E??@?G??A?E??ECC@P</t>
  </si>
  <si>
    <t>https://www.canarywharfchaplaincy.co.uk</t>
  </si>
  <si>
    <t>http://www.parishiod.org.uk</t>
  </si>
  <si>
    <t>sfjyHnwD@AZ{Fp@gNBCx@LR@XqFxAXHEPuFAg@B[DiB\YzAnADBBGz@}ORgEF{@z@uONqB@m@^_GDkAJSd@c@^QTGlA@t@FPA@COgASeCVaAM]_@IG?_@TE@EE{@oGi@sFEC_CSCCEcWAk@CCpDu@HE`@G|@IdAQ\O~@[lCcAdGmCtAo@nDuBz@u@bBeBhAw@rAo@d@KTM\KNO`A[jBe@pAWz@MbAClA@|BHz@TbBt@hAj@jAt@~@v@`BrBb@t@fAxBd@fAXx@fBrE^fAfA~Er@xD`@lCvA~K`@~GN|DBfCE|GIrGKhEMhBYzCm@`Ec@bCsAjFeBdG[`AoAxCq@jBuB~Du@nAoDrFeBvBi@j@kBbB_An@g@XuDfCiAr@yE~Ba@Jg@DmAF_Cb@sDNmADcAA_DIyE[}@@yAIkBOeEi@mCUaH_@mACuATg@B</t>
  </si>
  <si>
    <t>P??E@?DD@D???ECA@E???????E@A?C?@?G@BCAB@@?D@D?@E@?H?A??C??@D@B?@B@??@E?A?D?@BJ?A@DB??E??BC?AGA?C?A@EA?C@?I?AC?AE?B??B@G?@@B@?D@@@B@?ACA?P</t>
  </si>
  <si>
    <t>http://www.christchurchprimarybricklane.org</t>
  </si>
  <si>
    <t>https://www.parishiod.org.uk</t>
  </si>
  <si>
    <t>http://www.ccspits.org</t>
  </si>
  <si>
    <t>uenyHlxM@MD}IBA\?@ILyM@CB?b@Bv@LB?@Ei@_E[mCWeDIyBq@uZd@JBARqCPkARm@j@{@n@k@l@W|Bw@rBc@@aAMs@q@wCM{@GoATQ~CqBRORWnDuBTQtB`PdAbH|@zG~A`JHLZbB?FBLx@rD`AbD|E|M|EjRj@dC@PmAlBy@x@eAdBoC|EmApAQLKDkAt@OB{CtAMH]b@e@b@s@^gANEDyDe@M?Er@CFcAl@k@TIFI`BEHk@zFI\sAiCII[ICGn@kHs@g@mAs@oDeBwB{@Cq@@{F</t>
  </si>
  <si>
    <t>P?C?ABD?@?@?E?@C?G?C@B@D@B@EA?A?E?@?A?I??B@???D@BB@?H@A?B?E?A@B??AD?B?E?C??D@?@HB??DE?A@E?P</t>
  </si>
  <si>
    <t>http://www.faith.qmul.ac.uk</t>
  </si>
  <si>
    <t>http://www.rainesfoundation.org.uk</t>
  </si>
  <si>
    <t>http://www.sjcr.net</t>
  </si>
  <si>
    <t>http://www.stanneslimehouse.org</t>
  </si>
  <si>
    <t>__lyHfaGcBk@NuIg@yAy@qBuMiTyCkFECICi@?]Do@RBo@BMbB}@z@YZEBCIoMlGyB@Ci@mHvDcBHE@EcF_PyDmMvBl@vE|A`@zA|B`A?XS|D@NlACfBMl@?v@DrC?d@eF@m@@Cx@cK`@wFBEL@^JnBDZFf@VNB`@?JCAeBPeDL_BBQjDl@fAJbGCxF@f@CtR?X@HAr@@DAlB?~@BgAnSCFEC{AoA]XEhBCZ@f@QtFIDyAYYpFSAy@MCBmAbVSFuBREA_@@a@IMB[JqBv@oAl@mBlBOVGRKl@K`@]n@m@v@a@z@Wt@m@rDmAvFYhAUpASf@U`AoApIOdBICu@QeB]E?GCy@Q[L{COI@uH{@ABEn@OnHC`DJbG</t>
  </si>
  <si>
    <t>PDD?E@D?@A@G?CA??EDE?E??F?I@CCE??E?A??G?@??E@?@A??A?EA??G@C??@?????@JE@ACE???D@DD?@DF?B?@A?D@C@F??B@A?C@A?@?B@G?????BA?BF?@B@P</t>
  </si>
  <si>
    <t>E14 7HP</t>
  </si>
  <si>
    <t>http://www.stbarnabasbethnalgreen.org</t>
  </si>
  <si>
    <t>uupyHtmGaDmG`FiJcBkGnAa@BEAaDBGv@ShAGZBJBr@HbAs@l@o@@OCe@BIZHBD^bDJAxAe@zFgC`@Yx@a@fA_@ROxBmAzAo@DEAc@FQhCcDl@i@l@s@\YRC^fBFv@Nx@dA`FZdAN\nAvBr@|A~AjCiAdBw@fB?Dn@|AuJjGuCxBcBfA_A|@eAtAa@z@_@dAuBoFsByFoCrA}EhBmA`@oBx@cC|@aA~@</t>
  </si>
  <si>
    <t>PEED?C?G@B??D@C?@E?BD?E@?@A?@D@@B@?A@I@?A@D??@EAD?G@?D@B?F?FA???BP</t>
  </si>
  <si>
    <t>http://www.stdunstanstepney.com</t>
  </si>
  <si>
    <t>kqlyHv_MsBaIcEaL{A_Fy@sDCM?G[cBIM_BaJ}@{GeAcHuBaP}CqX}@iISaCeB}L}CcWc@iE[qJ{@mHUyAgAgFg@oBa@oAcAwBa@eAq@yBt@w@pBg@jBOvBArNa@~@?f@Gd@KpAk@\u@Zi@rE{Gp@i@LG`@Kt@GZDDBxCjFtMhTx@pBf@xAOtIKt@SlBa@dFKxCJjE?bBE~CIvB[jEu@dJoApMOvB]pNQhD@?]hG[vGOdIC|IIhEGjRQzFQhHMpKGxBIl@QZ</t>
  </si>
  <si>
    <t>PB@C@??@@E??B@?A@CABE?@B@@?HBDA@?A?EC?AC?B@J?B@B?GB?@AC?A?C@??CA???D@?AC?@?B@P</t>
  </si>
  <si>
    <t>E1 0BH</t>
  </si>
  <si>
    <t>http://www.stgeorgeintheeast.org</t>
  </si>
  <si>
    <t>sokyHdqMUe@SSCQ?mEUFy@FkAPC^CfCQGUCGEMAI@g@LUASBCGKwBm@FSF?COAE]Y@CB?d@]DCEAa@CEED?ZGB_ARG?k@FYCESM}AUgBKi@eAdAL|@_@f@]XBb@cA~@uCoLP[Hm@FyBLqKPiHP{FFkRHiEF}LNeGVwFRiDvE\P`@BBz@TxAKjBQT??CTCF@dBQBD?lA@F@?`AIh@Az@EJCfAG@@DAPUT@HAJIDMN\f@CLBb@b@BFVxEONAdBABQ@ABp@lNNrVDrBCBYDwAHEJGv@CbATvBXfBVlA`@bDj@nC`@~EV|BAt@StAcBbHa@v@_AxA_BxB</t>
  </si>
  <si>
    <t>P@@CE??D@D???B?@?F?D?B?ABC?BC??C@@BA?@E?@?FBB?BBFG@AB@?B@?B@?IC?BD??@@??D?@?D?????B?A?A?CA?B?HCAB??BB?E?@D?@EA?@@B?AF@C?@P</t>
  </si>
  <si>
    <t>http://stjamesthelessbg.org.uk</t>
  </si>
  <si>
    <t>olpyHdiICAe@Au@KKPcAo@]_@i@_A[_AOu@MeAEo@C{AF}AD_@R_ARs@Vm@v@sATm@Ni@L}@L_B?sAO}C[iDSoAY}@[g@gB{BAe@l@{@`A_AbC}@nBy@lAa@|EiBnCsAfFhN`@eA`@{@dAuA~@}@TMVvAh@|D~@~E\vAnBtLgAh@eBhASJu@NGFdAfHnA~LaA^CDZlCCD}@\CCESCEyGxAaAXkE|Ba@BwD?sBD}@eFEOEA</t>
  </si>
  <si>
    <t>P??BC@D@B?E?A?C?A?A?C?AEA?DA?BG@C???AIF?BA?F?@?@E@A??EAG?C@EB??BCAF??E@@P</t>
  </si>
  <si>
    <t>https://www.stjohnonbethnalgreen.org</t>
  </si>
  <si>
    <t>menyH~nKEgAMeFCsGIuC[mHIq@K_A]aB[aAs@{Aa@k@e@c@YUs@_@eAO}FC{BE{AHcFd@e@H{AZ?CmB\mAVUeAGQqAj@u@VcGpA{BXyBB[A_@@c@gB_@mAu@wDM}@Co@C?CUGuBLmC\oCB?FPv@tEDNB@\CpACvD?`@CjE}B`AYxGyABDDRBB~@_@YqCBE|@[BEoA}LeAgHFGt@ORKdBiAfAi@oBuL]wA_A_Fi@}DWwAlAy@tCyBzNkJpByAzJyKp@xB`@dAbAvB`@nAf@nBfAfFTxAz@lHZpJb@hE|CbWdB|LR`C|@hI~CnXWRoDtBSVSN_DpBUPFnALz@p@vCLr@A`AsBb@}Bv@m@Vo@j@k@z@Sl@QjASpCC@e@K</t>
  </si>
  <si>
    <t>P?@@A?D?@CA?G?AC?D@B????D?D?BCA??G?@B???AIA?F?@?E?@?DACB??BGC??CAE??A@E@?@?G?@@DJ?@@B@?EBAC@A?@G?@?@?E?A?AE@B@D@B@C?P</t>
  </si>
  <si>
    <t>https://www.bowchurch.org.uk/</t>
  </si>
  <si>
    <t>a}nyHbyFo@}A?Ev@gBhAeB_BkCs@}AoAwBO][eAeAaFOy@Gw@_@gBSB]Xm@r@m@h@iCbDGP@b@ED{An@yBlASNIB{@oH@CjBiAZQh@_@r@s@ZSTU?Gk@kCfIaHYqBi@kGYwFSgGa@_I[_D]\{EvGgArAmBiEcCmH@IDEzCeAl@YLCXONG`Ac@B?|@i@TITQRGXSc@gCq@aDqAoF]mASo@iBiFkCoGtDiD^dAALF\\oA^wBH_@LSFEREHMPu@J_CFYDIZUJEHA`@?RBj@M\_AVwAz@}LRu@R[NMVKXIl@ILGPMZe@\m@?GJ\LoAjAiCb@u@PQn@WB?`Ac@zAuBl@[^Iv@@\Vd@b@dA`@t@NzDLXVf@XrBbAf@^vAr@HLT~@HT|BfEP^zB~CZ~@bB~F~DxLUFqCrAyFzC{JrFsEnCkAl@AnA?~EFbBTpCZjBT|@l@fBj@fAt@jAjArAhA|AxBbDDlAHl@^dBXp@rA|BpAsB|@kAhBmGP^q@vCgAvCUt@Mp@KlACt@KjA_BhL]fDStCYvIGz@i@rEKj@QZQP_C~ABxAkBNqBf@eDlD{AdBoD|DqBxAeC~A</t>
  </si>
  <si>
    <t>P?DAE@??D@A?@G@A?@B@@C@??G?E?A???D?DG@B??AF@?FAF?A??@???A????F?A?C?@HD@@D@?B@?@BB?D??B??AE@BB@E?@?@C?@?CCB@D@??BB@JB?B@CC?@@@F??A?BC?@H?@A??G?@CA@E@B@?@CA?C@F@CCHA@?D??A@B@?B?G?ACDAD??C@P</t>
  </si>
  <si>
    <t>http://stmaryscablest.blogspot.com</t>
  </si>
  <si>
    <t>_llyH~~IXiGXeMJsBvAaOt@eJZkEHwBD_D?cBKkEJyC`@eFRmBJu@bBj@p@`@ZVf@fARl@Bf@PjI@zAAxBDrBDtFX`E`@`KNrCv@~KHzAA\M|@[xASlBEj@AdFEnBgBNGAUB?BU?kBPyAJ{@UCCQa@wE]</t>
  </si>
  <si>
    <t>P@@C@?C?A?CA@?IA?C?E?A?@?C@?A@?G?@B??F?@@???DB?CP</t>
  </si>
  <si>
    <t>wboyH~{LLG@Ck@kS{@gM@ELGBEv@[HC@Eu@sHWaBmAgH]iB}DsPo@gCu@{BMu@VIbDk@?BzA[hGo@zAIzBDdFBt@Df@Hr@^XTd@b@`@j@LTx@nBd@xBJ~@Hp@ZlHHtC@bEBvBd@|Q?FB~AXtLHxBPbC`@nDh@~DADC?w@Mc@CE?M|MAH]?C@E|IALQ@yB`@FlBc@?_@BI?AAc@eLc@qHC?qI`CkBp@cE}N</t>
  </si>
  <si>
    <t>P?ABD??@??EA?C?A@@G???ACA?@I@B?@D?B?E?B??A???C?A?F?@??DBA?C?D?DH???D@F?@FP</t>
  </si>
  <si>
    <t>http://stnicholaspoplar.org</t>
  </si>
  <si>
    <t>E9 5HT</t>
  </si>
  <si>
    <t>http://www.stpauloldford.com</t>
  </si>
  <si>
    <t>yvpyHpqFkGeJeBqDsGgLE@iDpF_@d@Y}EQkEMiAYmGo@uB]uAqB{GAUWsB{@gFy@gGGGmHiCOGCElAaOd@uDP{@IG}Ai@CGgB_YCEQ@CG@y@AOIYvAk@TGb@C`@BvASpGIPMh@uAJtARz@R^\Pb@Ht@\Tr@RrAf@vAn@@jBPd@h@pA~Bn@n@xCv@v@p@\u@@WDEVXPJX@NJRDNSTs@|AyGvJcOXr@pBrGz@jDhFcA\]jCnGhBhFp@|BpAnFp@`Db@fCYRSFUPUH}@h@C?aAb@OFYNMBm@Xe@N}@\]J_@PABbCrHlBhEfAsAzEwG\]Z~C`@~HRfGXvFh@jGXpBgI`Hj@jC?FUT[Rs@r@i@^[PkBhAABz@nH}@Zy@`@a@X{FfCaBf@C?CE[}CCE]GAFBd@ANm@n@cAr@s@IKC[CiAFw@RCF@`DCDoA`@</t>
  </si>
  <si>
    <t>PBAF??F?@?D??C?@?E@??GA?E?@DB@@DA?C?J?AAD@F@CB?@C@@E?D@ACBG@@D?B@?BD@DG?AEBEA@I@?F????A???@????@?FAF?@FA??B@HD?D???A?E?F@?@AE?@B?E??C@D??B@D?C?P</t>
  </si>
  <si>
    <t>http://www.stpaulsbowcommon.org.uk</t>
  </si>
  <si>
    <t>y`nyH~bFCyA~B_BZ_@Lc@d@wDPmBXwIRuC\gD~AiLJkABu@JmALq@Tu@fAwCp@wC`AwDd@aAjA_Bf@c@dAi@xB_AlCwAtAaBb@o@zB~HnKf]ADIDwDbBh@lHABmGxBHnMCB[D{@XcB|@CLCn@q@h@sEzG[h@]t@qAj@e@Jg@F_A?sN`@wB@</t>
  </si>
  <si>
    <t>PCB@D?B@B@A??D?@A?FA@C?@C?I@E??E?GEE??AD?BAA?FA?C?@P</t>
  </si>
  <si>
    <t>http://sps.church</t>
  </si>
  <si>
    <t>swkyHd`JDoB@eFNoBHi@b@sBDc@@]I{Aw@_LOsCa@aKYaEEuFEsB@yBA{AQkICg@EMM_@g@gA[Wq@a@KcGBaDNoHDo@@CtHz@HAzCNZMx@PFBD?dB\t@PHBIdAG~DArJ@bAAr@Bz@Ff@DlALxA@h@V|CRvALl@p@hCRf@JLfAvCrCxGKP{EtG]j@c@fHGfC?dDBjGLbGCDgBRENy@A_@DMbFg@BO]ELKHI@UAQTE@AAgAFKB{@Di@@aAHA?AGAqA</t>
  </si>
  <si>
    <t>P?B@?A?D?@?@C?@?@D?A?C?D@B@?IB?AB?????G@A??C????@E?@C???G??E@C?@F@AA@EEBC?A?A?B?????D?@P</t>
  </si>
  <si>
    <t>http://www.spsl.towerhamlets.sch.uk/</t>
  </si>
  <si>
    <t>http://www.st-pauls.towerhamlets.sch.uk</t>
  </si>
  <si>
    <t>https://www.stpetersbethnalgreen.org</t>
  </si>
  <si>
    <t>eooyHzlMeBcHKm@Gk@SeFSyRW}FG]gA[qBgAkCmAcBoAkEmGqBqBg@q@eAeABg@Pw@Nc@b@{@^c@tBqCTg@ReAJkADsAAeBOaBU_BUoA^AZ@xBCzBYbGqAt@WpAk@FPb@zBt@zBn@fC|DrP\hBlAfHV`Bt@rHADIBw@ZCDMFADz@fMj@jSABMFYLRtGEBaDb@CD@ZABm@Rk@^q@h@i@d@?Ac@b@AB</t>
  </si>
  <si>
    <t>P@?DAA@FA?ADB?@G@?BA?B@E?AC?@F??ACB?I?@@A?C?AF??@??DBC??CF?C??B@A??@?P</t>
  </si>
  <si>
    <t>http://www.stpeterslondondocks.org.uk</t>
  </si>
  <si>
    <t>ktjyH`vM}C_CIKqA}@g@AUCu@i@WI{IgAXc@`@w@p@iCp@yCRuA@u@W}Ba@_Fk@oCa@cDWmAYgBUwBBcAFw@DKvAIXEBCEsBOsVq@mN@CPA@C@eBNOWyECGc@c@MCJ_FBE\Cx@@DOfBSBEMcGCkG?eDFgCb@gH\k@zEuGJQbA`C|@hBp@fAjAzBR\rApC`DrHxF|Lz@vCZtAPvANr@`@zCDBBr@PxAHfARlBJ`C?bBAn@U`FMxAMbC]nD@FOpA?HQzAEr@_@`De@hCG^ENStAkA|F{@~EqA|F[|@_A|B{A|E]rAs@vDU|AIz@YfB</t>
  </si>
  <si>
    <t>P??D?B?BG?ABA@E?B@@?AE@?D@?E?BC??BACC?@CF@@AA@E@?C@E??J@???@A@E?A@??C???@G?A??B?????@E?????BB?A?C@??P</t>
  </si>
  <si>
    <t>https://www.stpetersbarge.org</t>
  </si>
  <si>
    <t>http://www.stpetersprimary.org.uk/</t>
  </si>
  <si>
    <t>http://www.stsavioursschool.org.uk</t>
  </si>
  <si>
    <t>http://www.stepneygreencoat.towerhamlets.sch.uk</t>
  </si>
  <si>
    <t>https://www.rfsk.org.uk</t>
  </si>
  <si>
    <t>PostcodeFromOtherMeans</t>
  </si>
  <si>
    <t>WikipediaBenefice</t>
  </si>
  <si>
    <t>WikipediaPopulationOfParish</t>
  </si>
  <si>
    <t>TeamMinistryWebsite</t>
  </si>
  <si>
    <t>MyTeamMinistryWebsite</t>
  </si>
  <si>
    <t>WikipediaCrockfordLink</t>
  </si>
  <si>
    <t>PostcodeFromDirectory</t>
  </si>
  <si>
    <t>$Incumbent$</t>
  </si>
  <si>
    <t xml:space="preserve">Date last updated: </t>
  </si>
  <si>
    <t>LatitudeManualLookup</t>
  </si>
  <si>
    <t>LongitudeManualLookup</t>
  </si>
  <si>
    <t>LatitudeFromDirectory</t>
  </si>
  <si>
    <t>LongitudeFromDirectory</t>
  </si>
  <si>
    <t>Ms Sandra Hall</t>
  </si>
  <si>
    <t>https://www.london.anglican.org/directory/sandra-hall/</t>
  </si>
  <si>
    <t>Commissioned Pastoral Assistant</t>
  </si>
  <si>
    <t>PostcodeManualLookup</t>
  </si>
  <si>
    <r>
      <rPr>
        <b/>
        <u/>
        <sz val="11"/>
        <color theme="1"/>
        <rFont val="Calibri"/>
        <family val="2"/>
        <scheme val="minor"/>
      </rPr>
      <t>Instruction</t>
    </r>
    <r>
      <rPr>
        <b/>
        <sz val="11"/>
        <color theme="1"/>
        <rFont val="Calibri"/>
        <family val="2"/>
        <scheme val="minor"/>
      </rPr>
      <t>s</t>
    </r>
    <r>
      <rPr>
        <sz val="11"/>
        <color theme="1"/>
        <rFont val="Calibri"/>
        <family val="2"/>
        <scheme val="minor"/>
      </rPr>
      <t xml:space="preserve">
This file holds data about all the churches which will appear on the web page.  More particularly, the information on the </t>
    </r>
    <r>
      <rPr>
        <u/>
        <sz val="11"/>
        <color theme="1"/>
        <rFont val="Calibri"/>
        <family val="2"/>
        <scheme val="minor"/>
      </rPr>
      <t>Data</t>
    </r>
    <r>
      <rPr>
        <sz val="11"/>
        <color theme="1"/>
        <rFont val="Calibri"/>
        <family val="2"/>
        <scheme val="minor"/>
      </rPr>
      <t xml:space="preserve"> and </t>
    </r>
    <r>
      <rPr>
        <u/>
        <sz val="11"/>
        <color theme="1"/>
        <rFont val="Calibri"/>
        <family val="2"/>
        <scheme val="minor"/>
      </rPr>
      <t>Configuration</t>
    </r>
    <r>
      <rPr>
        <sz val="11"/>
        <color theme="1"/>
        <rFont val="Calibri"/>
        <family val="2"/>
        <scheme val="minor"/>
      </rPr>
      <t xml:space="preserve"> sheets between them determine what appears on the web page and what it looks like – more details below.
You should update the data regularly.  To this end, you can make manual changes in some places, and you can use the RegenerateData button to realign the data in certain columns with the CofE Directory website.
Once you have made any changes, use the GenerateFile button to create the data file needed for the web page.   The generated file is called </t>
    </r>
    <r>
      <rPr>
        <u/>
        <sz val="11"/>
        <color theme="1"/>
        <rFont val="Calibri"/>
        <family val="2"/>
        <scheme val="minor"/>
      </rPr>
      <t>churchDetails.js</t>
    </r>
    <r>
      <rPr>
        <sz val="11"/>
        <color theme="1"/>
        <rFont val="Calibri"/>
        <family val="2"/>
        <scheme val="minor"/>
      </rPr>
      <t xml:space="preserve">, and it will be placed in the same folder as this spreadsheet.
This generated file needs to end up in the 'js' folder under the place where the index.html file for the website appears.  If it has not been generated there, you will have to move it therefore.
</t>
    </r>
  </si>
  <si>
    <r>
      <rPr>
        <b/>
        <u/>
        <sz val="11"/>
        <color theme="1"/>
        <rFont val="Calibri"/>
        <family val="2"/>
        <scheme val="minor"/>
      </rPr>
      <t>About the data</t>
    </r>
    <r>
      <rPr>
        <sz val="11"/>
        <color theme="1"/>
        <rFont val="Calibri"/>
        <family val="2"/>
        <scheme val="minor"/>
      </rPr>
      <t xml:space="preserve">
The data has come from a number of sources, not, I suspect, all of them entirely reliable.  The sources are reflected by colour-coding in the column headers on the data sheet.
The two columns with a </t>
    </r>
    <r>
      <rPr>
        <b/>
        <sz val="11"/>
        <color rgb="FFFF0000"/>
        <rFont val="Calibri"/>
        <family val="2"/>
        <scheme val="minor"/>
      </rPr>
      <t>RED</t>
    </r>
    <r>
      <rPr>
        <sz val="11"/>
        <color theme="1"/>
        <rFont val="Calibri"/>
        <family val="2"/>
        <scheme val="minor"/>
      </rPr>
      <t xml:space="preserve"> background must be left unaltered – they're used to connect to the Directory data.
Anything with a </t>
    </r>
    <r>
      <rPr>
        <b/>
        <sz val="11"/>
        <color theme="2" tint="-0.499984740745262"/>
        <rFont val="Calibri"/>
        <family val="2"/>
        <scheme val="minor"/>
      </rPr>
      <t>GREY</t>
    </r>
    <r>
      <rPr>
        <sz val="11"/>
        <color theme="1"/>
        <rFont val="Calibri"/>
        <family val="2"/>
        <scheme val="minor"/>
      </rPr>
      <t xml:space="preserve"> background came from the Directory website.  If the writing in the header is black, this data is not affected by any realignment with the Directory website.  If the writing is purple, it </t>
    </r>
    <r>
      <rPr>
        <u/>
        <sz val="11"/>
        <color theme="1"/>
        <rFont val="Calibri"/>
        <family val="2"/>
        <scheme val="minor"/>
      </rPr>
      <t>is</t>
    </r>
    <r>
      <rPr>
        <sz val="11"/>
        <color theme="1"/>
        <rFont val="Calibri"/>
        <family val="2"/>
        <scheme val="minor"/>
      </rPr>
      <t xml:space="preserve"> affected by realignment.
Anything with a </t>
    </r>
    <r>
      <rPr>
        <b/>
        <sz val="11"/>
        <color theme="9" tint="-0.249977111117893"/>
        <rFont val="Calibri"/>
        <family val="2"/>
        <scheme val="minor"/>
      </rPr>
      <t>GREEN</t>
    </r>
    <r>
      <rPr>
        <sz val="11"/>
        <color theme="1"/>
        <rFont val="Calibri"/>
        <family val="2"/>
        <scheme val="minor"/>
      </rPr>
      <t xml:space="preserve"> background is calculated.  Individual cells based upon formulae are italicised.
Anything with an </t>
    </r>
    <r>
      <rPr>
        <b/>
        <sz val="11"/>
        <color rgb="FFFF9966"/>
        <rFont val="Calibri"/>
        <family val="2"/>
        <scheme val="minor"/>
      </rPr>
      <t>ORANGE</t>
    </r>
    <r>
      <rPr>
        <sz val="11"/>
        <color theme="1"/>
        <rFont val="Calibri"/>
        <family val="2"/>
        <scheme val="minor"/>
      </rPr>
      <t xml:space="preserve"> background contains data I have obtained manually.  It is usually retained because it supplies values to formulae where data from the Directory is lacking.
Anything with a </t>
    </r>
    <r>
      <rPr>
        <b/>
        <sz val="11"/>
        <color rgb="FF0070C0"/>
        <rFont val="Calibri"/>
        <family val="2"/>
        <scheme val="minor"/>
      </rPr>
      <t>BLUE</t>
    </r>
    <r>
      <rPr>
        <sz val="11"/>
        <color theme="1"/>
        <rFont val="Calibri"/>
        <family val="2"/>
        <scheme val="minor"/>
      </rPr>
      <t xml:space="preserve"> background came originally from Wikipedia in April 2020.
You can change anything other than the </t>
    </r>
    <r>
      <rPr>
        <b/>
        <sz val="11"/>
        <color rgb="FFFF0000"/>
        <rFont val="Calibri"/>
        <family val="2"/>
        <scheme val="minor"/>
      </rPr>
      <t>RED</t>
    </r>
    <r>
      <rPr>
        <sz val="11"/>
        <color theme="1"/>
        <rFont val="Calibri"/>
        <family val="2"/>
        <scheme val="minor"/>
      </rPr>
      <t xml:space="preserve"> and </t>
    </r>
    <r>
      <rPr>
        <b/>
        <sz val="11"/>
        <color theme="9" tint="-0.249977111117893"/>
        <rFont val="Calibri"/>
        <family val="2"/>
        <scheme val="minor"/>
      </rPr>
      <t>GREEN</t>
    </r>
    <r>
      <rPr>
        <sz val="11"/>
        <color theme="1"/>
        <rFont val="Calibri"/>
        <family val="2"/>
        <scheme val="minor"/>
      </rPr>
      <t xml:space="preserve"> columns – although bear in mind there is no real point in making changes to the grey-with-purple writing columns, because any changes you make there will be lost when you carry out the next realignment.
This includes the Wikipedia columns – the data there may have </t>
    </r>
    <r>
      <rPr>
        <u/>
        <sz val="11"/>
        <color theme="1"/>
        <rFont val="Calibri"/>
        <family val="2"/>
        <scheme val="minor"/>
      </rPr>
      <t>originated</t>
    </r>
    <r>
      <rPr>
        <sz val="11"/>
        <color theme="1"/>
        <rFont val="Calibri"/>
        <family val="2"/>
        <scheme val="minor"/>
      </rPr>
      <t xml:space="preserve"> from Wikipedia, but there's no guarantee it's correct, and you're free to change it.  You can change the manually-obtained </t>
    </r>
    <r>
      <rPr>
        <sz val="11"/>
        <rFont val="Calibri"/>
        <family val="2"/>
        <scheme val="minor"/>
      </rPr>
      <t>(</t>
    </r>
    <r>
      <rPr>
        <b/>
        <sz val="11"/>
        <color rgb="FFFF9966"/>
        <rFont val="Calibri"/>
        <family val="2"/>
        <scheme val="minor"/>
      </rPr>
      <t>ORANGE</t>
    </r>
    <r>
      <rPr>
        <sz val="11"/>
        <rFont val="Calibri"/>
        <family val="2"/>
        <scheme val="minor"/>
      </rPr>
      <t>)</t>
    </r>
    <r>
      <rPr>
        <sz val="11"/>
        <color theme="1"/>
        <rFont val="Calibri"/>
        <family val="2"/>
        <scheme val="minor"/>
      </rPr>
      <t xml:space="preserve"> columns too.
You can delete rows as necessary.  You can also add rows, but if you do so a) You need to add appropriate information into the two RED columns if you wish those rows to be included during realignment processing; and b) you need to make sure that formulae and conditional formatting are copied to the new rows.
</t>
    </r>
  </si>
  <si>
    <r>
      <rPr>
        <b/>
        <u/>
        <sz val="11"/>
        <color theme="1"/>
        <rFont val="Calibri"/>
        <family val="2"/>
        <scheme val="minor"/>
      </rPr>
      <t>Miscellaneous information</t>
    </r>
    <r>
      <rPr>
        <sz val="11"/>
        <color theme="1"/>
        <rFont val="Calibri"/>
        <family val="2"/>
        <scheme val="minor"/>
      </rPr>
      <t xml:space="preserve">
One of the more obvious issues is with attempting to obtain location information for churches.
In some cases, the Directory pages appear to contain information (to be confirmed), and the realignment processing will scrape the necessary data from the pages.
In others, we may have a postcode available (although we don't always have even that), and you can do postcode lookups at https://gridreferencefinder.com/postcodeBatchConverter/.  (You can convert a whole column of postcodes at once if necessary, which can be helpful – and the conversion process respects blanks in the column, which is of assistance when realigning the results with the contents of a worksheet where some postcodes are missing.)  Bear in mind though that even in inner London, postcodes cover a reasonable area, and the latitude and longitude may not correspond precisely to the location of the church.
Another possibility is to use what3words.  I have had some success here in simply giving the name of a church.  The site converts this to a three-word location identifer, and then offers a facility to convert that to a latitude / longitude pair.</t>
    </r>
  </si>
  <si>
    <r>
      <rPr>
        <b/>
        <u/>
        <sz val="11"/>
        <color theme="1"/>
        <rFont val="Calibri"/>
        <family val="2"/>
        <scheme val="minor"/>
      </rPr>
      <t>The other sheets</t>
    </r>
    <r>
      <rPr>
        <sz val="11"/>
        <color theme="1"/>
        <rFont val="Calibri"/>
        <family val="2"/>
        <scheme val="minor"/>
      </rPr>
      <t xml:space="preserve">
The </t>
    </r>
    <r>
      <rPr>
        <u/>
        <sz val="11"/>
        <color theme="1"/>
        <rFont val="Calibri"/>
        <family val="2"/>
        <scheme val="minor"/>
      </rPr>
      <t>Configuration</t>
    </r>
    <r>
      <rPr>
        <sz val="11"/>
        <color theme="1"/>
        <rFont val="Calibri"/>
        <family val="2"/>
        <scheme val="minor"/>
      </rPr>
      <t xml:space="preserve"> sheet controls the content and format of the data which appears on the popups on the web page.  More details appear on the sheet itself.
The </t>
    </r>
    <r>
      <rPr>
        <u/>
        <sz val="11"/>
        <color theme="1"/>
        <rFont val="Calibri"/>
        <family val="2"/>
        <scheme val="minor"/>
      </rPr>
      <t>FullList</t>
    </r>
    <r>
      <rPr>
        <sz val="11"/>
        <color theme="1"/>
        <rFont val="Calibri"/>
        <family val="2"/>
        <scheme val="minor"/>
      </rPr>
      <t xml:space="preserve"> sheet contains a snapshot of the data as it stood early on 17-Apr-2020.  The Data sheet was subsequently pruned back to contain (largely) churches only, which I suspect reflects the requirements.  The FullList sheet contains all of the original rows, which includes things like hospitals and schools.</t>
    </r>
  </si>
  <si>
    <t>Maintenance etc: jamie@critos.co.uk</t>
  </si>
  <si>
    <t xml:space="preserve">       Use this page to configure the pop-up details – instructions below.</t>
  </si>
  <si>
    <t>$Church$
$IncumbentPosition$ $Incumbent$
Electoral roll: $ElectoralRoll$
Total income: $TotalIncome$
Common fund payment: $CommonFundPayment$
Population: $WikipediaPopulationOfParish$
Benefice: $WikipediaBenefice$
&lt;optional-header&gt;Links&lt;/optional-header&gt;
Crockford details
Wikipedia page for church
Website for group ministry</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</si>
</sst>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White]0"/>
  </numFmts>
  <fonts count="3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25"/>
      <color theme="1"/>
      <name val="Calibri"/>
      <family val="2"/>
      <scheme val="minor"/>
    </font>
    <font>
      <u/>
      <sz val="11"/>
      <color theme="10"/>
      <name val="Calibri"/>
      <family val="2"/>
      <scheme val="minor"/>
    </font>
    <font>
      <u/>
      <sz val="11"/>
      <color theme="1"/>
      <name val="Calibri"/>
      <family val="2"/>
      <scheme val="minor"/>
    </font>
    <font>
      <b/>
      <sz val="11"/>
      <color rgb="FFFF0000"/>
      <name val="Calibri"/>
      <family val="2"/>
      <scheme val="minor"/>
    </font>
    <font>
      <b/>
      <u/>
      <sz val="11"/>
      <color theme="1"/>
      <name val="Calibri"/>
      <family val="2"/>
      <scheme val="minor"/>
    </font>
    <font>
      <b/>
      <sz val="11"/>
      <color rgb="FFFFFF00"/>
      <name val="Calibri"/>
      <family val="2"/>
      <scheme val="minor"/>
    </font>
    <font>
      <b/>
      <sz val="11"/>
      <color rgb="FF00B0F0"/>
      <name val="Calibri"/>
      <family val="2"/>
      <scheme val="minor"/>
    </font>
    <font>
      <sz val="13"/>
      <color theme="1"/>
      <name val="Calibri"/>
      <family val="2"/>
      <scheme val="minor"/>
    </font>
    <font>
      <b/>
      <sz val="11"/>
      <color rgb="FF7030A0"/>
      <name val="Calibri"/>
      <family val="2"/>
      <scheme val="minor"/>
    </font>
    <font>
      <b/>
      <sz val="11"/>
      <color theme="2" tint="-0.499984740745262"/>
      <name val="Calibri"/>
      <family val="2"/>
      <scheme val="minor"/>
    </font>
    <font>
      <b/>
      <sz val="11"/>
      <color theme="9" tint="-0.249977111117893"/>
      <name val="Calibri"/>
      <family val="2"/>
      <scheme val="minor"/>
    </font>
    <font>
      <b/>
      <sz val="11"/>
      <color rgb="FFFF9966"/>
      <name val="Calibri"/>
      <family val="2"/>
      <scheme val="minor"/>
    </font>
    <font>
      <b/>
      <sz val="11"/>
      <color rgb="FF0070C0"/>
      <name val="Calibri"/>
      <family val="2"/>
      <scheme val="minor"/>
    </font>
    <font>
      <sz val="11"/>
      <name val="Calibri"/>
      <family val="2"/>
      <scheme val="minor"/>
    </font>
    <font>
      <sz val="9"/>
      <color theme="1"/>
      <name val="Calibri"/>
      <family val="2"/>
      <scheme val="minor"/>
    </font>
    <font>
      <u/>
      <sz val="9"/>
      <color theme="1"/>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rgb="FFD7A8E9"/>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39997558519241921"/>
        <bgColor indexed="64"/>
      </patternFill>
    </fill>
    <fill>
      <patternFill patternType="solid">
        <fgColor rgb="FF00B0F0"/>
        <bgColor indexed="64"/>
      </patternFill>
    </fill>
  </fills>
  <borders count="3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right/>
      <top style="thin">
        <color indexed="64"/>
      </top>
      <bottom style="thin">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cellStyleXfs>
  <cellXfs count="71">
    <xf numFmtId="0" fontId="0" fillId="0" borderId="0" xfId="0"/>
    <xf numFmtId="0" fontId="0" fillId="34" borderId="0" xfId="0" applyFill="1"/>
    <xf numFmtId="0" fontId="0" fillId="35" borderId="0" xfId="0" applyFill="1"/>
    <xf numFmtId="0" fontId="0" fillId="37" borderId="11" xfId="0" applyFill="1" applyBorder="1"/>
    <xf numFmtId="0" fontId="18" fillId="37" borderId="11" xfId="0" applyFont="1" applyFill="1" applyBorder="1" applyAlignment="1">
      <alignment vertical="center"/>
    </xf>
    <xf numFmtId="0" fontId="0" fillId="37" borderId="12" xfId="0" applyFill="1" applyBorder="1"/>
    <xf numFmtId="0" fontId="0" fillId="37" borderId="0" xfId="0" applyFill="1" applyBorder="1"/>
    <xf numFmtId="0" fontId="21" fillId="35" borderId="0" xfId="0" applyFont="1" applyFill="1"/>
    <xf numFmtId="0" fontId="0" fillId="33" borderId="21" xfId="0" applyFill="1" applyBorder="1"/>
    <xf numFmtId="0" fontId="0" fillId="33" borderId="22" xfId="0" applyFill="1" applyBorder="1"/>
    <xf numFmtId="0" fontId="0" fillId="33" borderId="23" xfId="0" applyFill="1" applyBorder="1"/>
    <xf numFmtId="0" fontId="0" fillId="33" borderId="24" xfId="0" applyFill="1" applyBorder="1"/>
    <xf numFmtId="0" fontId="0" fillId="33" borderId="25" xfId="0" applyFill="1" applyBorder="1"/>
    <xf numFmtId="0" fontId="0" fillId="33" borderId="26" xfId="0" applyFill="1" applyBorder="1"/>
    <xf numFmtId="0" fontId="13" fillId="36" borderId="27" xfId="0" applyFont="1" applyFill="1" applyBorder="1"/>
    <xf numFmtId="0" fontId="13" fillId="36" borderId="28" xfId="0" applyFont="1" applyFill="1" applyBorder="1"/>
    <xf numFmtId="0" fontId="16" fillId="35" borderId="0" xfId="0" applyFont="1" applyFill="1" applyAlignment="1">
      <alignment vertical="center"/>
    </xf>
    <xf numFmtId="0" fontId="13" fillId="36" borderId="10" xfId="0" applyFont="1" applyFill="1" applyBorder="1" applyAlignment="1">
      <alignment horizontal="center"/>
    </xf>
    <xf numFmtId="0" fontId="0" fillId="38" borderId="10" xfId="0" applyFill="1" applyBorder="1" applyAlignment="1">
      <alignment wrapText="1"/>
    </xf>
    <xf numFmtId="0" fontId="0" fillId="0" borderId="29" xfId="0" applyBorder="1"/>
    <xf numFmtId="0" fontId="19" fillId="0" borderId="29" xfId="42" applyBorder="1"/>
    <xf numFmtId="0" fontId="16" fillId="34" borderId="29" xfId="0" applyFont="1" applyFill="1" applyBorder="1"/>
    <xf numFmtId="0" fontId="16" fillId="39" borderId="29" xfId="0" applyFont="1" applyFill="1" applyBorder="1"/>
    <xf numFmtId="0" fontId="16" fillId="40" borderId="29" xfId="0" applyFont="1" applyFill="1" applyBorder="1"/>
    <xf numFmtId="164" fontId="16" fillId="39" borderId="30" xfId="0" applyNumberFormat="1" applyFont="1" applyFill="1" applyBorder="1"/>
    <xf numFmtId="164" fontId="0" fillId="0" borderId="29" xfId="0" applyNumberFormat="1" applyBorder="1"/>
    <xf numFmtId="164" fontId="19" fillId="0" borderId="29" xfId="42" applyNumberFormat="1" applyBorder="1"/>
    <xf numFmtId="164" fontId="16" fillId="40" borderId="29" xfId="0" applyNumberFormat="1" applyFont="1" applyFill="1" applyBorder="1"/>
    <xf numFmtId="164" fontId="16" fillId="39" borderId="29" xfId="0" applyNumberFormat="1" applyFont="1" applyFill="1" applyBorder="1"/>
    <xf numFmtId="0" fontId="24" fillId="34" borderId="29" xfId="0" applyFont="1" applyFill="1" applyBorder="1"/>
    <xf numFmtId="164" fontId="24" fillId="34" borderId="29" xfId="0" applyNumberFormat="1" applyFont="1" applyFill="1" applyBorder="1"/>
    <xf numFmtId="0" fontId="0" fillId="33" borderId="31" xfId="0" applyFill="1" applyBorder="1"/>
    <xf numFmtId="0" fontId="0" fillId="33" borderId="32" xfId="0" applyFill="1" applyBorder="1"/>
    <xf numFmtId="0" fontId="25" fillId="37" borderId="11" xfId="0" applyFont="1" applyFill="1" applyBorder="1" applyAlignment="1">
      <alignment horizontal="right" vertical="center"/>
    </xf>
    <xf numFmtId="0" fontId="26" fillId="34" borderId="29" xfId="0" applyFont="1" applyFill="1" applyBorder="1"/>
    <xf numFmtId="0" fontId="16" fillId="0" borderId="29" xfId="0" applyFont="1" applyFill="1" applyBorder="1"/>
    <xf numFmtId="0" fontId="16" fillId="38" borderId="29" xfId="0" applyFont="1" applyFill="1" applyBorder="1"/>
    <xf numFmtId="0" fontId="16" fillId="41" borderId="29" xfId="0" applyFont="1" applyFill="1" applyBorder="1"/>
    <xf numFmtId="164" fontId="16" fillId="41" borderId="29" xfId="0" applyNumberFormat="1" applyFont="1" applyFill="1" applyBorder="1"/>
    <xf numFmtId="164" fontId="16" fillId="41" borderId="30" xfId="0" applyNumberFormat="1" applyFont="1" applyFill="1" applyBorder="1"/>
    <xf numFmtId="0" fontId="32" fillId="37" borderId="12" xfId="0" applyFont="1" applyFill="1" applyBorder="1"/>
    <xf numFmtId="0" fontId="33" fillId="37" borderId="12" xfId="42" applyFont="1" applyFill="1" applyBorder="1"/>
    <xf numFmtId="0" fontId="0" fillId="36" borderId="0" xfId="0" applyFill="1"/>
    <xf numFmtId="0" fontId="21" fillId="36" borderId="0" xfId="0" applyFont="1" applyFill="1"/>
    <xf numFmtId="0" fontId="13" fillId="36" borderId="0" xfId="0" applyFont="1" applyFill="1" applyAlignment="1">
      <alignment vertical="center"/>
    </xf>
    <xf numFmtId="0" fontId="16" fillId="36" borderId="0" xfId="0" applyFont="1" applyFill="1"/>
    <xf numFmtId="0" fontId="0" fillId="35" borderId="12" xfId="0" applyFill="1" applyBorder="1"/>
    <xf numFmtId="0" fontId="21" fillId="35" borderId="12" xfId="0" applyFont="1" applyFill="1" applyBorder="1"/>
    <xf numFmtId="0" fontId="0" fillId="35" borderId="16" xfId="0" applyFill="1" applyBorder="1" applyAlignment="1">
      <alignment horizontal="left" vertical="top" wrapText="1"/>
    </xf>
    <xf numFmtId="0" fontId="0" fillId="35" borderId="17" xfId="0" applyFill="1" applyBorder="1" applyAlignment="1">
      <alignment horizontal="left" vertical="top" wrapText="1"/>
    </xf>
    <xf numFmtId="0" fontId="0" fillId="35" borderId="18" xfId="0" applyFill="1" applyBorder="1" applyAlignment="1">
      <alignment horizontal="left" vertical="top" wrapText="1"/>
    </xf>
    <xf numFmtId="0" fontId="0" fillId="35" borderId="19" xfId="0" applyFill="1" applyBorder="1" applyAlignment="1">
      <alignment horizontal="left" vertical="top" wrapText="1"/>
    </xf>
    <xf numFmtId="0" fontId="0" fillId="35" borderId="0" xfId="0" applyFill="1" applyBorder="1" applyAlignment="1">
      <alignment horizontal="left" vertical="top" wrapText="1"/>
    </xf>
    <xf numFmtId="0" fontId="0" fillId="35" borderId="12" xfId="0" applyFill="1" applyBorder="1" applyAlignment="1">
      <alignment horizontal="left" vertical="top" wrapText="1"/>
    </xf>
    <xf numFmtId="0" fontId="0" fillId="35" borderId="20" xfId="0" applyFill="1" applyBorder="1" applyAlignment="1">
      <alignment horizontal="left" vertical="top" wrapText="1"/>
    </xf>
    <xf numFmtId="0" fontId="0" fillId="35" borderId="11" xfId="0" applyFill="1" applyBorder="1" applyAlignment="1">
      <alignment horizontal="left" vertical="top" wrapText="1"/>
    </xf>
    <xf numFmtId="0" fontId="0" fillId="35" borderId="13" xfId="0" applyFill="1" applyBorder="1" applyAlignment="1">
      <alignment horizontal="left" vertical="top" wrapText="1"/>
    </xf>
    <xf numFmtId="14" fontId="23" fillId="37" borderId="11" xfId="0" applyNumberFormat="1" applyFont="1" applyFill="1" applyBorder="1" applyAlignment="1">
      <alignment horizontal="left" vertical="center"/>
    </xf>
    <xf numFmtId="0" fontId="0" fillId="35" borderId="14" xfId="0" applyFill="1" applyBorder="1" applyAlignment="1">
      <alignment horizontal="left" vertical="top" wrapText="1"/>
    </xf>
    <xf numFmtId="0" fontId="0" fillId="35" borderId="33" xfId="0" applyFill="1" applyBorder="1" applyAlignment="1">
      <alignment horizontal="left" vertical="top"/>
    </xf>
    <xf numFmtId="0" fontId="0" fillId="35" borderId="15" xfId="0" applyFill="1" applyBorder="1" applyAlignment="1">
      <alignment horizontal="left" vertical="top"/>
    </xf>
    <xf numFmtId="0" fontId="0" fillId="35" borderId="17" xfId="0" applyFill="1" applyBorder="1" applyAlignment="1">
      <alignment horizontal="left" vertical="top"/>
    </xf>
    <xf numFmtId="0" fontId="0" fillId="35" borderId="18" xfId="0" applyFill="1" applyBorder="1" applyAlignment="1">
      <alignment horizontal="left" vertical="top"/>
    </xf>
    <xf numFmtId="0" fontId="0" fillId="35" borderId="19" xfId="0" applyFill="1" applyBorder="1" applyAlignment="1">
      <alignment horizontal="left" vertical="top"/>
    </xf>
    <xf numFmtId="0" fontId="0" fillId="35" borderId="0" xfId="0" applyFill="1" applyBorder="1" applyAlignment="1">
      <alignment horizontal="left" vertical="top"/>
    </xf>
    <xf numFmtId="0" fontId="0" fillId="35" borderId="12" xfId="0" applyFill="1" applyBorder="1" applyAlignment="1">
      <alignment horizontal="left" vertical="top"/>
    </xf>
    <xf numFmtId="0" fontId="0" fillId="35" borderId="20" xfId="0" applyFill="1" applyBorder="1" applyAlignment="1">
      <alignment horizontal="left" vertical="top"/>
    </xf>
    <xf numFmtId="0" fontId="0" fillId="35" borderId="11" xfId="0" applyFill="1" applyBorder="1" applyAlignment="1">
      <alignment horizontal="left" vertical="top"/>
    </xf>
    <xf numFmtId="0" fontId="0" fillId="35" borderId="13" xfId="0" applyFill="1" applyBorder="1" applyAlignment="1">
      <alignment horizontal="left" vertical="top"/>
    </xf>
    <xf numFmtId="0" fontId="13" fillId="36" borderId="14" xfId="0" applyFont="1" applyFill="1" applyBorder="1" applyAlignment="1">
      <alignment horizontal="center"/>
    </xf>
    <xf numFmtId="0" fontId="13" fillId="36" borderId="15" xfId="0" applyFont="1" applyFill="1" applyBorder="1" applyAlignment="1">
      <alignment horizont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
    <dxf>
      <font>
        <b val="0"/>
        <i/>
      </font>
    </dxf>
    <dxf>
      <font>
        <b val="0"/>
        <i/>
      </font>
    </dxf>
    <dxf>
      <font>
        <b val="0"/>
        <i/>
      </font>
    </dxf>
    <dxf>
      <font>
        <b val="0"/>
        <i/>
      </font>
    </dxf>
  </dxfs>
  <tableStyles count="0" defaultTableStyle="TableStyleMedium2" defaultPivotStyle="PivotStyleLight16"/>
  <colors>
    <mruColors>
      <color rgb="FFFF9966"/>
      <color rgb="FFDCB5ED"/>
      <color rgb="FFF5EAFA"/>
      <color rgb="FFD7A8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123825</xdr:colOff>
      <xdr:row>0</xdr:row>
      <xdr:rowOff>95250</xdr:rowOff>
    </xdr:from>
    <xdr:to>
      <xdr:col>1</xdr:col>
      <xdr:colOff>144948</xdr:colOff>
      <xdr:row>3</xdr:row>
      <xdr:rowOff>123825</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95250"/>
          <a:ext cx="1068873" cy="1438275"/>
        </a:xfrm>
        <a:prstGeom prst="rect">
          <a:avLst/>
        </a:prstGeom>
        <a:effectLst>
          <a:outerShdw blurRad="50800" dist="50800" dir="2700000" algn="ctr" rotWithShape="0">
            <a:srgbClr val="000000">
              <a:alpha val="99000"/>
            </a:srgbClr>
          </a:outerShdw>
        </a:effectLst>
      </xdr:spPr>
    </xdr:pic>
    <xdr:clientData/>
  </xdr:twoCellAnchor>
  <mc:AlternateContent xmlns:mc="http://schemas.openxmlformats.org/markup-compatibility/2006">
    <mc:Choice xmlns:a14="http://schemas.microsoft.com/office/drawing/2010/main" Requires="a14">
      <xdr:twoCellAnchor editAs="oneCell">
        <xdr:from>
          <xdr:col>8</xdr:col>
          <xdr:colOff>304800</xdr:colOff>
          <xdr:row>3</xdr:row>
          <xdr:rowOff>152400</xdr:rowOff>
        </xdr:from>
        <xdr:to>
          <xdr:col>13</xdr:col>
          <xdr:colOff>561975</xdr:colOff>
          <xdr:row>5</xdr:row>
          <xdr:rowOff>104775</xdr:rowOff>
        </xdr:to>
        <xdr:sp macro="" textlink="">
          <xdr:nvSpPr>
            <xdr:cNvPr id="2049" name="Btn_GenerateFile"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152400</xdr:rowOff>
        </xdr:from>
        <xdr:to>
          <xdr:col>8</xdr:col>
          <xdr:colOff>266700</xdr:colOff>
          <xdr:row>5</xdr:row>
          <xdr:rowOff>104775</xdr:rowOff>
        </xdr:to>
        <xdr:sp macro="" textlink="">
          <xdr:nvSpPr>
            <xdr:cNvPr id="2050" name="Btn_RefreshData"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5</xdr:col>
      <xdr:colOff>1038225</xdr:colOff>
      <xdr:row>2</xdr:row>
      <xdr:rowOff>1304925</xdr:rowOff>
    </xdr:from>
    <xdr:to>
      <xdr:col>8</xdr:col>
      <xdr:colOff>2852316</xdr:colOff>
      <xdr:row>17</xdr:row>
      <xdr:rowOff>28575</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87225" y="1924050"/>
          <a:ext cx="4795416" cy="3524250"/>
        </a:xfrm>
        <a:prstGeom prst="rect">
          <a:avLst/>
        </a:prstGeom>
        <a:effectLst>
          <a:outerShdw blurRad="50800" dist="50800" dir="2760000" algn="ctr" rotWithShape="0">
            <a:srgbClr val="000000">
              <a:alpha val="99000"/>
            </a:srgbClr>
          </a:outerShdw>
        </a:effectLst>
      </xdr:spPr>
    </xdr:pic>
    <xdr:clientData/>
  </xdr:twoCellAnchor>
  <xdr:twoCellAnchor editAs="absolute">
    <xdr:from>
      <xdr:col>4</xdr:col>
      <xdr:colOff>2638425</xdr:colOff>
      <xdr:row>2</xdr:row>
      <xdr:rowOff>923925</xdr:rowOff>
    </xdr:from>
    <xdr:to>
      <xdr:col>5</xdr:col>
      <xdr:colOff>1019176</xdr:colOff>
      <xdr:row>2</xdr:row>
      <xdr:rowOff>1877391</xdr:rowOff>
    </xdr:to>
    <xdr:sp macro="" textlink="">
      <xdr:nvSpPr>
        <xdr:cNvPr id="6" name="TextBox 5"/>
        <xdr:cNvSpPr txBox="1"/>
      </xdr:nvSpPr>
      <xdr:spPr>
        <a:xfrm>
          <a:off x="10191750" y="1543050"/>
          <a:ext cx="1876426" cy="953466"/>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GB" sz="1100">
              <a:solidFill>
                <a:schemeClr val="tx1"/>
              </a:solidFill>
              <a:latin typeface="+mn-lt"/>
              <a:ea typeface="+mn-ea"/>
              <a:cs typeface="+mn-cs"/>
            </a:rPr>
            <a:t>Each row here turns</a:t>
          </a:r>
        </a:p>
        <a:p>
          <a:pPr marL="0" indent="0"/>
          <a:r>
            <a:rPr lang="en-GB" sz="1100">
              <a:solidFill>
                <a:schemeClr val="tx1"/>
              </a:solidFill>
              <a:latin typeface="+mn-lt"/>
              <a:ea typeface="+mn-ea"/>
              <a:cs typeface="+mn-cs"/>
            </a:rPr>
            <a:t>up as a row on the pop-up.</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(When typing, to get new</a:t>
          </a:r>
          <a:r>
            <a:rPr lang="en-GB" sz="1100" baseline="0">
              <a:solidFill>
                <a:schemeClr val="tx1"/>
              </a:solidFill>
              <a:latin typeface="+mn-lt"/>
              <a:ea typeface="+mn-ea"/>
              <a:cs typeface="+mn-cs"/>
            </a:rPr>
            <a:t> </a:t>
          </a:r>
          <a:r>
            <a:rPr lang="en-GB" sz="1100">
              <a:solidFill>
                <a:schemeClr val="tx1"/>
              </a:solidFill>
              <a:latin typeface="+mn-lt"/>
              <a:ea typeface="+mn-ea"/>
              <a:cs typeface="+mn-cs"/>
            </a:rPr>
            <a:t>lines</a:t>
          </a:r>
          <a:r>
            <a:rPr lang="en-GB" sz="1100" baseline="0">
              <a:solidFill>
                <a:schemeClr val="tx1"/>
              </a:solidFill>
              <a:latin typeface="+mn-lt"/>
              <a:ea typeface="+mn-ea"/>
              <a:cs typeface="+mn-cs"/>
            </a:rPr>
            <a:t> in a cell, type Alt-Enter.)</a:t>
          </a:r>
          <a:endParaRPr lang="en-GB" sz="1100">
            <a:solidFill>
              <a:schemeClr val="tx1"/>
            </a:solidFill>
            <a:latin typeface="+mn-lt"/>
            <a:ea typeface="+mn-ea"/>
            <a:cs typeface="+mn-cs"/>
          </a:endParaRPr>
        </a:p>
      </xdr:txBody>
    </xdr:sp>
    <xdr:clientData/>
  </xdr:twoCellAnchor>
  <xdr:twoCellAnchor editAs="absolute">
    <xdr:from>
      <xdr:col>5</xdr:col>
      <xdr:colOff>933450</xdr:colOff>
      <xdr:row>2</xdr:row>
      <xdr:rowOff>114299</xdr:rowOff>
    </xdr:from>
    <xdr:to>
      <xdr:col>8</xdr:col>
      <xdr:colOff>342588</xdr:colOff>
      <xdr:row>2</xdr:row>
      <xdr:rowOff>1123950</xdr:rowOff>
    </xdr:to>
    <xdr:sp macro="" textlink="">
      <xdr:nvSpPr>
        <xdr:cNvPr id="7" name="TextBox 6"/>
        <xdr:cNvSpPr txBox="1"/>
      </xdr:nvSpPr>
      <xdr:spPr>
        <a:xfrm>
          <a:off x="11982450" y="733424"/>
          <a:ext cx="2390463" cy="1009651"/>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$thing$ is replaced by the value of</a:t>
          </a:r>
        </a:p>
        <a:p>
          <a:pPr marL="0" indent="0"/>
          <a:r>
            <a:rPr lang="en-GB" sz="1100">
              <a:solidFill>
                <a:schemeClr val="tx1"/>
              </a:solidFill>
              <a:latin typeface="+mn-lt"/>
              <a:ea typeface="+mn-ea"/>
              <a:cs typeface="+mn-cs"/>
            </a:rPr>
            <a:t>the Thing column from the data sheet.</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Anything not inside $...$ is treated as</a:t>
          </a:r>
        </a:p>
        <a:p>
          <a:pPr marL="0" indent="0"/>
          <a:r>
            <a:rPr lang="en-GB" sz="1100">
              <a:solidFill>
                <a:schemeClr val="tx1"/>
              </a:solidFill>
              <a:latin typeface="+mn-lt"/>
              <a:ea typeface="+mn-ea"/>
              <a:cs typeface="+mn-cs"/>
            </a:rPr>
            <a:t>fixed text.</a:t>
          </a:r>
        </a:p>
        <a:p>
          <a:pPr marL="0" indent="0"/>
          <a:endParaRPr lang="en-GB" sz="1100">
            <a:solidFill>
              <a:schemeClr val="tx1"/>
            </a:solidFill>
            <a:latin typeface="+mn-lt"/>
            <a:ea typeface="+mn-ea"/>
            <a:cs typeface="+mn-cs"/>
          </a:endParaRPr>
        </a:p>
      </xdr:txBody>
    </xdr:sp>
    <xdr:clientData/>
  </xdr:twoCellAnchor>
  <xdr:twoCellAnchor editAs="absolute">
    <xdr:from>
      <xdr:col>4</xdr:col>
      <xdr:colOff>561975</xdr:colOff>
      <xdr:row>3</xdr:row>
      <xdr:rowOff>19047</xdr:rowOff>
    </xdr:from>
    <xdr:to>
      <xdr:col>5</xdr:col>
      <xdr:colOff>790575</xdr:colOff>
      <xdr:row>24</xdr:row>
      <xdr:rowOff>142875</xdr:rowOff>
    </xdr:to>
    <xdr:sp macro="" textlink="">
      <xdr:nvSpPr>
        <xdr:cNvPr id="10" name="TextBox 9"/>
        <xdr:cNvSpPr txBox="1"/>
      </xdr:nvSpPr>
      <xdr:spPr>
        <a:xfrm>
          <a:off x="8115300" y="2771772"/>
          <a:ext cx="3724275" cy="4124328"/>
        </a:xfrm>
        <a:prstGeom prst="rect">
          <a:avLst/>
        </a:prstGeom>
        <a:solidFill>
          <a:schemeClr val="accent2">
            <a:lumMod val="40000"/>
            <a:lumOff val="6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A row may contain just fixed text, or just $...$, or a combination of the two.</a:t>
          </a:r>
        </a:p>
        <a:p>
          <a:pPr marL="0" indent="0"/>
          <a:endParaRPr lang="en-GB" sz="1100">
            <a:solidFill>
              <a:schemeClr val="tx1"/>
            </a:solidFill>
            <a:latin typeface="+mn-lt"/>
            <a:ea typeface="+mn-ea"/>
            <a:cs typeface="+mn-cs"/>
          </a:endParaRPr>
        </a:p>
        <a:p>
          <a:pPr marL="0" indent="0"/>
          <a:r>
            <a:rPr lang="en-GB" sz="1100">
              <a:solidFill>
                <a:schemeClr val="tx1"/>
              </a:solidFill>
              <a:latin typeface="+mn-lt"/>
              <a:ea typeface="+mn-ea"/>
              <a:cs typeface="+mn-cs"/>
            </a:rPr>
            <a:t>Both fixed text and $...$ may be associated with a link</a:t>
          </a:r>
          <a:r>
            <a:rPr lang="en-GB" sz="1100" baseline="0">
              <a:solidFill>
                <a:schemeClr val="tx1"/>
              </a:solidFill>
              <a:latin typeface="+mn-lt"/>
              <a:ea typeface="+mn-ea"/>
              <a:cs typeface="+mn-cs"/>
            </a:rPr>
            <a:t> where we have the necessary information, via the LinkFrom/LinkTo table.</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a:t>
          </a:r>
          <a:r>
            <a:rPr lang="en-GB" sz="1100" u="sng" baseline="0">
              <a:solidFill>
                <a:schemeClr val="tx1"/>
              </a:solidFill>
              <a:latin typeface="+mn-lt"/>
              <a:ea typeface="+mn-ea"/>
              <a:cs typeface="+mn-cs"/>
            </a:rPr>
            <a:t>only</a:t>
          </a:r>
          <a:r>
            <a:rPr lang="en-GB" sz="1100" baseline="0">
              <a:solidFill>
                <a:schemeClr val="tx1"/>
              </a:solidFill>
              <a:latin typeface="+mn-lt"/>
              <a:ea typeface="+mn-ea"/>
              <a:cs typeface="+mn-cs"/>
            </a:rPr>
            <a:t> fixed text and which is not associated with a link is always output.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only fixed text and which </a:t>
          </a:r>
          <a:r>
            <a:rPr lang="en-GB" sz="1100" u="sng" baseline="0">
              <a:solidFill>
                <a:schemeClr val="tx1"/>
              </a:solidFill>
              <a:latin typeface="+mn-lt"/>
              <a:ea typeface="+mn-ea"/>
              <a:cs typeface="+mn-cs"/>
            </a:rPr>
            <a:t>does</a:t>
          </a:r>
          <a:r>
            <a:rPr lang="en-GB" sz="1100" baseline="0">
              <a:solidFill>
                <a:schemeClr val="tx1"/>
              </a:solidFill>
              <a:latin typeface="+mn-lt"/>
              <a:ea typeface="+mn-ea"/>
              <a:cs typeface="+mn-cs"/>
            </a:rPr>
            <a:t> have an associated link is output only if the link data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A line which contains $...$ is suppressed in its entirety unless at least one of the fields identified by $...$ is non-blank.</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text may contain HTML markup if you wish.</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The special tag </a:t>
          </a:r>
          <a:r>
            <a:rPr lang="en-GB" sz="1100" i="0" u="sng" baseline="0">
              <a:solidFill>
                <a:schemeClr val="tx1"/>
              </a:solidFill>
              <a:latin typeface="+mn-lt"/>
              <a:ea typeface="+mn-ea"/>
              <a:cs typeface="+mn-cs"/>
            </a:rPr>
            <a:t>optional-header</a:t>
          </a:r>
          <a:r>
            <a:rPr lang="en-GB" sz="1100" baseline="0">
              <a:solidFill>
                <a:schemeClr val="tx1"/>
              </a:solidFill>
              <a:latin typeface="+mn-lt"/>
              <a:ea typeface="+mn-ea"/>
              <a:cs typeface="+mn-cs"/>
            </a:rPr>
            <a:t> introduces a header which is suppressed if no data follows it.</a:t>
          </a:r>
        </a:p>
        <a:p>
          <a:pPr marL="0" indent="0"/>
          <a:endParaRPr lang="en-GB" sz="1100" baseline="0">
            <a:solidFill>
              <a:schemeClr val="tx1"/>
            </a:solidFill>
            <a:latin typeface="+mn-lt"/>
            <a:ea typeface="+mn-ea"/>
            <a:cs typeface="+mn-cs"/>
          </a:endParaRPr>
        </a:p>
        <a:p>
          <a:pPr marL="0" indent="0"/>
          <a:r>
            <a:rPr lang="en-GB" sz="1100" baseline="0">
              <a:solidFill>
                <a:schemeClr val="tx1"/>
              </a:solidFill>
              <a:latin typeface="+mn-lt"/>
              <a:ea typeface="+mn-ea"/>
              <a:cs typeface="+mn-cs"/>
            </a:rPr>
            <a:t>Each line is terminated with &lt;br&gt;, except for div's and optional-header.</a:t>
          </a:r>
          <a:endParaRPr lang="en-GB" sz="1100">
            <a:solidFill>
              <a:schemeClr val="tx1"/>
            </a:solidFill>
            <a:latin typeface="+mn-lt"/>
            <a:ea typeface="+mn-ea"/>
            <a:cs typeface="+mn-cs"/>
          </a:endParaRPr>
        </a:p>
      </xdr:txBody>
    </xdr:sp>
    <xdr:clientData/>
  </xdr:twoCellAnchor>
  <xdr:twoCellAnchor editAs="absolute">
    <xdr:from>
      <xdr:col>6</xdr:col>
      <xdr:colOff>533400</xdr:colOff>
      <xdr:row>17</xdr:row>
      <xdr:rowOff>114300</xdr:rowOff>
    </xdr:from>
    <xdr:to>
      <xdr:col>8</xdr:col>
      <xdr:colOff>2762250</xdr:colOff>
      <xdr:row>21</xdr:row>
      <xdr:rowOff>171450</xdr:rowOff>
    </xdr:to>
    <xdr:sp macro="" textlink="">
      <xdr:nvSpPr>
        <xdr:cNvPr id="12" name="TextBox 11"/>
        <xdr:cNvSpPr txBox="1"/>
      </xdr:nvSpPr>
      <xdr:spPr>
        <a:xfrm>
          <a:off x="12753975" y="5534025"/>
          <a:ext cx="4038600" cy="819150"/>
        </a:xfrm>
        <a:prstGeom prst="rect">
          <a:avLst/>
        </a:prstGeom>
        <a:solidFill>
          <a:schemeClr val="accent2">
            <a:lumMod val="60000"/>
            <a:lumOff val="40000"/>
          </a:schemeClr>
        </a:solidFill>
        <a:ln w="19050">
          <a:solidFill>
            <a:schemeClr val="bg1"/>
          </a:solidFill>
        </a:ln>
        <a:effectLst>
          <a:outerShdw blurRad="50800" dist="50800" dir="2760000" algn="ctr" rotWithShape="0">
            <a:srgbClr val="000000">
              <a:alpha val="99000"/>
            </a:srgb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en-GB" sz="1100">
              <a:solidFill>
                <a:schemeClr val="tx1"/>
              </a:solidFill>
              <a:latin typeface="+mn-lt"/>
              <a:ea typeface="+mn-ea"/>
              <a:cs typeface="+mn-cs"/>
            </a:rPr>
            <a:t>You</a:t>
          </a:r>
          <a:r>
            <a:rPr lang="en-GB" sz="1100" baseline="0">
              <a:solidFill>
                <a:schemeClr val="tx1"/>
              </a:solidFill>
              <a:latin typeface="+mn-lt"/>
              <a:ea typeface="+mn-ea"/>
              <a:cs typeface="+mn-cs"/>
            </a:rPr>
            <a:t> use this box to associate items from the PopupDetails box with links.  In the example, we are saying that $Church$ should be linked to ChurchWebsite, and the fixed text 'Wikipedia page for church' should be associated with WikipediaPageForChurch.</a:t>
          </a:r>
          <a:endParaRPr lang="en-GB" sz="1100">
            <a:solidFill>
              <a:schemeClr val="tx1"/>
            </a:solidFill>
            <a:latin typeface="+mn-lt"/>
            <a:ea typeface="+mn-ea"/>
            <a:cs typeface="+mn-cs"/>
          </a:endParaRPr>
        </a:p>
      </xdr:txBody>
    </xdr:sp>
    <xdr:clientData/>
  </xdr:twoCellAnchor>
  <xdr:twoCellAnchor editAs="absolute">
    <xdr:from>
      <xdr:col>5</xdr:col>
      <xdr:colOff>257175</xdr:colOff>
      <xdr:row>3</xdr:row>
      <xdr:rowOff>114300</xdr:rowOff>
    </xdr:from>
    <xdr:to>
      <xdr:col>6</xdr:col>
      <xdr:colOff>64008</xdr:colOff>
      <xdr:row>6</xdr:row>
      <xdr:rowOff>27432</xdr:rowOff>
    </xdr:to>
    <xdr:sp macro="" textlink="">
      <xdr:nvSpPr>
        <xdr:cNvPr id="2" name="Right Arrow 1"/>
        <xdr:cNvSpPr/>
      </xdr:nvSpPr>
      <xdr:spPr>
        <a:xfrm>
          <a:off x="11306175" y="2867025"/>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6</xdr:col>
      <xdr:colOff>932688</xdr:colOff>
      <xdr:row>2</xdr:row>
      <xdr:rowOff>1047750</xdr:rowOff>
    </xdr:from>
    <xdr:to>
      <xdr:col>6</xdr:col>
      <xdr:colOff>1417320</xdr:colOff>
      <xdr:row>2</xdr:row>
      <xdr:rowOff>1560195</xdr:rowOff>
    </xdr:to>
    <xdr:sp macro="" textlink="">
      <xdr:nvSpPr>
        <xdr:cNvPr id="9" name="Right Arrow 8"/>
        <xdr:cNvSpPr/>
      </xdr:nvSpPr>
      <xdr:spPr>
        <a:xfrm rot="5400000">
          <a:off x="13139356" y="1680782"/>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5</xdr:col>
      <xdr:colOff>937831</xdr:colOff>
      <xdr:row>2</xdr:row>
      <xdr:rowOff>1280733</xdr:rowOff>
    </xdr:from>
    <xdr:to>
      <xdr:col>6</xdr:col>
      <xdr:colOff>278701</xdr:colOff>
      <xdr:row>2</xdr:row>
      <xdr:rowOff>1765365</xdr:rowOff>
    </xdr:to>
    <xdr:sp macro="" textlink="">
      <xdr:nvSpPr>
        <xdr:cNvPr id="13" name="Right Arrow 12"/>
        <xdr:cNvSpPr/>
      </xdr:nvSpPr>
      <xdr:spPr>
        <a:xfrm rot="1232847">
          <a:off x="11986831" y="1899858"/>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8</xdr:col>
      <xdr:colOff>228601</xdr:colOff>
      <xdr:row>15</xdr:row>
      <xdr:rowOff>19049</xdr:rowOff>
    </xdr:from>
    <xdr:to>
      <xdr:col>8</xdr:col>
      <xdr:colOff>713233</xdr:colOff>
      <xdr:row>17</xdr:row>
      <xdr:rowOff>150494</xdr:rowOff>
    </xdr:to>
    <xdr:sp macro="" textlink="">
      <xdr:nvSpPr>
        <xdr:cNvPr id="14" name="Right Arrow 13"/>
        <xdr:cNvSpPr/>
      </xdr:nvSpPr>
      <xdr:spPr>
        <a:xfrm rot="16200000">
          <a:off x="14245019" y="5071681"/>
          <a:ext cx="512445"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2</xdr:col>
      <xdr:colOff>2886076</xdr:colOff>
      <xdr:row>0</xdr:row>
      <xdr:rowOff>228602</xdr:rowOff>
    </xdr:from>
    <xdr:to>
      <xdr:col>4</xdr:col>
      <xdr:colOff>206884</xdr:colOff>
      <xdr:row>2</xdr:row>
      <xdr:rowOff>94109</xdr:rowOff>
    </xdr:to>
    <xdr:sp macro="" textlink="">
      <xdr:nvSpPr>
        <xdr:cNvPr id="15" name="Right Arrow 14"/>
        <xdr:cNvSpPr/>
      </xdr:nvSpPr>
      <xdr:spPr>
        <a:xfrm rot="9634576">
          <a:off x="6781801" y="228602"/>
          <a:ext cx="978408" cy="484632"/>
        </a:xfrm>
        <a:prstGeom prst="rightArrow">
          <a:avLst/>
        </a:prstGeom>
        <a:solidFill>
          <a:schemeClr val="accent4">
            <a:lumMod val="60000"/>
            <a:lumOff val="40000"/>
          </a:schemeClr>
        </a:solidFill>
        <a:ln>
          <a:solidFill>
            <a:schemeClr val="bg1"/>
          </a:solidFill>
        </a:ln>
        <a:effectLst>
          <a:outerShdw blurRad="50800" dist="50800" dir="2700000" algn="ctr" rotWithShape="0">
            <a:srgbClr val="000000">
              <a:alpha val="99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17" Type="http://schemas.openxmlformats.org/officeDocument/2006/relationships/hyperlink" Target="https://www.standrewsislington.com/" TargetMode="External"/><Relationship Id="rId299" Type="http://schemas.openxmlformats.org/officeDocument/2006/relationships/hyperlink" Target="https://www.london.anglican.org/directory/laura-penney/" TargetMode="External"/><Relationship Id="rId21" Type="http://schemas.openxmlformats.org/officeDocument/2006/relationships/hyperlink" Target="https://www.london.anglican.org/directory/st-mary-of-eton-hackney/" TargetMode="External"/><Relationship Id="rId42" Type="http://schemas.openxmlformats.org/officeDocument/2006/relationships/hyperlink" Target="https://www.london.anglican.org/directory/st-george-all-saints-tufnell-park/" TargetMode="External"/><Relationship Id="rId63" Type="http://schemas.openxmlformats.org/officeDocument/2006/relationships/hyperlink" Target="https://www.london.anglican.org/directory/all-saints-poplar-poplar-team-ministry/" TargetMode="External"/><Relationship Id="rId84" Type="http://schemas.openxmlformats.org/officeDocument/2006/relationships/hyperlink" Target="https://www.london.anglican.org/directory/st-paul-bow-common/" TargetMode="External"/><Relationship Id="rId138" Type="http://schemas.openxmlformats.org/officeDocument/2006/relationships/hyperlink" Target="https://www.trinityislington.org/" TargetMode="External"/><Relationship Id="rId159" Type="http://schemas.openxmlformats.org/officeDocument/2006/relationships/hyperlink" Target="http://www.stpeterslondondocks.org.uk/" TargetMode="External"/><Relationship Id="rId324" Type="http://schemas.openxmlformats.org/officeDocument/2006/relationships/hyperlink" Target="https://www.crockford.org.uk/places/12544/the-benefice-of-dalston-(holy-trinity)-with-st-philip-and-haggerston-all-saints" TargetMode="External"/><Relationship Id="rId345" Type="http://schemas.openxmlformats.org/officeDocument/2006/relationships/hyperlink" Target="https://www.crockford.org.uk/places/13099/the-benefice-of-hackney,-west-(st-paul)" TargetMode="External"/><Relationship Id="rId366" Type="http://schemas.openxmlformats.org/officeDocument/2006/relationships/hyperlink" Target="https://www.crockford.org.uk/places/12593/the-benefice-of-finsbury-park-(st-thomas)" TargetMode="External"/><Relationship Id="rId387" Type="http://schemas.openxmlformats.org/officeDocument/2006/relationships/hyperlink" Target="https://barnsburyparish.com/" TargetMode="External"/><Relationship Id="rId170" Type="http://schemas.openxmlformats.org/officeDocument/2006/relationships/hyperlink" Target="https://en.wikipedia.org/wiki/Haggerston" TargetMode="External"/><Relationship Id="rId191" Type="http://schemas.openxmlformats.org/officeDocument/2006/relationships/hyperlink" Target="https://en.wikipedia.org/wiki/Clerkenwell" TargetMode="External"/><Relationship Id="rId205" Type="http://schemas.openxmlformats.org/officeDocument/2006/relationships/hyperlink" Target="https://en.wikipedia.org/wiki/Limehouse" TargetMode="External"/><Relationship Id="rId226" Type="http://schemas.openxmlformats.org/officeDocument/2006/relationships/hyperlink" Target="https://en.wikipedia.org/wiki/St_Clement%27s,_King_Square" TargetMode="External"/><Relationship Id="rId247" Type="http://schemas.openxmlformats.org/officeDocument/2006/relationships/hyperlink" Target="https://www.london.anglican.org/directory/andrew-newcombe/" TargetMode="External"/><Relationship Id="rId107" Type="http://schemas.openxmlformats.org/officeDocument/2006/relationships/hyperlink" Target="https://www.stmichaelslondonfields.org.uk/" TargetMode="External"/><Relationship Id="rId268" Type="http://schemas.openxmlformats.org/officeDocument/2006/relationships/hyperlink" Target="https://www.london.anglican.org/directory/julia-porter-pryce/" TargetMode="External"/><Relationship Id="rId289" Type="http://schemas.openxmlformats.org/officeDocument/2006/relationships/hyperlink" Target="https://www.london.anglican.org/directory/victoria-linsley/" TargetMode="External"/><Relationship Id="rId11" Type="http://schemas.openxmlformats.org/officeDocument/2006/relationships/hyperlink" Target="https://www.london.anglican.org/directory/st-barnabas-dalston/" TargetMode="External"/><Relationship Id="rId32" Type="http://schemas.openxmlformats.org/officeDocument/2006/relationships/hyperlink" Target="https://www.london.anglican.org/directory/christ-church-highbury/" TargetMode="External"/><Relationship Id="rId53" Type="http://schemas.openxmlformats.org/officeDocument/2006/relationships/hyperlink" Target="https://www.london.anglican.org/directory/st-saviour-hanley-road/" TargetMode="External"/><Relationship Id="rId74" Type="http://schemas.openxmlformats.org/officeDocument/2006/relationships/hyperlink" Target="https://www.london.anglican.org/directory/st-george-in-the-east/" TargetMode="External"/><Relationship Id="rId128" Type="http://schemas.openxmlformats.org/officeDocument/2006/relationships/hyperlink" Target="https://www.stmarks-clerkenwell.co.uk/" TargetMode="External"/><Relationship Id="rId149" Type="http://schemas.openxmlformats.org/officeDocument/2006/relationships/hyperlink" Target="https://www.stjohnonbethnalgreen.org/" TargetMode="External"/><Relationship Id="rId314" Type="http://schemas.openxmlformats.org/officeDocument/2006/relationships/hyperlink" Target="https://www.london.anglican.org/directory/peter-mcgeary/" TargetMode="External"/><Relationship Id="rId335" Type="http://schemas.openxmlformats.org/officeDocument/2006/relationships/hyperlink" Target="https://www.crockford.org.uk/places/12504/the-benefice-of-brownswood-park-(st-john-the-evangelist)" TargetMode="External"/><Relationship Id="rId356" Type="http://schemas.openxmlformats.org/officeDocument/2006/relationships/hyperlink" Target="https://www.crockford.org.uk/places/12752/the-benefice-of-islington-(st-james-the-apostle)-(st-peter)" TargetMode="External"/><Relationship Id="rId377" Type="http://schemas.openxmlformats.org/officeDocument/2006/relationships/hyperlink" Target="https://www.crockford.org.uk/places/12743/the-benefice-of-isle-of-dogs-(christ-church-and-st-john)-(st-luke)" TargetMode="External"/><Relationship Id="rId5" Type="http://schemas.openxmlformats.org/officeDocument/2006/relationships/hyperlink" Target="https://www.london.anglican.org/directory/grace-church-hackney/" TargetMode="External"/><Relationship Id="rId95" Type="http://schemas.openxmlformats.org/officeDocument/2006/relationships/hyperlink" Target="https://saintbarnabasdalston.org.uk/" TargetMode="External"/><Relationship Id="rId160" Type="http://schemas.openxmlformats.org/officeDocument/2006/relationships/hyperlink" Target="https://www.stpetersbarge.org/" TargetMode="External"/><Relationship Id="rId181" Type="http://schemas.openxmlformats.org/officeDocument/2006/relationships/hyperlink" Target="https://en.wikipedia.org/wiki/Stoke_Newington" TargetMode="External"/><Relationship Id="rId216" Type="http://schemas.openxmlformats.org/officeDocument/2006/relationships/hyperlink" Target="https://en.wikipedia.org/wiki/Shadwell" TargetMode="External"/><Relationship Id="rId237" Type="http://schemas.openxmlformats.org/officeDocument/2006/relationships/hyperlink" Target="https://en.wikipedia.org/wiki/Bow_Church" TargetMode="External"/><Relationship Id="rId258" Type="http://schemas.openxmlformats.org/officeDocument/2006/relationships/hyperlink" Target="https://www.london.anglican.org/directory/liz-adekunle/" TargetMode="External"/><Relationship Id="rId279" Type="http://schemas.openxmlformats.org/officeDocument/2006/relationships/hyperlink" Target="https://www.london.anglican.org/directory/alexandra-lilley/" TargetMode="External"/><Relationship Id="rId22" Type="http://schemas.openxmlformats.org/officeDocument/2006/relationships/hyperlink" Target="https://www.london.anglican.org/directory/st-mary-stoke-newington/" TargetMode="External"/><Relationship Id="rId43" Type="http://schemas.openxmlformats.org/officeDocument/2006/relationships/hyperlink" Target="https://www.london.anglican.org/directory/st-james-clerkenwell/" TargetMode="External"/><Relationship Id="rId64" Type="http://schemas.openxmlformats.org/officeDocument/2006/relationships/hyperlink" Target="https://www.london.anglican.org/directory/christ-church-and-st-john-w-st-luke-isle-of-dogs/" TargetMode="External"/><Relationship Id="rId118" Type="http://schemas.openxmlformats.org/officeDocument/2006/relationships/hyperlink" Target="http://www.standrewsn19.org/" TargetMode="External"/><Relationship Id="rId139" Type="http://schemas.openxmlformats.org/officeDocument/2006/relationships/hyperlink" Target="http://www.allhallowsbow.org.uk/" TargetMode="External"/><Relationship Id="rId290" Type="http://schemas.openxmlformats.org/officeDocument/2006/relationships/hyperlink" Target="https://www.london.anglican.org/directory/pete-hughes/" TargetMode="External"/><Relationship Id="rId304" Type="http://schemas.openxmlformats.org/officeDocument/2006/relationships/hyperlink" Target="https://www.london.anglican.org/directory/tasha-critchlow/" TargetMode="External"/><Relationship Id="rId325" Type="http://schemas.openxmlformats.org/officeDocument/2006/relationships/hyperlink" Target="https://www.crockford.org.uk/places/12544/the-benefice-of-dalston-(holy-trinity)-with-st-philip-and-haggerston-all-saints" TargetMode="External"/><Relationship Id="rId346" Type="http://schemas.openxmlformats.org/officeDocument/2006/relationships/hyperlink" Target="https://www.crockford.org.uk/places/12547/the-benefice-of-de-beauvoir-town-(st-peter)" TargetMode="External"/><Relationship Id="rId367" Type="http://schemas.openxmlformats.org/officeDocument/2006/relationships/hyperlink" Target="https://www.crockford.org.uk/places/12532/the-benefice-of-clerkenwell-(st-mark)" TargetMode="External"/><Relationship Id="rId388" Type="http://schemas.openxmlformats.org/officeDocument/2006/relationships/hyperlink" Target="https://barnsburyparish.com/" TargetMode="External"/><Relationship Id="rId85" Type="http://schemas.openxmlformats.org/officeDocument/2006/relationships/hyperlink" Target="https://www.london.anglican.org/directory/st-paul-shadwell/" TargetMode="External"/><Relationship Id="rId150" Type="http://schemas.openxmlformats.org/officeDocument/2006/relationships/hyperlink" Target="http://stlukesmillwall.org/" TargetMode="External"/><Relationship Id="rId171" Type="http://schemas.openxmlformats.org/officeDocument/2006/relationships/hyperlink" Target="https://en.wikipedia.org/wiki/Upper_Clapton" TargetMode="External"/><Relationship Id="rId192" Type="http://schemas.openxmlformats.org/officeDocument/2006/relationships/hyperlink" Target="https://en.wikipedia.org/wiki/Islington" TargetMode="External"/><Relationship Id="rId206" Type="http://schemas.openxmlformats.org/officeDocument/2006/relationships/hyperlink" Target="https://en.wikipedia.org/wiki/Bethnal_Green" TargetMode="External"/><Relationship Id="rId227" Type="http://schemas.openxmlformats.org/officeDocument/2006/relationships/hyperlink" Target="https://en.wikipedia.org/wiki/St_Mark%27s_Church,_Myddelton_Square" TargetMode="External"/><Relationship Id="rId248" Type="http://schemas.openxmlformats.org/officeDocument/2006/relationships/hyperlink" Target="https://www.london.anglican.org/directory/al-gordon/" TargetMode="External"/><Relationship Id="rId269" Type="http://schemas.openxmlformats.org/officeDocument/2006/relationships/hyperlink" Target="https://www.london.anglican.org/directory/william-campbell-taylor/" TargetMode="External"/><Relationship Id="rId12" Type="http://schemas.openxmlformats.org/officeDocument/2006/relationships/hyperlink" Target="https://www.london.anglican.org/directory/st-barnabas-homerton-hackney-marsh-team-ministry/" TargetMode="External"/><Relationship Id="rId33" Type="http://schemas.openxmlformats.org/officeDocument/2006/relationships/hyperlink" Target="https://www.london.anglican.org/directory/emmanuel-hornsey-road/" TargetMode="External"/><Relationship Id="rId108" Type="http://schemas.openxmlformats.org/officeDocument/2006/relationships/hyperlink" Target="http://www.stolaveschurch.co.uk/" TargetMode="External"/><Relationship Id="rId129" Type="http://schemas.openxmlformats.org/officeDocument/2006/relationships/hyperlink" Target="https://www.tollingtonparish.org.uk/" TargetMode="External"/><Relationship Id="rId280" Type="http://schemas.openxmlformats.org/officeDocument/2006/relationships/hyperlink" Target="https://www.london.anglican.org/directory/pete-nicholas/" TargetMode="External"/><Relationship Id="rId315" Type="http://schemas.openxmlformats.org/officeDocument/2006/relationships/hyperlink" Target="https://www.london.anglican.org/directory/erin-clark/" TargetMode="External"/><Relationship Id="rId336" Type="http://schemas.openxmlformats.org/officeDocument/2006/relationships/hyperlink" Target="https://www.crockford.org.uk/places/12977/the-benefice-of-shoreditch-(st-leonard)-with-st-michael" TargetMode="External"/><Relationship Id="rId357" Type="http://schemas.openxmlformats.org/officeDocument/2006/relationships/hyperlink" Target="https://www.crockford.org.uk/places/13074/the-benefice-of-holloway,-upper-(st-john-the-evangelist)" TargetMode="External"/><Relationship Id="rId54" Type="http://schemas.openxmlformats.org/officeDocument/2006/relationships/hyperlink" Target="https://www.london.anglican.org/directory/st-silas-pentonville/" TargetMode="External"/><Relationship Id="rId75" Type="http://schemas.openxmlformats.org/officeDocument/2006/relationships/hyperlink" Target="https://www.london.anglican.org/directory/st-james-the-less-bethnal-green/" TargetMode="External"/><Relationship Id="rId96" Type="http://schemas.openxmlformats.org/officeDocument/2006/relationships/hyperlink" Target="https://www.holybart.com/" TargetMode="External"/><Relationship Id="rId140" Type="http://schemas.openxmlformats.org/officeDocument/2006/relationships/hyperlink" Target="http://www.parishofpoplar.org/" TargetMode="External"/><Relationship Id="rId161" Type="http://schemas.openxmlformats.org/officeDocument/2006/relationships/hyperlink" Target="=IFERROR(VLOOKUP($C50,%20DataFromWikipedia!A:T,%2017,%20FALSE),%20%22%22)" TargetMode="External"/><Relationship Id="rId182" Type="http://schemas.openxmlformats.org/officeDocument/2006/relationships/hyperlink" Target="https://en.wikipedia.org/wiki/West_Hackney" TargetMode="External"/><Relationship Id="rId217" Type="http://schemas.openxmlformats.org/officeDocument/2006/relationships/hyperlink" Target="https://en.wikipedia.org/wiki/Bethnal_Green" TargetMode="External"/><Relationship Id="rId378" Type="http://schemas.openxmlformats.org/officeDocument/2006/relationships/hyperlink" Target="https://www.crockford.org.uk/places/12488/the-benefice-of-bow-(st-mary)-and-holy-trinity-with-bromley-st-leonard" TargetMode="External"/><Relationship Id="rId6" Type="http://schemas.openxmlformats.org/officeDocument/2006/relationships/hyperlink" Target="https://www.london.anglican.org/directory/holy-trinity-dalston/" TargetMode="External"/><Relationship Id="rId238" Type="http://schemas.openxmlformats.org/officeDocument/2006/relationships/hyperlink" Target="https://en.wikipedia.org/wiki/St_Matthew%27s,_Bethnal_Green" TargetMode="External"/><Relationship Id="rId259" Type="http://schemas.openxmlformats.org/officeDocument/2006/relationships/hyperlink" Target="https://www.london.anglican.org/directory/josh-zvimba/" TargetMode="External"/><Relationship Id="rId23" Type="http://schemas.openxmlformats.org/officeDocument/2006/relationships/hyperlink" Target="https://www.london.anglican.org/directory/st-matthew-upper-clapton/" TargetMode="External"/><Relationship Id="rId119" Type="http://schemas.openxmlformats.org/officeDocument/2006/relationships/hyperlink" Target="http://www.standrews.islington.sch.uk/" TargetMode="External"/><Relationship Id="rId270" Type="http://schemas.openxmlformats.org/officeDocument/2006/relationships/hyperlink" Target="https://www.london.anglican.org/directory/martin-lawford/" TargetMode="External"/><Relationship Id="rId291" Type="http://schemas.openxmlformats.org/officeDocument/2006/relationships/hyperlink" Target="https://www.london.anglican.org/directory/rayner-wakeling/" TargetMode="External"/><Relationship Id="rId305" Type="http://schemas.openxmlformats.org/officeDocument/2006/relationships/hyperlink" Target="https://www.london.anglican.org/directory/richard-bray/" TargetMode="External"/><Relationship Id="rId326" Type="http://schemas.openxmlformats.org/officeDocument/2006/relationships/hyperlink" Target="https://www.crockford.org.uk/places/12735/the-benefice-of-hoxton-(holy-trinity)-(st-mary)" TargetMode="External"/><Relationship Id="rId347" Type="http://schemas.openxmlformats.org/officeDocument/2006/relationships/hyperlink" Target="https://www.crockford.org.uk/places/13020/the-benefice-of-stamford-hill-(st-thomas)" TargetMode="External"/><Relationship Id="rId44" Type="http://schemas.openxmlformats.org/officeDocument/2006/relationships/hyperlink" Target="https://www.london.anglican.org/directory/st-james-islington/" TargetMode="External"/><Relationship Id="rId65" Type="http://schemas.openxmlformats.org/officeDocument/2006/relationships/hyperlink" Target="https://www.london.anglican.org/directory/christ-church-isle-of-dogs/" TargetMode="External"/><Relationship Id="rId86" Type="http://schemas.openxmlformats.org/officeDocument/2006/relationships/hyperlink" Target="https://www.london.anglican.org/directory/st-peter-bethnal-green/" TargetMode="External"/><Relationship Id="rId130" Type="http://schemas.openxmlformats.org/officeDocument/2006/relationships/hyperlink" Target="http://www.stmaryshornseyrise.org.uk/" TargetMode="External"/><Relationship Id="rId151" Type="http://schemas.openxmlformats.org/officeDocument/2006/relationships/hyperlink" Target="https://www.bowchurch.org.uk/" TargetMode="External"/><Relationship Id="rId368" Type="http://schemas.openxmlformats.org/officeDocument/2006/relationships/hyperlink" Target="https://www.crockford.org.uk/places/12496/the-benefice-of-bromley-by-bow-(all-hallows)" TargetMode="External"/><Relationship Id="rId389" Type="http://schemas.openxmlformats.org/officeDocument/2006/relationships/hyperlink" Target="=IFERROR(VLOOKUP($C50,%20DataFromWikipedia!A:T,%2017,%20FALSE),%20%22%22)" TargetMode="External"/><Relationship Id="rId172" Type="http://schemas.openxmlformats.org/officeDocument/2006/relationships/hyperlink" Target="https://en.wikipedia.org/wiki/South_Hackney" TargetMode="External"/><Relationship Id="rId193" Type="http://schemas.openxmlformats.org/officeDocument/2006/relationships/hyperlink" Target="https://en.wikipedia.org/wiki/Upper_Holloway" TargetMode="External"/><Relationship Id="rId207" Type="http://schemas.openxmlformats.org/officeDocument/2006/relationships/hyperlink" Target="https://en.wikipedia.org/wiki/Stepney" TargetMode="External"/><Relationship Id="rId228" Type="http://schemas.openxmlformats.org/officeDocument/2006/relationships/hyperlink" Target="https://en.wikipedia.org/wiki/St_James%27_Church,_Islington" TargetMode="External"/><Relationship Id="rId249" Type="http://schemas.openxmlformats.org/officeDocument/2006/relationships/hyperlink" Target="https://www.london.anglican.org/directory/charis-enga/" TargetMode="External"/><Relationship Id="rId13" Type="http://schemas.openxmlformats.org/officeDocument/2006/relationships/hyperlink" Target="https://www.london.anglican.org/directory/st-bartholomew-stamford-hill/" TargetMode="External"/><Relationship Id="rId109" Type="http://schemas.openxmlformats.org/officeDocument/2006/relationships/hyperlink" Target="http://stpaulswesthackney.org/" TargetMode="External"/><Relationship Id="rId260" Type="http://schemas.openxmlformats.org/officeDocument/2006/relationships/hyperlink" Target="https://www.london.anglican.org/directory/sue-makin/" TargetMode="External"/><Relationship Id="rId281" Type="http://schemas.openxmlformats.org/officeDocument/2006/relationships/hyperlink" Target="https://www.london.anglican.org/directory/john-burniston/" TargetMode="External"/><Relationship Id="rId316" Type="http://schemas.openxmlformats.org/officeDocument/2006/relationships/hyperlink" Target="https://www.london.anglican.org/directory/matt-wall/" TargetMode="External"/><Relationship Id="rId337" Type="http://schemas.openxmlformats.org/officeDocument/2006/relationships/hyperlink" Target="https://www.crockford.org.uk/places/12545/the-benefice-of-dalston-(st-mark-with-st-bartholomew)" TargetMode="External"/><Relationship Id="rId34" Type="http://schemas.openxmlformats.org/officeDocument/2006/relationships/hyperlink" Target="https://www.london.anglican.org/directory/hope-church-islington/" TargetMode="External"/><Relationship Id="rId55" Type="http://schemas.openxmlformats.org/officeDocument/2006/relationships/hyperlink" Target="https://www.london.anglican.org/directory/st-stephen-canonbury/" TargetMode="External"/><Relationship Id="rId76" Type="http://schemas.openxmlformats.org/officeDocument/2006/relationships/hyperlink" Target="https://www.london.anglican.org/directory/st-john-on-bethnal-green/" TargetMode="External"/><Relationship Id="rId97" Type="http://schemas.openxmlformats.org/officeDocument/2006/relationships/hyperlink" Target="https://www.stjamesclapton.co.uk/" TargetMode="External"/><Relationship Id="rId120" Type="http://schemas.openxmlformats.org/officeDocument/2006/relationships/hyperlink" Target="http://www.staugustine.org.uk/" TargetMode="External"/><Relationship Id="rId141" Type="http://schemas.openxmlformats.org/officeDocument/2006/relationships/hyperlink" Target="http://www.parishiod.org.uk/" TargetMode="External"/><Relationship Id="rId358" Type="http://schemas.openxmlformats.org/officeDocument/2006/relationships/hyperlink" Target="https://www.crockford.org.uk/places/12834/the-benefice-of-mildmay-grove-(st-jude-and-st-paul)" TargetMode="External"/><Relationship Id="rId379" Type="http://schemas.openxmlformats.org/officeDocument/2006/relationships/hyperlink" Target="https://www.crockford.org.uk/places/12947/the-benefice-of-st-george-in-the-east-(st-mary)" TargetMode="External"/><Relationship Id="rId7" Type="http://schemas.openxmlformats.org/officeDocument/2006/relationships/hyperlink" Target="https://www.london.anglican.org/directory/holy-trinity-dalston-with-all-saints-haggerston/" TargetMode="External"/><Relationship Id="rId162" Type="http://schemas.openxmlformats.org/officeDocument/2006/relationships/hyperlink" Target="=IFERROR(VLOOKUP($C54,%20DataFromWikipedia!A:T,%2017,%20FALSE),%20%22%22)" TargetMode="External"/><Relationship Id="rId183" Type="http://schemas.openxmlformats.org/officeDocument/2006/relationships/hyperlink" Target="https://en.wikipedia.org/wiki/De_Beauvoir_Town" TargetMode="External"/><Relationship Id="rId218" Type="http://schemas.openxmlformats.org/officeDocument/2006/relationships/hyperlink" Target="https://en.wikipedia.org/wiki/London_Docks" TargetMode="External"/><Relationship Id="rId239" Type="http://schemas.openxmlformats.org/officeDocument/2006/relationships/hyperlink" Target="https://en.wikipedia.org/wiki/St_Paul_Old_Ford" TargetMode="External"/><Relationship Id="rId390" Type="http://schemas.openxmlformats.org/officeDocument/2006/relationships/printerSettings" Target="../printerSettings/printerSettings2.bin"/><Relationship Id="rId250" Type="http://schemas.openxmlformats.org/officeDocument/2006/relationships/hyperlink" Target="https://www.london.anglican.org/directory/ben-bell/" TargetMode="External"/><Relationship Id="rId271" Type="http://schemas.openxmlformats.org/officeDocument/2006/relationships/hyperlink" Target="https://www.london.anglican.org/directory/jules-soanes/" TargetMode="External"/><Relationship Id="rId292" Type="http://schemas.openxmlformats.org/officeDocument/2006/relationships/hyperlink" Target="https://www.london.anglican.org/directory/john-beauchamp/" TargetMode="External"/><Relationship Id="rId306" Type="http://schemas.openxmlformats.org/officeDocument/2006/relationships/hyperlink" Target="https://www.london.anglican.org/directory/brian-ralph/" TargetMode="External"/><Relationship Id="rId24" Type="http://schemas.openxmlformats.org/officeDocument/2006/relationships/hyperlink" Target="https://www.london.anglican.org/directory/st-matthias-stoke-newington/" TargetMode="External"/><Relationship Id="rId45" Type="http://schemas.openxmlformats.org/officeDocument/2006/relationships/hyperlink" Target="https://www.london.anglican.org/directory/st-john-the-evangelist-upper-holloway/" TargetMode="External"/><Relationship Id="rId66" Type="http://schemas.openxmlformats.org/officeDocument/2006/relationships/hyperlink" Target="https://www.london.anglican.org/directory/christ-church-spitalfields/" TargetMode="External"/><Relationship Id="rId87" Type="http://schemas.openxmlformats.org/officeDocument/2006/relationships/hyperlink" Target="https://www.london.anglican.org/directory/st-peter-london-docks/" TargetMode="External"/><Relationship Id="rId110" Type="http://schemas.openxmlformats.org/officeDocument/2006/relationships/hyperlink" Target="http://www.stpeterdebeauvoir.org.uk/" TargetMode="External"/><Relationship Id="rId131" Type="http://schemas.openxmlformats.org/officeDocument/2006/relationships/hyperlink" Target="https://www.stmaryislington.org/" TargetMode="External"/><Relationship Id="rId327" Type="http://schemas.openxmlformats.org/officeDocument/2006/relationships/hyperlink" Target="https://www.crockford.org.uk/places/13028/the-benefice-of-stoke-newington-(st-andrew)" TargetMode="External"/><Relationship Id="rId348" Type="http://schemas.openxmlformats.org/officeDocument/2006/relationships/hyperlink" Target="https://www.crockford.org.uk/places/12696/the-benefice-of-highbury-(christ-church)-(st-john)-(st-saviour)" TargetMode="External"/><Relationship Id="rId369" Type="http://schemas.openxmlformats.org/officeDocument/2006/relationships/hyperlink" Target="https://www.crockford.org.uk/places/12743/the-benefice-of-isle-of-dogs-(christ-church-and-st-john)-(st-luke)" TargetMode="External"/><Relationship Id="rId152" Type="http://schemas.openxmlformats.org/officeDocument/2006/relationships/hyperlink" Target="http://stmaryscablest.blogspot.com/" TargetMode="External"/><Relationship Id="rId173" Type="http://schemas.openxmlformats.org/officeDocument/2006/relationships/hyperlink" Target="https://en.wikipedia.org/wiki/Hoxton" TargetMode="External"/><Relationship Id="rId194" Type="http://schemas.openxmlformats.org/officeDocument/2006/relationships/hyperlink" Target="https://en.wikipedia.org/wiki/Tollington_(ward)" TargetMode="External"/><Relationship Id="rId208" Type="http://schemas.openxmlformats.org/officeDocument/2006/relationships/hyperlink" Target="https://en.wikipedia.org/wiki/Bethnal_Green" TargetMode="External"/><Relationship Id="rId229" Type="http://schemas.openxmlformats.org/officeDocument/2006/relationships/hyperlink" Target="https://en.wikipedia.org/wiki/St_Mary%27s_Church,_Islington" TargetMode="External"/><Relationship Id="rId380" Type="http://schemas.openxmlformats.org/officeDocument/2006/relationships/hyperlink" Target="https://www.crockford.org.uk/places/12481/the-benefice-of-bethnal-green-(st-matthew-with-st-james-the-great)" TargetMode="External"/><Relationship Id="rId240" Type="http://schemas.openxmlformats.org/officeDocument/2006/relationships/hyperlink" Target="https://en.wikipedia.org/wiki/St_Paul%27s,_Bow_Common" TargetMode="External"/><Relationship Id="rId261" Type="http://schemas.openxmlformats.org/officeDocument/2006/relationships/hyperlink" Target="https://www.london.anglican.org/directory/dilly-baker/" TargetMode="External"/><Relationship Id="rId14" Type="http://schemas.openxmlformats.org/officeDocument/2006/relationships/hyperlink" Target="https://www.london.anglican.org/directory/st-chad-haggerston/" TargetMode="External"/><Relationship Id="rId35" Type="http://schemas.openxmlformats.org/officeDocument/2006/relationships/hyperlink" Target="https://www.london.anglican.org/directory/nags-head-church-community/" TargetMode="External"/><Relationship Id="rId56" Type="http://schemas.openxmlformats.org/officeDocument/2006/relationships/hyperlink" Target="https://www.london.anglican.org/directory/st-thomas-finsbury-park/" TargetMode="External"/><Relationship Id="rId77" Type="http://schemas.openxmlformats.org/officeDocument/2006/relationships/hyperlink" Target="https://www.london.anglican.org/directory/st-luke-millwall/" TargetMode="External"/><Relationship Id="rId100" Type="http://schemas.openxmlformats.org/officeDocument/2006/relationships/hyperlink" Target="https://www.sjebp.com/" TargetMode="External"/><Relationship Id="rId282" Type="http://schemas.openxmlformats.org/officeDocument/2006/relationships/hyperlink" Target="https://www.london.anglican.org/directory/alan-comfort/" TargetMode="External"/><Relationship Id="rId317" Type="http://schemas.openxmlformats.org/officeDocument/2006/relationships/hyperlink" Target="https://www.london.anglican.org/directory/james-hughesdon/" TargetMode="External"/><Relationship Id="rId338" Type="http://schemas.openxmlformats.org/officeDocument/2006/relationships/hyperlink" Target="https://www.crockford.org.uk/places/12628/the-benefice-of-hackney-wick-(st-mary-of-eton)" TargetMode="External"/><Relationship Id="rId359" Type="http://schemas.openxmlformats.org/officeDocument/2006/relationships/hyperlink" Target="https://www.crockford.org.uk/places/13108/the-benefice-of-holloway,-west-(st-luke)" TargetMode="External"/><Relationship Id="rId8" Type="http://schemas.openxmlformats.org/officeDocument/2006/relationships/hyperlink" Target="https://www.london.anglican.org/directory/holy-trinity-hoxton/" TargetMode="External"/><Relationship Id="rId98" Type="http://schemas.openxmlformats.org/officeDocument/2006/relationships/hyperlink" Target="http://www.sjoj.co.uk/" TargetMode="External"/><Relationship Id="rId121" Type="http://schemas.openxmlformats.org/officeDocument/2006/relationships/hyperlink" Target="https://www.stclementfinsbury.org/" TargetMode="External"/><Relationship Id="rId142" Type="http://schemas.openxmlformats.org/officeDocument/2006/relationships/hyperlink" Target="https://www.parishiod.org.uk/" TargetMode="External"/><Relationship Id="rId163" Type="http://schemas.openxmlformats.org/officeDocument/2006/relationships/hyperlink" Target="https://en.wikipedia.org/wiki/Hoxton" TargetMode="External"/><Relationship Id="rId184" Type="http://schemas.openxmlformats.org/officeDocument/2006/relationships/hyperlink" Target="https://en.wikipedia.org/wiki/Stamford_Hill" TargetMode="External"/><Relationship Id="rId219" Type="http://schemas.openxmlformats.org/officeDocument/2006/relationships/hyperlink" Target="https://en.wikipedia.org/wiki/Limehouse" TargetMode="External"/><Relationship Id="rId370" Type="http://schemas.openxmlformats.org/officeDocument/2006/relationships/hyperlink" Target="https://www.crockford.org.uk/places/13008/the-benefice-of-spitalfields-(christ-church-with-all-saints)" TargetMode="External"/><Relationship Id="rId230" Type="http://schemas.openxmlformats.org/officeDocument/2006/relationships/hyperlink" Target="https://en.wikipedia.org/wiki/All_Hallows,_Bow" TargetMode="External"/><Relationship Id="rId251" Type="http://schemas.openxmlformats.org/officeDocument/2006/relationships/hyperlink" Target="https://www.london.anglican.org/directory/clive-main/" TargetMode="External"/><Relationship Id="rId25" Type="http://schemas.openxmlformats.org/officeDocument/2006/relationships/hyperlink" Target="https://www.london.anglican.org/directory/st-michael-all-angels-london-fields/" TargetMode="External"/><Relationship Id="rId46" Type="http://schemas.openxmlformats.org/officeDocument/2006/relationships/hyperlink" Target="https://www.london.anglican.org/directory/st-jude-and-st-paul-mildmay-grove/" TargetMode="External"/><Relationship Id="rId67" Type="http://schemas.openxmlformats.org/officeDocument/2006/relationships/hyperlink" Target="https://www.london.anglican.org/directory/hms-president/" TargetMode="External"/><Relationship Id="rId272" Type="http://schemas.openxmlformats.org/officeDocument/2006/relationships/hyperlink" Target="https://www.london.anglican.org/directory/paul-zaphiriou/" TargetMode="External"/><Relationship Id="rId293" Type="http://schemas.openxmlformats.org/officeDocument/2006/relationships/hyperlink" Target="https://www.london.anglican.org/directory/stephen-coles/" TargetMode="External"/><Relationship Id="rId307" Type="http://schemas.openxmlformats.org/officeDocument/2006/relationships/hyperlink" Target="https://www.london.anglican.org/directory/trevor-critchlow/" TargetMode="External"/><Relationship Id="rId328" Type="http://schemas.openxmlformats.org/officeDocument/2006/relationships/hyperlink" Target="https://www.crockford.org.uk/places/12738/the-benefice-of-hoxton-(st-anne)-(st-columba)" TargetMode="External"/><Relationship Id="rId349" Type="http://schemas.openxmlformats.org/officeDocument/2006/relationships/hyperlink" Target="https://www.crockford.org.uk/places/13044/the-benefice-of-tollington-(st-mark)" TargetMode="External"/><Relationship Id="rId88" Type="http://schemas.openxmlformats.org/officeDocument/2006/relationships/hyperlink" Target="https://www.london.anglican.org/directory/st-peters-barge-canary-wharf/" TargetMode="External"/><Relationship Id="rId111" Type="http://schemas.openxmlformats.org/officeDocument/2006/relationships/hyperlink" Target="https://www.saintthomasclapton.org/" TargetMode="External"/><Relationship Id="rId132" Type="http://schemas.openxmlformats.org/officeDocument/2006/relationships/hyperlink" Target="http://www.smmacademy.org/" TargetMode="External"/><Relationship Id="rId153" Type="http://schemas.openxmlformats.org/officeDocument/2006/relationships/hyperlink" Target="https://www.st-matthews.co.uk/" TargetMode="External"/><Relationship Id="rId174" Type="http://schemas.openxmlformats.org/officeDocument/2006/relationships/hyperlink" Target="https://en.wikipedia.org/wiki/Shoreditch" TargetMode="External"/><Relationship Id="rId195" Type="http://schemas.openxmlformats.org/officeDocument/2006/relationships/hyperlink" Target="https://en.wikipedia.org/wiki/Hornsey" TargetMode="External"/><Relationship Id="rId209" Type="http://schemas.openxmlformats.org/officeDocument/2006/relationships/hyperlink" Target="https://en.wikipedia.org/wiki/St_John_on_Bethnal_Green" TargetMode="External"/><Relationship Id="rId360" Type="http://schemas.openxmlformats.org/officeDocument/2006/relationships/hyperlink" Target="https://www.crockford.org.uk/places/13044/the-benefice-of-tollington-(st-mark)" TargetMode="External"/><Relationship Id="rId381" Type="http://schemas.openxmlformats.org/officeDocument/2006/relationships/hyperlink" Target="https://www.crockford.org.uk/places/12886/the-benefice-of-old-ford-(st-paul)-(st-mark)" TargetMode="External"/><Relationship Id="rId220" Type="http://schemas.openxmlformats.org/officeDocument/2006/relationships/hyperlink" Target="https://en.wikipedia.org/wiki/St_Andrew,_Stoke_Newington" TargetMode="External"/><Relationship Id="rId241" Type="http://schemas.openxmlformats.org/officeDocument/2006/relationships/hyperlink" Target="https://en.wikipedia.org/wiki/St_Paul%27s_Church,_Shadwell" TargetMode="External"/><Relationship Id="rId15" Type="http://schemas.openxmlformats.org/officeDocument/2006/relationships/hyperlink" Target="https://www.london.anglican.org/directory/st-james-clapton/" TargetMode="External"/><Relationship Id="rId36" Type="http://schemas.openxmlformats.org/officeDocument/2006/relationships/hyperlink" Target="https://www.london.anglican.org/directory/our-most-holy-redeemer-clerkenwell/" TargetMode="External"/><Relationship Id="rId57" Type="http://schemas.openxmlformats.org/officeDocument/2006/relationships/hyperlink" Target="https://www.london.anglican.org/directory/the-barnsbury-team/" TargetMode="External"/><Relationship Id="rId262" Type="http://schemas.openxmlformats.org/officeDocument/2006/relationships/hyperlink" Target="https://www.london.anglican.org/directory/tola-badejo/" TargetMode="External"/><Relationship Id="rId283" Type="http://schemas.openxmlformats.org/officeDocument/2006/relationships/hyperlink" Target="https://www.london.anglican.org/directory/james-hill/" TargetMode="External"/><Relationship Id="rId318" Type="http://schemas.openxmlformats.org/officeDocument/2006/relationships/hyperlink" Target="https://www.london.anglican.org/directory/bernadette-hegarty/" TargetMode="External"/><Relationship Id="rId339" Type="http://schemas.openxmlformats.org/officeDocument/2006/relationships/hyperlink" Target="https://www.crockford.org.uk/places/13030/the-benefice-of-stoke-newington-(st-mary)-(old-parish-church)" TargetMode="External"/><Relationship Id="rId78" Type="http://schemas.openxmlformats.org/officeDocument/2006/relationships/hyperlink" Target="https://www.london.anglican.org/directory/st-margarets-house/" TargetMode="External"/><Relationship Id="rId99" Type="http://schemas.openxmlformats.org/officeDocument/2006/relationships/hyperlink" Target="https://www.stjohnshoxton.org.uk/" TargetMode="External"/><Relationship Id="rId101" Type="http://schemas.openxmlformats.org/officeDocument/2006/relationships/hyperlink" Target="http://www.shoreditchchurch.org.uk/" TargetMode="External"/><Relationship Id="rId122" Type="http://schemas.openxmlformats.org/officeDocument/2006/relationships/hyperlink" Target="http://www.stgeorgestufnellpark.org/" TargetMode="External"/><Relationship Id="rId143" Type="http://schemas.openxmlformats.org/officeDocument/2006/relationships/hyperlink" Target="http://www.ccspits.org/" TargetMode="External"/><Relationship Id="rId164" Type="http://schemas.openxmlformats.org/officeDocument/2006/relationships/hyperlink" Target="https://en.wikipedia.org/wiki/Dalston" TargetMode="External"/><Relationship Id="rId185" Type="http://schemas.openxmlformats.org/officeDocument/2006/relationships/hyperlink" Target="https://en.wikipedia.org/wiki/Highbury" TargetMode="External"/><Relationship Id="rId350" Type="http://schemas.openxmlformats.org/officeDocument/2006/relationships/hyperlink" Target="https://www.crockford.org.uk/places/12530/the-benefice-of-clerkenwell-(our-most-holy-redeemer)" TargetMode="External"/><Relationship Id="rId371" Type="http://schemas.openxmlformats.org/officeDocument/2006/relationships/hyperlink" Target="https://www.crockford.org.uk/places/12794/the-benefice-of-limehouse-(st-anne)-(st-peter)" TargetMode="External"/><Relationship Id="rId9" Type="http://schemas.openxmlformats.org/officeDocument/2006/relationships/hyperlink" Target="https://www.london.anglican.org/directory/st-andrew-stoke-newington/" TargetMode="External"/><Relationship Id="rId210" Type="http://schemas.openxmlformats.org/officeDocument/2006/relationships/hyperlink" Target="https://en.wikipedia.org/wiki/Isle_of_Dogs" TargetMode="External"/><Relationship Id="rId26" Type="http://schemas.openxmlformats.org/officeDocument/2006/relationships/hyperlink" Target="https://www.london.anglican.org/directory/st-michael-all-angels-stoke-newington-common/" TargetMode="External"/><Relationship Id="rId231" Type="http://schemas.openxmlformats.org/officeDocument/2006/relationships/hyperlink" Target="https://en.wikipedia.org/wiki/Christ_Church,_Spitalfields" TargetMode="External"/><Relationship Id="rId252" Type="http://schemas.openxmlformats.org/officeDocument/2006/relationships/hyperlink" Target="https://www.london.anglican.org/directory/charles-card-reynolds/" TargetMode="External"/><Relationship Id="rId273" Type="http://schemas.openxmlformats.org/officeDocument/2006/relationships/hyperlink" Target="https://www.london.anglican.org/directory/christopher-trundle/" TargetMode="External"/><Relationship Id="rId294" Type="http://schemas.openxmlformats.org/officeDocument/2006/relationships/hyperlink" Target="https://www.london.anglican.org/directory/robin-isherwood/" TargetMode="External"/><Relationship Id="rId308" Type="http://schemas.openxmlformats.org/officeDocument/2006/relationships/hyperlink" Target="https://www.london.anglican.org/directory/richard-springer/" TargetMode="External"/><Relationship Id="rId329" Type="http://schemas.openxmlformats.org/officeDocument/2006/relationships/hyperlink" Target="https://www.crockford.org.uk/places/12627/the-benefice-of-hackney-marsh-(all-souls)" TargetMode="External"/><Relationship Id="rId47" Type="http://schemas.openxmlformats.org/officeDocument/2006/relationships/hyperlink" Target="https://www.london.anglican.org/directory/st-luke-west-holloway/" TargetMode="External"/><Relationship Id="rId68" Type="http://schemas.openxmlformats.org/officeDocument/2006/relationships/hyperlink" Target="https://www.london.anglican.org/directory/mile-end-hospital-barts-health-nhs-trust/" TargetMode="External"/><Relationship Id="rId89" Type="http://schemas.openxmlformats.org/officeDocument/2006/relationships/hyperlink" Target="https://http/www.hackneymarshteam.org.uk" TargetMode="External"/><Relationship Id="rId112" Type="http://schemas.openxmlformats.org/officeDocument/2006/relationships/hyperlink" Target="http://www.allsaintsislington.org/" TargetMode="External"/><Relationship Id="rId133" Type="http://schemas.openxmlformats.org/officeDocument/2006/relationships/hyperlink" Target="https://www.saint-silas.org.uk/" TargetMode="External"/><Relationship Id="rId154" Type="http://schemas.openxmlformats.org/officeDocument/2006/relationships/hyperlink" Target="http://stnicholaspoplar.org/" TargetMode="External"/><Relationship Id="rId175" Type="http://schemas.openxmlformats.org/officeDocument/2006/relationships/hyperlink" Target="https://en.wikipedia.org/wiki/Dalston" TargetMode="External"/><Relationship Id="rId340" Type="http://schemas.openxmlformats.org/officeDocument/2006/relationships/hyperlink" Target="https://www.crockford.org.uk/places/13070/the-benefice-of-clapton,-upper-(st-matthew)" TargetMode="External"/><Relationship Id="rId361" Type="http://schemas.openxmlformats.org/officeDocument/2006/relationships/hyperlink" Target="https://www.crockford.org.uk/places/12728/the-benefice-of-hornsey-rise-(st-mary)" TargetMode="External"/><Relationship Id="rId196" Type="http://schemas.openxmlformats.org/officeDocument/2006/relationships/hyperlink" Target="https://en.wikipedia.org/wiki/Islington" TargetMode="External"/><Relationship Id="rId200" Type="http://schemas.openxmlformats.org/officeDocument/2006/relationships/hyperlink" Target="https://en.wikipedia.org/wiki/Finsbury_Park_(area)" TargetMode="External"/><Relationship Id="rId382"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john-of-jerusalem-south-hackney/" TargetMode="External"/><Relationship Id="rId221" Type="http://schemas.openxmlformats.org/officeDocument/2006/relationships/hyperlink" Target="https://en.wikipedia.org/wiki/St_John_the_Baptist,_Hoxton" TargetMode="External"/><Relationship Id="rId242" Type="http://schemas.openxmlformats.org/officeDocument/2006/relationships/hyperlink" Target="https://en.wikipedia.org/wiki/St_Peter%27s,_Bethnal_Green" TargetMode="External"/><Relationship Id="rId263" Type="http://schemas.openxmlformats.org/officeDocument/2006/relationships/hyperlink" Target="https://www.london.anglican.org/directory/david-lambert/" TargetMode="External"/><Relationship Id="rId284" Type="http://schemas.openxmlformats.org/officeDocument/2006/relationships/hyperlink" Target="https://www.london.anglican.org/directory/john-mackenzie/" TargetMode="External"/><Relationship Id="rId319" Type="http://schemas.openxmlformats.org/officeDocument/2006/relationships/hyperlink" Target="https://www.london.anglican.org/directory/phil-williams/" TargetMode="External"/><Relationship Id="rId37" Type="http://schemas.openxmlformats.org/officeDocument/2006/relationships/hyperlink" Target="https://www.london.anglican.org/directory/st-andrew-thornhill-square-the-barnsbury-team/" TargetMode="External"/><Relationship Id="rId58" Type="http://schemas.openxmlformats.org/officeDocument/2006/relationships/hyperlink" Target="https://www.london.anglican.org/directory/the-charterhouse/" TargetMode="External"/><Relationship Id="rId79" Type="http://schemas.openxmlformats.org/officeDocument/2006/relationships/hyperlink" Target="https://www.london.anglican.org/directory/st-mary-and-holy-trinity-bow/" TargetMode="External"/><Relationship Id="rId102" Type="http://schemas.openxmlformats.org/officeDocument/2006/relationships/hyperlink" Target="http://www.stmarkdalston.org.uk/" TargetMode="External"/><Relationship Id="rId123" Type="http://schemas.openxmlformats.org/officeDocument/2006/relationships/hyperlink" Target="http://inspiresaintjames.org/" TargetMode="External"/><Relationship Id="rId144" Type="http://schemas.openxmlformats.org/officeDocument/2006/relationships/hyperlink" Target="http://www.stanneslimehouse.org/" TargetMode="External"/><Relationship Id="rId330" Type="http://schemas.openxmlformats.org/officeDocument/2006/relationships/hyperlink" Target="https://www.crockford.org.uk/places/13018/the-benefice-of-stamford-hill-(st-bartholomew)" TargetMode="External"/><Relationship Id="rId90" Type="http://schemas.openxmlformats.org/officeDocument/2006/relationships/hyperlink" Target="http://www.hackneymarshteam.org.uk/" TargetMode="External"/><Relationship Id="rId165" Type="http://schemas.openxmlformats.org/officeDocument/2006/relationships/hyperlink" Target="https://en.wikipedia.org/wiki/Dalston" TargetMode="External"/><Relationship Id="rId186" Type="http://schemas.openxmlformats.org/officeDocument/2006/relationships/hyperlink" Target="https://en.wikipedia.org/wiki/Tollington_(ward)" TargetMode="External"/><Relationship Id="rId351" Type="http://schemas.openxmlformats.org/officeDocument/2006/relationships/hyperlink" Target="https://www.crockford.org.uk/places/13123/the-benefice-of-whitehall-park-(st-andrew)" TargetMode="External"/><Relationship Id="rId372" Type="http://schemas.openxmlformats.org/officeDocument/2006/relationships/hyperlink" Target="https://www.crockford.org.uk/places/12472/the-benefice-of-bethnal-green-(st-barnabas)" TargetMode="External"/><Relationship Id="rId211" Type="http://schemas.openxmlformats.org/officeDocument/2006/relationships/hyperlink" Target="https://en.wikipedia.org/wiki/Bow,_London" TargetMode="External"/><Relationship Id="rId232" Type="http://schemas.openxmlformats.org/officeDocument/2006/relationships/hyperlink" Target="https://en.wikipedia.org/wiki/St_Anne%27s,_Limehouse" TargetMode="External"/><Relationship Id="rId253" Type="http://schemas.openxmlformats.org/officeDocument/2006/relationships/hyperlink" Target="https://www.london.anglican.org/directory/james-westcott/" TargetMode="External"/><Relationship Id="rId274" Type="http://schemas.openxmlformats.org/officeDocument/2006/relationships/hyperlink" Target="https://www.london.anglican.org/directory/sarah-wall-2/" TargetMode="External"/><Relationship Id="rId295" Type="http://schemas.openxmlformats.org/officeDocument/2006/relationships/hyperlink" Target="https://www.london.anglican.org/directory/mark-fletcher/" TargetMode="External"/><Relationship Id="rId309" Type="http://schemas.openxmlformats.org/officeDocument/2006/relationships/hyperlink" Target="https://www.london.anglican.org/directory/chris-newman-day/" TargetMode="External"/><Relationship Id="rId27" Type="http://schemas.openxmlformats.org/officeDocument/2006/relationships/hyperlink" Target="https://www.london.anglican.org/directory/st-olave-woodberry-down/" TargetMode="External"/><Relationship Id="rId48" Type="http://schemas.openxmlformats.org/officeDocument/2006/relationships/hyperlink" Target="https://www.london.anglican.org/directory/st-mark-clerkenwell/" TargetMode="External"/><Relationship Id="rId69" Type="http://schemas.openxmlformats.org/officeDocument/2006/relationships/hyperlink" Target="https://www.london.anglican.org/directory/poplar-team-ministry/" TargetMode="External"/><Relationship Id="rId113" Type="http://schemas.openxmlformats.org/officeDocument/2006/relationships/hyperlink" Target="http://www.christchurchhighbury.com/" TargetMode="External"/><Relationship Id="rId134" Type="http://schemas.openxmlformats.org/officeDocument/2006/relationships/hyperlink" Target="http://www.ststephenscanonbury.org.uk/" TargetMode="External"/><Relationship Id="rId320" Type="http://schemas.openxmlformats.org/officeDocument/2006/relationships/hyperlink" Target="https://www.london.anglican.org/directory/heather-atkinson/" TargetMode="External"/><Relationship Id="rId80" Type="http://schemas.openxmlformats.org/officeDocument/2006/relationships/hyperlink" Target="https://www.london.anglican.org/directory/st-mary-cable-street/" TargetMode="External"/><Relationship Id="rId155" Type="http://schemas.openxmlformats.org/officeDocument/2006/relationships/hyperlink" Target="http://www.stpauloldford.com/" TargetMode="External"/><Relationship Id="rId176" Type="http://schemas.openxmlformats.org/officeDocument/2006/relationships/hyperlink" Target="https://en.wikipedia.org/wiki/Hackney_Wick" TargetMode="External"/><Relationship Id="rId197" Type="http://schemas.openxmlformats.org/officeDocument/2006/relationships/hyperlink" Target="https://en.wikipedia.org/wiki/Tollington_(ward)" TargetMode="External"/><Relationship Id="rId341" Type="http://schemas.openxmlformats.org/officeDocument/2006/relationships/hyperlink" Target="https://www.crockford.org.uk/places/13029/the-benefice-of-stoke-newington-st-faith-(st-matthias)-and-all-saints" TargetMode="External"/><Relationship Id="rId362" Type="http://schemas.openxmlformats.org/officeDocument/2006/relationships/hyperlink" Target="https://www.crockford.org.uk/places/12755/the-benefice-of-islington-(st-mary)" TargetMode="External"/><Relationship Id="rId383" Type="http://schemas.openxmlformats.org/officeDocument/2006/relationships/hyperlink" Target="https://www.crockford.org.uk/places/12969/the-benefice-of-shadwell-(st-paul)-with-ratcliffe-st-james" TargetMode="External"/><Relationship Id="rId201" Type="http://schemas.openxmlformats.org/officeDocument/2006/relationships/hyperlink" Target="https://en.wikipedia.org/wiki/Clerkenwell" TargetMode="External"/><Relationship Id="rId222" Type="http://schemas.openxmlformats.org/officeDocument/2006/relationships/hyperlink" Target="https://en.wikipedia.org/wiki/St_Leonard%27s,_Shoreditch" TargetMode="External"/><Relationship Id="rId243" Type="http://schemas.openxmlformats.org/officeDocument/2006/relationships/hyperlink" Target="https://en.wikipedia.org/wiki/St_Peter%27s,_London_Docks" TargetMode="External"/><Relationship Id="rId264" Type="http://schemas.openxmlformats.org/officeDocument/2006/relationships/hyperlink" Target="https://www.london.anglican.org/directory/daniel-gerrans/" TargetMode="External"/><Relationship Id="rId285" Type="http://schemas.openxmlformats.org/officeDocument/2006/relationships/hyperlink" Target="https://www.london.anglican.org/directory/christopher-trundle/" TargetMode="External"/><Relationship Id="rId17" Type="http://schemas.openxmlformats.org/officeDocument/2006/relationships/hyperlink" Target="https://www.london.anglican.org/directory/st-john-the-baptist-hoxton/" TargetMode="External"/><Relationship Id="rId38" Type="http://schemas.openxmlformats.org/officeDocument/2006/relationships/hyperlink" Target="https://www.london.anglican.org/directory/st-andrew-whitehall-park/" TargetMode="External"/><Relationship Id="rId59" Type="http://schemas.openxmlformats.org/officeDocument/2006/relationships/hyperlink" Target="https://www.london.anglican.org/directory/the-church-on-the-corner-the-barnsbury-team/" TargetMode="External"/><Relationship Id="rId103" Type="http://schemas.openxmlformats.org/officeDocument/2006/relationships/hyperlink" Target="http://www.stmaryofeton.org.uk/" TargetMode="External"/><Relationship Id="rId124" Type="http://schemas.openxmlformats.org/officeDocument/2006/relationships/hyperlink" Target="https://www.stjamesislington.org/" TargetMode="External"/><Relationship Id="rId310" Type="http://schemas.openxmlformats.org/officeDocument/2006/relationships/hyperlink" Target="https://www.london.anglican.org/directory/alan-green/" TargetMode="External"/><Relationship Id="rId70" Type="http://schemas.openxmlformats.org/officeDocument/2006/relationships/hyperlink" Target="https://www.london.anglican.org/directory/st-anne-w-st-peter-limehouse/" TargetMode="External"/><Relationship Id="rId91" Type="http://schemas.openxmlformats.org/officeDocument/2006/relationships/hyperlink" Target="https://www.gracechurchhackney.org.uk/" TargetMode="External"/><Relationship Id="rId145" Type="http://schemas.openxmlformats.org/officeDocument/2006/relationships/hyperlink" Target="http://www.stbarnabasbethnalgreen.org/" TargetMode="External"/><Relationship Id="rId166" Type="http://schemas.openxmlformats.org/officeDocument/2006/relationships/hyperlink" Target="https://en.wikipedia.org/wiki/Hoxton" TargetMode="External"/><Relationship Id="rId187" Type="http://schemas.openxmlformats.org/officeDocument/2006/relationships/hyperlink" Target="https://en.wikipedia.org/wiki/Clerkenwell" TargetMode="External"/><Relationship Id="rId331" Type="http://schemas.openxmlformats.org/officeDocument/2006/relationships/hyperlink" Target="https://www.crockford.org.uk/places/12633/the-benefice-of-haggerston-(st-chad)" TargetMode="External"/><Relationship Id="rId352" Type="http://schemas.openxmlformats.org/officeDocument/2006/relationships/hyperlink" Target="https://www.crockford.org.uk/places/12698/the-benefice-of-highbury-new-park-(st-augustine)" TargetMode="External"/><Relationship Id="rId373"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s://en.wikipedia.org/wiki/St_George_in_the_East_(parish)" TargetMode="External"/><Relationship Id="rId233" Type="http://schemas.openxmlformats.org/officeDocument/2006/relationships/hyperlink" Target="https://en.wikipedia.org/wiki/St_Barnabas%27s,_Bethnal_Green" TargetMode="External"/><Relationship Id="rId254" Type="http://schemas.openxmlformats.org/officeDocument/2006/relationships/hyperlink" Target="https://www.london.anglican.org/directory/rosemia-brown/" TargetMode="External"/><Relationship Id="rId28" Type="http://schemas.openxmlformats.org/officeDocument/2006/relationships/hyperlink" Target="https://www.london.anglican.org/directory/st-paul-west-hackney/" TargetMode="External"/><Relationship Id="rId49" Type="http://schemas.openxmlformats.org/officeDocument/2006/relationships/hyperlink" Target="https://www.london.anglican.org/directory/the-parish-of-tollington-st-mark-emmanuel-st-saviour/" TargetMode="External"/><Relationship Id="rId114" Type="http://schemas.openxmlformats.org/officeDocument/2006/relationships/hyperlink" Target="http://www.hopechurchislington.org/" TargetMode="External"/><Relationship Id="rId275" Type="http://schemas.openxmlformats.org/officeDocument/2006/relationships/hyperlink" Target="https://www.london.anglican.org/directory/steve-clarke/" TargetMode="External"/><Relationship Id="rId296" Type="http://schemas.openxmlformats.org/officeDocument/2006/relationships/hyperlink" Target="https://www.london.anglican.org/directory/the-dean/" TargetMode="External"/><Relationship Id="rId300" Type="http://schemas.openxmlformats.org/officeDocument/2006/relationships/hyperlink" Target="https://www.london.anglican.org/directory/tom-pyke/" TargetMode="External"/><Relationship Id="rId60" Type="http://schemas.openxmlformats.org/officeDocument/2006/relationships/hyperlink" Target="https://www.london.anglican.org/directory/the-priory-church-of-st-john/" TargetMode="External"/><Relationship Id="rId81" Type="http://schemas.openxmlformats.org/officeDocument/2006/relationships/hyperlink" Target="https://www.london.anglican.org/directory/st-matthew-bethnal-green/" TargetMode="External"/><Relationship Id="rId135" Type="http://schemas.openxmlformats.org/officeDocument/2006/relationships/hyperlink" Target="https://www.stthomaschurch.co.uk/" TargetMode="External"/><Relationship Id="rId156" Type="http://schemas.openxmlformats.org/officeDocument/2006/relationships/hyperlink" Target="http://www.stpaulsbowcommon.org.uk/" TargetMode="External"/><Relationship Id="rId177" Type="http://schemas.openxmlformats.org/officeDocument/2006/relationships/hyperlink" Target="https://en.wikipedia.org/wiki/Stoke_Newington" TargetMode="External"/><Relationship Id="rId198" Type="http://schemas.openxmlformats.org/officeDocument/2006/relationships/hyperlink" Target="https://en.wikipedia.org/wiki/Pentonville" TargetMode="External"/><Relationship Id="rId321" Type="http://schemas.openxmlformats.org/officeDocument/2006/relationships/hyperlink" Target="https://www.london.anglican.org/directory/jonathan-beswick/" TargetMode="External"/><Relationship Id="rId342" Type="http://schemas.openxmlformats.org/officeDocument/2006/relationships/hyperlink" Target="https://www.crockford.org.uk/places/12984/the-benefice-of-hackney,-south-(st-michael-and-all-angels)-london-fields-with-haggerston-st-paul" TargetMode="External"/><Relationship Id="rId363" Type="http://schemas.openxmlformats.org/officeDocument/2006/relationships/hyperlink" Target="https://www.crockford.org.uk/places/13044/the-benefice-of-tollington-(st-mark)" TargetMode="External"/><Relationship Id="rId384" Type="http://schemas.openxmlformats.org/officeDocument/2006/relationships/hyperlink" Target="https://www.crockford.org.uk/places/12482/the-benefice-of-bethnal-green-(st-peter)-(st-thomas)" TargetMode="External"/><Relationship Id="rId202" Type="http://schemas.openxmlformats.org/officeDocument/2006/relationships/hyperlink" Target="https://en.wikipedia.org/wiki/Bromley-by-Bow" TargetMode="External"/><Relationship Id="rId223" Type="http://schemas.openxmlformats.org/officeDocument/2006/relationships/hyperlink" Target="https://en.wikipedia.org/wiki/St_Matthias%27_Church,_Stoke_Newington" TargetMode="External"/><Relationship Id="rId244" Type="http://schemas.openxmlformats.org/officeDocument/2006/relationships/hyperlink" Target="https://www.london.anglican.org/directory/roy-tokunbo-olowu/" TargetMode="External"/><Relationship Id="rId18" Type="http://schemas.openxmlformats.org/officeDocument/2006/relationships/hyperlink" Target="https://www.london.anglican.org/directory/st-john-the-evangelist-brownswood-park/" TargetMode="External"/><Relationship Id="rId39" Type="http://schemas.openxmlformats.org/officeDocument/2006/relationships/hyperlink" Target="https://www.london.anglican.org/directory/st-andrews-barnsbury-cofe-primary-school/" TargetMode="External"/><Relationship Id="rId265" Type="http://schemas.openxmlformats.org/officeDocument/2006/relationships/hyperlink" Target="https://www.london.anglican.org/directory/steve-gayle/" TargetMode="External"/><Relationship Id="rId286" Type="http://schemas.openxmlformats.org/officeDocument/2006/relationships/hyperlink" Target="https://www.london.anglican.org/directory/trevor-golding/" TargetMode="External"/><Relationship Id="rId50" Type="http://schemas.openxmlformats.org/officeDocument/2006/relationships/hyperlink" Target="https://www.london.anglican.org/directory/st-mary-hornsey-rise/" TargetMode="External"/><Relationship Id="rId104" Type="http://schemas.openxmlformats.org/officeDocument/2006/relationships/hyperlink" Target="https://www.stmaryn16.org/" TargetMode="External"/><Relationship Id="rId125" Type="http://schemas.openxmlformats.org/officeDocument/2006/relationships/hyperlink" Target="http://www.stjohnsupperholloway.church/" TargetMode="External"/><Relationship Id="rId146" Type="http://schemas.openxmlformats.org/officeDocument/2006/relationships/hyperlink" Target="http://www.stdunstanstepney.com/" TargetMode="External"/><Relationship Id="rId167" Type="http://schemas.openxmlformats.org/officeDocument/2006/relationships/hyperlink" Target="https://en.wikipedia.org/wiki/Stoke_Newington" TargetMode="External"/><Relationship Id="rId188" Type="http://schemas.openxmlformats.org/officeDocument/2006/relationships/hyperlink" Target="https://en.wikipedia.org/wiki/Highbury_New_Park" TargetMode="External"/><Relationship Id="rId311" Type="http://schemas.openxmlformats.org/officeDocument/2006/relationships/hyperlink" Target="https://www.london.anglican.org/directory/ed-dix/" TargetMode="External"/><Relationship Id="rId332" Type="http://schemas.openxmlformats.org/officeDocument/2006/relationships/hyperlink" Target="https://www.crockford.org.uk/places/12523/the-benefice-of-clapton-(st-james)" TargetMode="External"/><Relationship Id="rId353" Type="http://schemas.openxmlformats.org/officeDocument/2006/relationships/hyperlink" Target="https://www.crockford.org.uk/places/12592/the-benefice-of-finsbury-(st-clement)-(st-barnabas)-(st-matthew)" TargetMode="External"/><Relationship Id="rId374" Type="http://schemas.openxmlformats.org/officeDocument/2006/relationships/hyperlink" Target="https://www.crockford.org.uk/places/12946/the-benefice-of-st-george-in-the-east-with-st-paul" TargetMode="External"/><Relationship Id="rId71" Type="http://schemas.openxmlformats.org/officeDocument/2006/relationships/hyperlink" Target="https://www.london.anglican.org/directory/st-anne-limehouse/" TargetMode="External"/><Relationship Id="rId92" Type="http://schemas.openxmlformats.org/officeDocument/2006/relationships/hyperlink" Target="https://hackney.church/" TargetMode="External"/><Relationship Id="rId213" Type="http://schemas.openxmlformats.org/officeDocument/2006/relationships/hyperlink" Target="https://en.wikipedia.org/wiki/Bethnal_Green" TargetMode="External"/><Relationship Id="rId234" Type="http://schemas.openxmlformats.org/officeDocument/2006/relationships/hyperlink" Target="https://en.wikipedia.org/wiki/St_George_in_the_East,_Stepney"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peter-de-beauvoir-town/" TargetMode="External"/><Relationship Id="rId255" Type="http://schemas.openxmlformats.org/officeDocument/2006/relationships/hyperlink" Target="https://www.london.anglican.org/directory/andrew-wilson/" TargetMode="External"/><Relationship Id="rId276" Type="http://schemas.openxmlformats.org/officeDocument/2006/relationships/hyperlink" Target="https://www.london.anglican.org/directory/felicity-djerehe/" TargetMode="External"/><Relationship Id="rId297" Type="http://schemas.openxmlformats.org/officeDocument/2006/relationships/hyperlink" Target="https://www.london.anglican.org/directory/jeremy-hobson/" TargetMode="External"/><Relationship Id="rId40" Type="http://schemas.openxmlformats.org/officeDocument/2006/relationships/hyperlink" Target="https://www.london.anglican.org/directory/st-augustine-highbury-new-park/" TargetMode="External"/><Relationship Id="rId115" Type="http://schemas.openxmlformats.org/officeDocument/2006/relationships/hyperlink" Target="https://nagsheadcc.com/" TargetMode="External"/><Relationship Id="rId136" Type="http://schemas.openxmlformats.org/officeDocument/2006/relationships/hyperlink" Target="http://www.thecharterhouse.org/" TargetMode="External"/><Relationship Id="rId157" Type="http://schemas.openxmlformats.org/officeDocument/2006/relationships/hyperlink" Target="http://sps.church/" TargetMode="External"/><Relationship Id="rId178" Type="http://schemas.openxmlformats.org/officeDocument/2006/relationships/hyperlink" Target="https://en.wikipedia.org/wiki/Upper_Clapton" TargetMode="External"/><Relationship Id="rId301" Type="http://schemas.openxmlformats.org/officeDocument/2006/relationships/hyperlink" Target="https://www.london.anglican.org/directory/tom-pyke/" TargetMode="External"/><Relationship Id="rId322" Type="http://schemas.openxmlformats.org/officeDocument/2006/relationships/hyperlink" Target="https://www.london.anglican.org/directory/marcus-nodder/" TargetMode="External"/><Relationship Id="rId343" Type="http://schemas.openxmlformats.org/officeDocument/2006/relationships/hyperlink" Target="https://www.crockford.org.uk/places/13032/the-benefice-of-stoke-newington-common-(st-michael-and-all-angels)" TargetMode="External"/><Relationship Id="rId364" Type="http://schemas.openxmlformats.org/officeDocument/2006/relationships/hyperlink" Target="https://www.crockford.org.uk/places/12911/the-benefice-of-pentonville-(st-silas-with-all-saints)-(st-james)" TargetMode="External"/><Relationship Id="rId61" Type="http://schemas.openxmlformats.org/officeDocument/2006/relationships/hyperlink" Target="https://www.london.anglican.org/directory/trinity-church-islington/" TargetMode="External"/><Relationship Id="rId82" Type="http://schemas.openxmlformats.org/officeDocument/2006/relationships/hyperlink" Target="https://www.london.anglican.org/directory/st-nicholas-aberfeldy-poplar-team-ministry/" TargetMode="External"/><Relationship Id="rId199" Type="http://schemas.openxmlformats.org/officeDocument/2006/relationships/hyperlink" Target="https://en.wikipedia.org/wiki/Canonbury" TargetMode="External"/><Relationship Id="rId203" Type="http://schemas.openxmlformats.org/officeDocument/2006/relationships/hyperlink" Target="https://en.wikipedia.org/wiki/Isle_of_Dogs" TargetMode="External"/><Relationship Id="rId385"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leonard-shoreditch/" TargetMode="External"/><Relationship Id="rId224" Type="http://schemas.openxmlformats.org/officeDocument/2006/relationships/hyperlink" Target="https://en.wikipedia.org/wiki/Christ_Church_Highbury" TargetMode="External"/><Relationship Id="rId245" Type="http://schemas.openxmlformats.org/officeDocument/2006/relationships/hyperlink" Target="https://www.london.anglican.org/directory/andrew-jones/" TargetMode="External"/><Relationship Id="rId266" Type="http://schemas.openxmlformats.org/officeDocument/2006/relationships/hyperlink" Target="https://www.london.anglican.org/directory/tunde-roberts/" TargetMode="External"/><Relationship Id="rId287" Type="http://schemas.openxmlformats.org/officeDocument/2006/relationships/hyperlink" Target="https://www.london.anglican.org/directory/tamsin-merchant/" TargetMode="External"/><Relationship Id="rId30" Type="http://schemas.openxmlformats.org/officeDocument/2006/relationships/hyperlink" Target="https://www.london.anglican.org/directory/st-thomas-clapton-common/" TargetMode="External"/><Relationship Id="rId105" Type="http://schemas.openxmlformats.org/officeDocument/2006/relationships/hyperlink" Target="https://stmatthewse5.wordpress.com/" TargetMode="External"/><Relationship Id="rId126" Type="http://schemas.openxmlformats.org/officeDocument/2006/relationships/hyperlink" Target="http://www.sjsp.org.uk/" TargetMode="External"/><Relationship Id="rId147" Type="http://schemas.openxmlformats.org/officeDocument/2006/relationships/hyperlink" Target="http://www.stgeorgeintheeast.org/" TargetMode="External"/><Relationship Id="rId168" Type="http://schemas.openxmlformats.org/officeDocument/2006/relationships/hyperlink" Target="https://en.wikipedia.org/wiki/Hoxton" TargetMode="External"/><Relationship Id="rId312" Type="http://schemas.openxmlformats.org/officeDocument/2006/relationships/hyperlink" Target="https://www.london.anglican.org/directory/brian-ralph/" TargetMode="External"/><Relationship Id="rId333" Type="http://schemas.openxmlformats.org/officeDocument/2006/relationships/hyperlink" Target="https://www.crockford.org.uk/places/12982/the-benefice-of-hackney,-south-(st-john-of-jerusalem)-with-christ-church" TargetMode="External"/><Relationship Id="rId354" Type="http://schemas.openxmlformats.org/officeDocument/2006/relationships/hyperlink" Target="https://www.crockford.org.uk/places/13058/the-benefice-of-tufnell-park-(st-george-and-all-saints)" TargetMode="External"/><Relationship Id="rId51" Type="http://schemas.openxmlformats.org/officeDocument/2006/relationships/hyperlink" Target="https://www.london.anglican.org/directory/st-mary-islington/" TargetMode="External"/><Relationship Id="rId72" Type="http://schemas.openxmlformats.org/officeDocument/2006/relationships/hyperlink" Target="https://www.london.anglican.org/directory/st-barnabas-bethnal-green/" TargetMode="External"/><Relationship Id="rId93" Type="http://schemas.openxmlformats.org/officeDocument/2006/relationships/hyperlink" Target="http://www.standrewsn16.org/" TargetMode="External"/><Relationship Id="rId189" Type="http://schemas.openxmlformats.org/officeDocument/2006/relationships/hyperlink" Target="https://en.wikipedia.org/wiki/Finsbury" TargetMode="External"/><Relationship Id="rId375"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en.wikipedia.org/wiki/Old_Ford" TargetMode="External"/><Relationship Id="rId235" Type="http://schemas.openxmlformats.org/officeDocument/2006/relationships/hyperlink" Target="https://en.wikipedia.org/wiki/St_James-the-Less,_Bethnal_Green" TargetMode="External"/><Relationship Id="rId256" Type="http://schemas.openxmlformats.org/officeDocument/2006/relationships/hyperlink" Target="https://www.london.anglican.org/directory/geoffrey-boetang/" TargetMode="External"/><Relationship Id="rId277" Type="http://schemas.openxmlformats.org/officeDocument/2006/relationships/hyperlink" Target="https://www.london.anglican.org/directory/gabriel-anstis/" TargetMode="External"/><Relationship Id="rId298" Type="http://schemas.openxmlformats.org/officeDocument/2006/relationships/hyperlink" Target="https://www.london.anglican.org/directory/cris-rogers/" TargetMode="External"/><Relationship Id="rId116" Type="http://schemas.openxmlformats.org/officeDocument/2006/relationships/hyperlink" Target="http://www.holyredeemerclerkenwell.com/" TargetMode="External"/><Relationship Id="rId137" Type="http://schemas.openxmlformats.org/officeDocument/2006/relationships/hyperlink" Target="http://www.churchonthecorner.org.uk/" TargetMode="External"/><Relationship Id="rId158" Type="http://schemas.openxmlformats.org/officeDocument/2006/relationships/hyperlink" Target="https://www.stpetersbethnalgreen.org/" TargetMode="External"/><Relationship Id="rId302" Type="http://schemas.openxmlformats.org/officeDocument/2006/relationships/hyperlink" Target="https://www.london.anglican.org/directory/andy-rider/" TargetMode="External"/><Relationship Id="rId323" Type="http://schemas.openxmlformats.org/officeDocument/2006/relationships/hyperlink" Target="https://www.crockford.org.uk/places/12738/the-benefice-of-hoxton-(st-anne)-(st-columba)" TargetMode="External"/><Relationship Id="rId344" Type="http://schemas.openxmlformats.org/officeDocument/2006/relationships/hyperlink" Target="https://www.crockford.org.uk/places/13031/the-benefice-of-stoke-newington-(st-olave)" TargetMode="External"/><Relationship Id="rId20" Type="http://schemas.openxmlformats.org/officeDocument/2006/relationships/hyperlink" Target="https://www.london.anglican.org/directory/st-mark-dalston/" TargetMode="External"/><Relationship Id="rId41" Type="http://schemas.openxmlformats.org/officeDocument/2006/relationships/hyperlink" Target="https://www.london.anglican.org/directory/st-clement-king-square/" TargetMode="External"/><Relationship Id="rId62" Type="http://schemas.openxmlformats.org/officeDocument/2006/relationships/hyperlink" Target="https://www.london.anglican.org/directory/all-hallows-bromley-by-bow/" TargetMode="External"/><Relationship Id="rId83" Type="http://schemas.openxmlformats.org/officeDocument/2006/relationships/hyperlink" Target="https://www.london.anglican.org/directory/st-paul-and-st-mark-old-ford/" TargetMode="External"/><Relationship Id="rId179" Type="http://schemas.openxmlformats.org/officeDocument/2006/relationships/hyperlink" Target="https://en.wikipedia.org/wiki/South_Hackney" TargetMode="External"/><Relationship Id="rId365" Type="http://schemas.openxmlformats.org/officeDocument/2006/relationships/hyperlink" Target="https://www.crockford.org.uk/places/12509/the-benefice-of-canonbury-(st-stephen)" TargetMode="External"/><Relationship Id="rId386" Type="http://schemas.openxmlformats.org/officeDocument/2006/relationships/hyperlink" Target="https://www.crockford.org.uk/places/12794/the-benefice-of-limehouse-(st-anne)-(st-peter)" TargetMode="External"/><Relationship Id="rId190" Type="http://schemas.openxmlformats.org/officeDocument/2006/relationships/hyperlink" Target="https://en.wikipedia.org/wiki/Tufnell_Park" TargetMode="External"/><Relationship Id="rId204" Type="http://schemas.openxmlformats.org/officeDocument/2006/relationships/hyperlink" Target="https://en.wikipedia.org/wiki/Spitalfields" TargetMode="External"/><Relationship Id="rId225" Type="http://schemas.openxmlformats.org/officeDocument/2006/relationships/hyperlink" Target="https://en.wikipedia.org/wiki/Our_Most_Holy_Redeemer" TargetMode="External"/><Relationship Id="rId246" Type="http://schemas.openxmlformats.org/officeDocument/2006/relationships/hyperlink" Target="https://www.london.anglican.org/directory/laura-fawcett/" TargetMode="External"/><Relationship Id="rId267" Type="http://schemas.openxmlformats.org/officeDocument/2006/relationships/hyperlink" Target="https://www.london.anglican.org/directory/niall-weir/" TargetMode="External"/><Relationship Id="rId288" Type="http://schemas.openxmlformats.org/officeDocument/2006/relationships/hyperlink" Target="https://www.london.anglican.org/directory/imogen-erskine/" TargetMode="External"/><Relationship Id="rId106" Type="http://schemas.openxmlformats.org/officeDocument/2006/relationships/hyperlink" Target="https://www.stmchurch.co.uk/" TargetMode="External"/><Relationship Id="rId127" Type="http://schemas.openxmlformats.org/officeDocument/2006/relationships/hyperlink" Target="http://www.saintlukeschurch.org.uk/" TargetMode="External"/><Relationship Id="rId313" Type="http://schemas.openxmlformats.org/officeDocument/2006/relationships/hyperlink" Target="https://www.london.anglican.org/directory/tim-may/" TargetMode="External"/><Relationship Id="rId10" Type="http://schemas.openxmlformats.org/officeDocument/2006/relationships/hyperlink" Target="https://www.london.anglican.org/directory/st-anne-hoxton/" TargetMode="External"/><Relationship Id="rId31" Type="http://schemas.openxmlformats.org/officeDocument/2006/relationships/hyperlink" Target="https://www.london.anglican.org/directory/all-saints-caledonian-road-the-barnsbury-team/" TargetMode="External"/><Relationship Id="rId52" Type="http://schemas.openxmlformats.org/officeDocument/2006/relationships/hyperlink" Target="https://www.london.anglican.org/directory/st-mary-magdalene-academy/" TargetMode="External"/><Relationship Id="rId73" Type="http://schemas.openxmlformats.org/officeDocument/2006/relationships/hyperlink" Target="https://www.london.anglican.org/directory/st-dunstan-all-saints-stepney/" TargetMode="External"/><Relationship Id="rId94" Type="http://schemas.openxmlformats.org/officeDocument/2006/relationships/hyperlink" Target="http://www.hoxtonchurch.org.uk/" TargetMode="External"/><Relationship Id="rId148" Type="http://schemas.openxmlformats.org/officeDocument/2006/relationships/hyperlink" Target="http://stjamesthelessbg.org.uk/" TargetMode="External"/><Relationship Id="rId169" Type="http://schemas.openxmlformats.org/officeDocument/2006/relationships/hyperlink" Target="https://en.wikipedia.org/wiki/Stamford_Hill" TargetMode="External"/><Relationship Id="rId334" Type="http://schemas.openxmlformats.org/officeDocument/2006/relationships/hyperlink" Target="https://www.crockford.org.uk/places/12741/the-benefice-of-hoxton-(st-john-the-baptist)-with-ch-ch" TargetMode="External"/><Relationship Id="rId355" Type="http://schemas.openxmlformats.org/officeDocument/2006/relationships/hyperlink" Target="https://www.crockford.org.uk/places/12532/the-benefice-of-clerkenwell-(st-mark)" TargetMode="External"/><Relationship Id="rId376"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s://en.wikipedia.org/wiki/Stoke_Newington_Common" TargetMode="External"/><Relationship Id="rId215" Type="http://schemas.openxmlformats.org/officeDocument/2006/relationships/hyperlink" Target="https://en.wikipedia.org/wiki/Bow_Common" TargetMode="External"/><Relationship Id="rId236" Type="http://schemas.openxmlformats.org/officeDocument/2006/relationships/hyperlink" Target="https://en.wikipedia.org/wiki/St_John_on_Bethnal_Green" TargetMode="External"/><Relationship Id="rId257" Type="http://schemas.openxmlformats.org/officeDocument/2006/relationships/hyperlink" Target="https://www.london.anglican.org/directory/alice-whalley/" TargetMode="External"/><Relationship Id="rId278" Type="http://schemas.openxmlformats.org/officeDocument/2006/relationships/hyperlink" Target="https://www.london.anglican.org/directory/david-allen/" TargetMode="External"/><Relationship Id="rId303" Type="http://schemas.openxmlformats.org/officeDocument/2006/relationships/hyperlink" Target="https://www.london.anglican.org/directory/tom-pyke/"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17" Type="http://schemas.openxmlformats.org/officeDocument/2006/relationships/hyperlink" Target="https://www.london.anglican.org/directory/st-paul-and-st-mark-old-ford/" TargetMode="External"/><Relationship Id="rId299" Type="http://schemas.openxmlformats.org/officeDocument/2006/relationships/hyperlink" Target="=IFERROR(VLOOKUP($C66,%20DataFromWikipedia!A:T,%2017,%20FALSE),%20%22%22)" TargetMode="External"/><Relationship Id="rId21" Type="http://schemas.openxmlformats.org/officeDocument/2006/relationships/hyperlink" Target="https://www.london.anglican.org/directory/st-john-of-jerusalem-south-hackney/" TargetMode="External"/><Relationship Id="rId63" Type="http://schemas.openxmlformats.org/officeDocument/2006/relationships/hyperlink" Target="https://www.london.anglican.org/directory/st-johns-cofe-primary-school/" TargetMode="External"/><Relationship Id="rId159" Type="http://schemas.openxmlformats.org/officeDocument/2006/relationships/hyperlink" Target="http://stpaulswesthackney.org/" TargetMode="External"/><Relationship Id="rId324" Type="http://schemas.openxmlformats.org/officeDocument/2006/relationships/hyperlink" Target="=IFERROR(VLOOKUP($C92,%20DataFromWikipedia!A:T,%2017,%20FALSE),%20%22%22)" TargetMode="External"/><Relationship Id="rId366" Type="http://schemas.openxmlformats.org/officeDocument/2006/relationships/hyperlink" Target="https://en.wikipedia.org/wiki/Hoxton" TargetMode="External"/><Relationship Id="rId531" Type="http://schemas.openxmlformats.org/officeDocument/2006/relationships/hyperlink" Target="https://www.london.anglican.org/directory/andy-rider/" TargetMode="External"/><Relationship Id="rId573" Type="http://schemas.openxmlformats.org/officeDocument/2006/relationships/hyperlink" Target="https://www.crockford.org.uk/places/12633/the-benefice-of-haggerston-(st-chad)" TargetMode="External"/><Relationship Id="rId629" Type="http://schemas.openxmlformats.org/officeDocument/2006/relationships/hyperlink" Target="https://barnsburyparish.com/" TargetMode="External"/><Relationship Id="rId170" Type="http://schemas.openxmlformats.org/officeDocument/2006/relationships/hyperlink" Target="https://nagsheadcc.com/" TargetMode="External"/><Relationship Id="rId226" Type="http://schemas.openxmlformats.org/officeDocument/2006/relationships/hyperlink" Target="http://sps.church/" TargetMode="External"/><Relationship Id="rId433" Type="http://schemas.openxmlformats.org/officeDocument/2006/relationships/hyperlink" Target="https://en.wikipedia.org/wiki/St_Mark%27s_Church,_Myddelton_Square" TargetMode="External"/><Relationship Id="rId268" Type="http://schemas.openxmlformats.org/officeDocument/2006/relationships/hyperlink" Target="=IFERROR(VLOOKUP($C34,%20DataFromWikipedia!A:T,%2017,%20FALSE),%20%22%22)" TargetMode="External"/><Relationship Id="rId475" Type="http://schemas.openxmlformats.org/officeDocument/2006/relationships/hyperlink" Target="https://www.london.anglican.org/directory/tola-badejo/" TargetMode="External"/><Relationship Id="rId32" Type="http://schemas.openxmlformats.org/officeDocument/2006/relationships/hyperlink" Target="https://www.london.anglican.org/directory/st-matthias-cofe-primary-school/" TargetMode="External"/><Relationship Id="rId74" Type="http://schemas.openxmlformats.org/officeDocument/2006/relationships/hyperlink" Target="https://www.london.anglican.org/directory/st-mary-magdalene-academy/" TargetMode="External"/><Relationship Id="rId128" Type="http://schemas.openxmlformats.org/officeDocument/2006/relationships/hyperlink" Target="https://www.london.anglican.org/directory/the-royal-foundation-of-st-katharine/" TargetMode="External"/><Relationship Id="rId335" Type="http://schemas.openxmlformats.org/officeDocument/2006/relationships/hyperlink" Target="=IFERROR(VLOOKUP($C103,%20DataFromWikipedia!A:T,%2017,%20FALSE),%20%22%22)" TargetMode="External"/><Relationship Id="rId377" Type="http://schemas.openxmlformats.org/officeDocument/2006/relationships/hyperlink" Target="https://en.wikipedia.org/wiki/Shoreditch" TargetMode="External"/><Relationship Id="rId500" Type="http://schemas.openxmlformats.org/officeDocument/2006/relationships/hyperlink" Target="https://www.london.anglican.org/directory/john-burniston/" TargetMode="External"/><Relationship Id="rId542" Type="http://schemas.openxmlformats.org/officeDocument/2006/relationships/hyperlink" Target="https://www.london.anglican.org/directory/alan-green/" TargetMode="External"/><Relationship Id="rId584" Type="http://schemas.openxmlformats.org/officeDocument/2006/relationships/hyperlink" Target="https://www.crockford.org.uk/places/12984/the-benefice-of-hackney,-south-(st-michael-and-all-angels)-london-fields-with-haggerston-st-paul" TargetMode="External"/><Relationship Id="rId5" Type="http://schemas.openxmlformats.org/officeDocument/2006/relationships/hyperlink" Target="https://www.london.anglican.org/directory/grace-church-hackney/" TargetMode="External"/><Relationship Id="rId181" Type="http://schemas.openxmlformats.org/officeDocument/2006/relationships/hyperlink" Target="http://www.st-johns.towerhamlets.sch.uk/" TargetMode="External"/><Relationship Id="rId237" Type="http://schemas.openxmlformats.org/officeDocument/2006/relationships/hyperlink" Target="=IFERROR(VLOOKUP($C3,%20DataFromWikipedia!A:T,%2017,%20FALSE),%20%22%22)" TargetMode="External"/><Relationship Id="rId402" Type="http://schemas.openxmlformats.org/officeDocument/2006/relationships/hyperlink" Target="https://en.wikipedia.org/wiki/Canonbury" TargetMode="External"/><Relationship Id="rId279" Type="http://schemas.openxmlformats.org/officeDocument/2006/relationships/hyperlink" Target="=IFERROR(VLOOKUP($C46,%20DataFromWikipedia!A:T,%2017,%20FALSE),%20%22%22)" TargetMode="External"/><Relationship Id="rId444" Type="http://schemas.openxmlformats.org/officeDocument/2006/relationships/hyperlink" Target="https://en.wikipedia.org/wiki/St_Matthew%27s,_Bethnal_Green" TargetMode="External"/><Relationship Id="rId486" Type="http://schemas.openxmlformats.org/officeDocument/2006/relationships/hyperlink" Target="https://www.london.anglican.org/directory/martin-lawford/" TargetMode="External"/><Relationship Id="rId43" Type="http://schemas.openxmlformats.org/officeDocument/2006/relationships/hyperlink" Target="https://www.london.anglican.org/directory/christ-church-highbury/" TargetMode="External"/><Relationship Id="rId139" Type="http://schemas.openxmlformats.org/officeDocument/2006/relationships/hyperlink" Target="https://saintbarnabasdalston.org.uk/" TargetMode="External"/><Relationship Id="rId290" Type="http://schemas.openxmlformats.org/officeDocument/2006/relationships/hyperlink" Target="=IFERROR(VLOOKUP($C57,%20DataFromWikipedia!A:T,%2017,%20FALSE),%20%22%22)" TargetMode="External"/><Relationship Id="rId304" Type="http://schemas.openxmlformats.org/officeDocument/2006/relationships/hyperlink" Target="=IFERROR(VLOOKUP($C71,%20DataFromWikipedia!A:T,%2017,%20FALSE),%20%22%22)" TargetMode="External"/><Relationship Id="rId346" Type="http://schemas.openxmlformats.org/officeDocument/2006/relationships/hyperlink" Target="=IFERROR(VLOOKUP($C114,%20DataFromWikipedia!A:T,%2017,%20FALSE),%20%22%22)" TargetMode="External"/><Relationship Id="rId388" Type="http://schemas.openxmlformats.org/officeDocument/2006/relationships/hyperlink" Target="https://en.wikipedia.org/wiki/Highbury" TargetMode="External"/><Relationship Id="rId511" Type="http://schemas.openxmlformats.org/officeDocument/2006/relationships/hyperlink" Target="https://www.london.anglican.org/directory/tamsin-merchant/" TargetMode="External"/><Relationship Id="rId553" Type="http://schemas.openxmlformats.org/officeDocument/2006/relationships/hyperlink" Target="https://www.london.anglican.org/directory/bernadette-hegarty/" TargetMode="External"/><Relationship Id="rId609" Type="http://schemas.openxmlformats.org/officeDocument/2006/relationships/hyperlink" Target="https://www.crockford.org.uk/places/12532/the-benefice-of-clerkenwell-(st-mark)" TargetMode="External"/><Relationship Id="rId85" Type="http://schemas.openxmlformats.org/officeDocument/2006/relationships/hyperlink" Target="https://www.london.anglican.org/directory/trinity-church-islington/" TargetMode="External"/><Relationship Id="rId150" Type="http://schemas.openxmlformats.org/officeDocument/2006/relationships/hyperlink" Target="http://www.stmarkdalston.org.uk/" TargetMode="External"/><Relationship Id="rId192" Type="http://schemas.openxmlformats.org/officeDocument/2006/relationships/hyperlink" Target="http://www.smmacademy.org/" TargetMode="External"/><Relationship Id="rId206" Type="http://schemas.openxmlformats.org/officeDocument/2006/relationships/hyperlink" Target="http://www.ccspits.org/" TargetMode="External"/><Relationship Id="rId413" Type="http://schemas.openxmlformats.org/officeDocument/2006/relationships/hyperlink" Target="https://en.wikipedia.org/wiki/Isle_of_Dogs" TargetMode="External"/><Relationship Id="rId595" Type="http://schemas.openxmlformats.org/officeDocument/2006/relationships/hyperlink" Target="https://www.crockford.org.uk/places/12592/the-benefice-of-finsbury-(st-clement)-(st-barnabas)-(st-matthew)" TargetMode="External"/><Relationship Id="rId248" Type="http://schemas.openxmlformats.org/officeDocument/2006/relationships/hyperlink" Target="=IFERROR(VLOOKUP($C14,%20DataFromWikipedia!A:T,%2017,%20FALSE),%20%22%22)" TargetMode="External"/><Relationship Id="rId455" Type="http://schemas.openxmlformats.org/officeDocument/2006/relationships/hyperlink" Target="https://www.london.anglican.org/directory/al-gordon/" TargetMode="External"/><Relationship Id="rId497" Type="http://schemas.openxmlformats.org/officeDocument/2006/relationships/hyperlink" Target="https://www.london.anglican.org/directory/david-allen/" TargetMode="External"/><Relationship Id="rId620" Type="http://schemas.openxmlformats.org/officeDocument/2006/relationships/hyperlink" Target="https://www.crockford.org.uk/places/12488/the-benefice-of-bow-(st-mary)-and-holy-trinity-with-bromley-st-leonard" TargetMode="External"/><Relationship Id="rId12" Type="http://schemas.openxmlformats.org/officeDocument/2006/relationships/hyperlink" Target="https://www.london.anglican.org/directory/st-andrew-stoke-newington/" TargetMode="External"/><Relationship Id="rId108" Type="http://schemas.openxmlformats.org/officeDocument/2006/relationships/hyperlink" Target="https://www.london.anglican.org/directory/st-johns-cofe-primary-school/" TargetMode="External"/><Relationship Id="rId315" Type="http://schemas.openxmlformats.org/officeDocument/2006/relationships/hyperlink" Target="=IFERROR(VLOOKUP($C82,%20DataFromWikipedia!A:T,%2017,%20FALSE),%20%22%22)" TargetMode="External"/><Relationship Id="rId357" Type="http://schemas.openxmlformats.org/officeDocument/2006/relationships/hyperlink" Target="=IFERROR(VLOOKUP($C125,%20DataFromWikipedia!A:T,%2017,%20FALSE),%20%22%22)" TargetMode="External"/><Relationship Id="rId522" Type="http://schemas.openxmlformats.org/officeDocument/2006/relationships/hyperlink" Target="https://www.london.anglican.org/directory/tola-badejo/" TargetMode="External"/><Relationship Id="rId54" Type="http://schemas.openxmlformats.org/officeDocument/2006/relationships/hyperlink" Target="https://www.london.anglican.org/directory/st-andrew-thornhill-square-the-barnsbury-team/" TargetMode="External"/><Relationship Id="rId96" Type="http://schemas.openxmlformats.org/officeDocument/2006/relationships/hyperlink" Target="https://www.london.anglican.org/directory/mile-end-hospital-barts-health-nhs-trust/" TargetMode="External"/><Relationship Id="rId161" Type="http://schemas.openxmlformats.org/officeDocument/2006/relationships/hyperlink" Target="http://www.stpeterdebeauvoir.org.uk/" TargetMode="External"/><Relationship Id="rId217" Type="http://schemas.openxmlformats.org/officeDocument/2006/relationships/hyperlink" Target="http://stlukesmillwall.org/" TargetMode="External"/><Relationship Id="rId399" Type="http://schemas.openxmlformats.org/officeDocument/2006/relationships/hyperlink" Target="https://en.wikipedia.org/wiki/Islington" TargetMode="External"/><Relationship Id="rId564" Type="http://schemas.openxmlformats.org/officeDocument/2006/relationships/hyperlink" Target="https://www.london.anglican.org/directory/nigel-copsey/" TargetMode="External"/><Relationship Id="rId259" Type="http://schemas.openxmlformats.org/officeDocument/2006/relationships/hyperlink" Target="=IFERROR(VLOOKUP($C25,%20DataFromWikipedia!A:T,%2017,%20FALSE),%20%22%22)" TargetMode="External"/><Relationship Id="rId424" Type="http://schemas.openxmlformats.org/officeDocument/2006/relationships/hyperlink" Target="=IFERROR(VLOOKUP(C132,%20DataFromWikipedia!A:T,%2018,%20FALSE),%20%22%22)" TargetMode="External"/><Relationship Id="rId466" Type="http://schemas.openxmlformats.org/officeDocument/2006/relationships/hyperlink" Target="https://www.london.anglican.org/directory/sian-davies-3/" TargetMode="External"/><Relationship Id="rId631" Type="http://schemas.openxmlformats.org/officeDocument/2006/relationships/printerSettings" Target="../printerSettings/printerSettings3.bin"/><Relationship Id="rId23" Type="http://schemas.openxmlformats.org/officeDocument/2006/relationships/hyperlink" Target="https://www.london.anglican.org/directory/st-john-the-baptist-hoxton/" TargetMode="External"/><Relationship Id="rId119" Type="http://schemas.openxmlformats.org/officeDocument/2006/relationships/hyperlink" Target="https://www.london.anglican.org/directory/st-paul-shadwell/" TargetMode="External"/><Relationship Id="rId270" Type="http://schemas.openxmlformats.org/officeDocument/2006/relationships/hyperlink" Target="=IFERROR(VLOOKUP($C36,%20DataFromWikipedia!A:T,%2017,%20FALSE),%20%22%22)" TargetMode="External"/><Relationship Id="rId326" Type="http://schemas.openxmlformats.org/officeDocument/2006/relationships/hyperlink" Target="=IFERROR(VLOOKUP($C94,%20DataFromWikipedia!A:T,%2017,%20FALSE),%20%22%22)" TargetMode="External"/><Relationship Id="rId533" Type="http://schemas.openxmlformats.org/officeDocument/2006/relationships/hyperlink" Target="https://www.london.anglican.org/directory/tasha-critchlow/" TargetMode="External"/><Relationship Id="rId65" Type="http://schemas.openxmlformats.org/officeDocument/2006/relationships/hyperlink" Target="https://www.london.anglican.org/directory/st-jude-st-pauls-cofe-primary-school/" TargetMode="External"/><Relationship Id="rId130" Type="http://schemas.openxmlformats.org/officeDocument/2006/relationships/hyperlink" Target="https://www.london.anglican.org/directory/the-tower-hamlets-centre-for-mental-health/" TargetMode="External"/><Relationship Id="rId368" Type="http://schemas.openxmlformats.org/officeDocument/2006/relationships/hyperlink" Target="https://en.wikipedia.org/wiki/Dalston" TargetMode="External"/><Relationship Id="rId575" Type="http://schemas.openxmlformats.org/officeDocument/2006/relationships/hyperlink" Target="https://www.crockford.org.uk/places/12982/the-benefice-of-hackney,-south-(st-john-of-jerusalem)-with-christ-church" TargetMode="External"/><Relationship Id="rId172" Type="http://schemas.openxmlformats.org/officeDocument/2006/relationships/hyperlink" Target="https://www.standrewsislington.com/" TargetMode="External"/><Relationship Id="rId228" Type="http://schemas.openxmlformats.org/officeDocument/2006/relationships/hyperlink" Target="http://www.st-pauls.towerhamlets.sch.uk/" TargetMode="External"/><Relationship Id="rId435" Type="http://schemas.openxmlformats.org/officeDocument/2006/relationships/hyperlink" Target="https://en.wikipedia.org/wiki/St_Mary%27s_Church,_Islington" TargetMode="External"/><Relationship Id="rId477" Type="http://schemas.openxmlformats.org/officeDocument/2006/relationships/hyperlink" Target="https://www.london.anglican.org/directory/david-lambert/" TargetMode="External"/><Relationship Id="rId600" Type="http://schemas.openxmlformats.org/officeDocument/2006/relationships/hyperlink" Target="https://www.crockford.org.uk/places/12834/the-benefice-of-mildmay-grove-(st-jude-and-st-paul)" TargetMode="External"/><Relationship Id="rId281" Type="http://schemas.openxmlformats.org/officeDocument/2006/relationships/hyperlink" Target="=IFERROR(VLOOKUP($C48,%20DataFromWikipedia!A:T,%2017,%20FALSE),%20%22%22)" TargetMode="External"/><Relationship Id="rId337" Type="http://schemas.openxmlformats.org/officeDocument/2006/relationships/hyperlink" Target="=IFERROR(VLOOKUP($C105,%20DataFromWikipedia!A:T,%2017,%20FALSE),%20%22%22)" TargetMode="External"/><Relationship Id="rId502" Type="http://schemas.openxmlformats.org/officeDocument/2006/relationships/hyperlink" Target="https://www.london.anglican.org/directory/brian-welsh/" TargetMode="External"/><Relationship Id="rId34" Type="http://schemas.openxmlformats.org/officeDocument/2006/relationships/hyperlink" Target="https://www.london.anglican.org/directory/st-michael-all-angels-london-fields/" TargetMode="External"/><Relationship Id="rId76" Type="http://schemas.openxmlformats.org/officeDocument/2006/relationships/hyperlink" Target="https://www.london.anglican.org/directory/st-saviour-hanley-road/" TargetMode="External"/><Relationship Id="rId141" Type="http://schemas.openxmlformats.org/officeDocument/2006/relationships/hyperlink" Target="https://www.stjamesclapton.co.uk/" TargetMode="External"/><Relationship Id="rId379" Type="http://schemas.openxmlformats.org/officeDocument/2006/relationships/hyperlink" Target="https://en.wikipedia.org/wiki/Hackney_Wick" TargetMode="External"/><Relationship Id="rId544" Type="http://schemas.openxmlformats.org/officeDocument/2006/relationships/hyperlink" Target="https://www.london.anglican.org/directory/ed-dix/" TargetMode="External"/><Relationship Id="rId586" Type="http://schemas.openxmlformats.org/officeDocument/2006/relationships/hyperlink" Target="https://www.crockford.org.uk/places/13031/the-benefice-of-stoke-newington-(st-olave)" TargetMode="External"/><Relationship Id="rId7" Type="http://schemas.openxmlformats.org/officeDocument/2006/relationships/hyperlink" Target="https://www.london.anglican.org/directory/holy-trinity-dalston/" TargetMode="External"/><Relationship Id="rId183" Type="http://schemas.openxmlformats.org/officeDocument/2006/relationships/hyperlink" Target="http://stjudestpauls.co.uk/" TargetMode="External"/><Relationship Id="rId239" Type="http://schemas.openxmlformats.org/officeDocument/2006/relationships/hyperlink" Target="=IFERROR(VLOOKUP($C5,%20DataFromWikipedia!A:T,%2017,%20FALSE),%20%22%22)" TargetMode="External"/><Relationship Id="rId390" Type="http://schemas.openxmlformats.org/officeDocument/2006/relationships/hyperlink" Target="https://en.wikipedia.org/wiki/Clerkenwell" TargetMode="External"/><Relationship Id="rId404" Type="http://schemas.openxmlformats.org/officeDocument/2006/relationships/hyperlink" Target="https://en.wikipedia.org/wiki/Clerkenwell" TargetMode="External"/><Relationship Id="rId446" Type="http://schemas.openxmlformats.org/officeDocument/2006/relationships/hyperlink" Target="https://en.wikipedia.org/wiki/St_Paul%27s,_Bow_Common" TargetMode="External"/><Relationship Id="rId611" Type="http://schemas.openxmlformats.org/officeDocument/2006/relationships/hyperlink" Target="https://www.crockford.org.uk/places/12743/the-benefice-of-isle-of-dogs-(christ-church-and-st-john)-(st-luke)" TargetMode="External"/><Relationship Id="rId250" Type="http://schemas.openxmlformats.org/officeDocument/2006/relationships/hyperlink" Target="=IFERROR(VLOOKUP($C16,%20DataFromWikipedia!A:T,%2017,%20FALSE),%20%22%22)" TargetMode="External"/><Relationship Id="rId292" Type="http://schemas.openxmlformats.org/officeDocument/2006/relationships/hyperlink" Target="=IFERROR(VLOOKUP($C59,%20DataFromWikipedia!A:T,%2017,%20FALSE),%20%22%22)" TargetMode="External"/><Relationship Id="rId306" Type="http://schemas.openxmlformats.org/officeDocument/2006/relationships/hyperlink" Target="=IFERROR(VLOOKUP($C73,%20DataFromWikipedia!A:T,%2017,%20FALSE),%20%22%22)" TargetMode="External"/><Relationship Id="rId488" Type="http://schemas.openxmlformats.org/officeDocument/2006/relationships/hyperlink" Target="https://www.london.anglican.org/directory/andrew-baughen/" TargetMode="External"/><Relationship Id="rId45" Type="http://schemas.openxmlformats.org/officeDocument/2006/relationships/hyperlink" Target="https://www.london.anglican.org/directory/city-ymca-london/" TargetMode="External"/><Relationship Id="rId87" Type="http://schemas.openxmlformats.org/officeDocument/2006/relationships/hyperlink" Target="https://www.london.anglican.org/directory/all-saints-poplar-poplar-team-ministry/" TargetMode="External"/><Relationship Id="rId110" Type="http://schemas.openxmlformats.org/officeDocument/2006/relationships/hyperlink" Target="https://www.london.anglican.org/directory/st-lukes-cofe-primary-school/" TargetMode="External"/><Relationship Id="rId348" Type="http://schemas.openxmlformats.org/officeDocument/2006/relationships/hyperlink" Target="=IFERROR(VLOOKUP($C116,%20DataFromWikipedia!A:T,%2017,%20FALSE),%20%22%22)" TargetMode="External"/><Relationship Id="rId513" Type="http://schemas.openxmlformats.org/officeDocument/2006/relationships/hyperlink" Target="https://www.london.anglican.org/directory/victoria-linsley/" TargetMode="External"/><Relationship Id="rId555" Type="http://schemas.openxmlformats.org/officeDocument/2006/relationships/hyperlink" Target="https://www.london.anglican.org/directory/nicola-horton/" TargetMode="External"/><Relationship Id="rId597" Type="http://schemas.openxmlformats.org/officeDocument/2006/relationships/hyperlink" Target="https://www.crockford.org.uk/places/12532/the-benefice-of-clerkenwell-(st-mark)" TargetMode="External"/><Relationship Id="rId152" Type="http://schemas.openxmlformats.org/officeDocument/2006/relationships/hyperlink" Target="https://www.stmaryn16.org/" TargetMode="External"/><Relationship Id="rId194" Type="http://schemas.openxmlformats.org/officeDocument/2006/relationships/hyperlink" Target="https://www.saint-silas.org.uk/" TargetMode="External"/><Relationship Id="rId208" Type="http://schemas.openxmlformats.org/officeDocument/2006/relationships/hyperlink" Target="http://www.rainesfoundation.org.uk/" TargetMode="External"/><Relationship Id="rId415" Type="http://schemas.openxmlformats.org/officeDocument/2006/relationships/hyperlink" Target="https://en.wikipedia.org/wiki/St_George_in_the_East_(parish)" TargetMode="External"/><Relationship Id="rId457" Type="http://schemas.openxmlformats.org/officeDocument/2006/relationships/hyperlink" Target="https://www.london.anglican.org/directory/charis-enga/" TargetMode="External"/><Relationship Id="rId622" Type="http://schemas.openxmlformats.org/officeDocument/2006/relationships/hyperlink" Target="https://www.crockford.org.uk/places/12481/the-benefice-of-bethnal-green-(st-matthew-with-st-james-the-great)" TargetMode="External"/><Relationship Id="rId261" Type="http://schemas.openxmlformats.org/officeDocument/2006/relationships/hyperlink" Target="=IFERROR(VLOOKUP($C27,%20DataFromWikipedia!A:T,%2017,%20FALSE),%20%22%22)" TargetMode="External"/><Relationship Id="rId499" Type="http://schemas.openxmlformats.org/officeDocument/2006/relationships/hyperlink" Target="https://www.london.anglican.org/directory/pete-nicholas/" TargetMode="External"/><Relationship Id="rId14" Type="http://schemas.openxmlformats.org/officeDocument/2006/relationships/hyperlink" Target="https://www.london.anglican.org/directory/st-barnabas-dalston/" TargetMode="External"/><Relationship Id="rId56" Type="http://schemas.openxmlformats.org/officeDocument/2006/relationships/hyperlink" Target="https://www.london.anglican.org/directory/st-andrews-barnsbury-cofe-primary-school/" TargetMode="External"/><Relationship Id="rId317" Type="http://schemas.openxmlformats.org/officeDocument/2006/relationships/hyperlink" Target="=IFERROR(VLOOKUP($C85,%20DataFromWikipedia!A:T,%2017,%20FALSE),%20%22%22)" TargetMode="External"/><Relationship Id="rId359" Type="http://schemas.openxmlformats.org/officeDocument/2006/relationships/hyperlink" Target="=IFERROR(VLOOKUP($C127,%20DataFromWikipedia!A:T,%2017,%20FALSE),%20%22%22)" TargetMode="External"/><Relationship Id="rId524" Type="http://schemas.openxmlformats.org/officeDocument/2006/relationships/hyperlink" Target="https://www.london.anglican.org/directory/cris-rogers/" TargetMode="External"/><Relationship Id="rId566" Type="http://schemas.openxmlformats.org/officeDocument/2006/relationships/hyperlink" Target="https://www.crockford.org.uk/places/12544/the-benefice-of-dalston-(holy-trinity)-with-st-philip-and-haggerston-all-saints" TargetMode="External"/><Relationship Id="rId98" Type="http://schemas.openxmlformats.org/officeDocument/2006/relationships/hyperlink" Target="https://www.london.anglican.org/directory/queen-mary-university-of-london/" TargetMode="External"/><Relationship Id="rId121" Type="http://schemas.openxmlformats.org/officeDocument/2006/relationships/hyperlink" Target="https://www.london.anglican.org/directory/st-pauls-cofe-primary-school/" TargetMode="External"/><Relationship Id="rId163" Type="http://schemas.openxmlformats.org/officeDocument/2006/relationships/hyperlink" Target="http://www.theurswickschool.co.uk/" TargetMode="External"/><Relationship Id="rId219" Type="http://schemas.openxmlformats.org/officeDocument/2006/relationships/hyperlink" Target="https://www.bowchurch.org.uk/" TargetMode="External"/><Relationship Id="rId370" Type="http://schemas.openxmlformats.org/officeDocument/2006/relationships/hyperlink" Target="https://en.wikipedia.org/wiki/Stoke_Newington" TargetMode="External"/><Relationship Id="rId426" Type="http://schemas.openxmlformats.org/officeDocument/2006/relationships/hyperlink" Target="https://en.wikipedia.org/wiki/St_Andrew,_Stoke_Newington" TargetMode="External"/><Relationship Id="rId230" Type="http://schemas.openxmlformats.org/officeDocument/2006/relationships/hyperlink" Target="http://www.stpeterslondondocks.org.uk/" TargetMode="External"/><Relationship Id="rId468" Type="http://schemas.openxmlformats.org/officeDocument/2006/relationships/hyperlink" Target="https://www.london.anglican.org/directory/alice-whalley/" TargetMode="External"/><Relationship Id="rId25" Type="http://schemas.openxmlformats.org/officeDocument/2006/relationships/hyperlink" Target="https://www.london.anglican.org/directory/st-josephs-hospice/" TargetMode="External"/><Relationship Id="rId67" Type="http://schemas.openxmlformats.org/officeDocument/2006/relationships/hyperlink" Target="https://www.london.anglican.org/directory/st-luke-west-holloway/" TargetMode="External"/><Relationship Id="rId272" Type="http://schemas.openxmlformats.org/officeDocument/2006/relationships/hyperlink" Target="=IFERROR(VLOOKUP($C38,%20DataFromWikipedia!A:T,%2017,%20FALSE),%20%22%22)" TargetMode="External"/><Relationship Id="rId328" Type="http://schemas.openxmlformats.org/officeDocument/2006/relationships/hyperlink" Target="=IFERROR(VLOOKUP($C96,%20DataFromWikipedia!A:T,%2017,%20FALSE),%20%22%22)" TargetMode="External"/><Relationship Id="rId535" Type="http://schemas.openxmlformats.org/officeDocument/2006/relationships/hyperlink" Target="https://www.london.anglican.org/directory/chris-newman-day/" TargetMode="External"/><Relationship Id="rId577" Type="http://schemas.openxmlformats.org/officeDocument/2006/relationships/hyperlink" Target="https://www.crockford.org.uk/places/12504/the-benefice-of-brownswood-park-(st-john-the-evangelist)" TargetMode="External"/><Relationship Id="rId132" Type="http://schemas.openxmlformats.org/officeDocument/2006/relationships/hyperlink" Target="http://www.hackneymarshteam.org.uk/" TargetMode="External"/><Relationship Id="rId174" Type="http://schemas.openxmlformats.org/officeDocument/2006/relationships/hyperlink" Target="http://www.standrews.islington.sch.uk/" TargetMode="External"/><Relationship Id="rId381" Type="http://schemas.openxmlformats.org/officeDocument/2006/relationships/hyperlink" Target="https://en.wikipedia.org/wiki/Upper_Clapton" TargetMode="External"/><Relationship Id="rId602" Type="http://schemas.openxmlformats.org/officeDocument/2006/relationships/hyperlink" Target="https://www.crockford.org.uk/places/13044/the-benefice-of-tollington-(st-mark)" TargetMode="External"/><Relationship Id="rId241" Type="http://schemas.openxmlformats.org/officeDocument/2006/relationships/hyperlink" Target="=IFERROR(VLOOKUP($C7,%20DataFromWikipedia!A:T,%2017,%20FALSE),%20%22%22)" TargetMode="External"/><Relationship Id="rId437" Type="http://schemas.openxmlformats.org/officeDocument/2006/relationships/hyperlink" Target="https://en.wikipedia.org/wiki/Christ_Church,_Spitalfields" TargetMode="External"/><Relationship Id="rId479" Type="http://schemas.openxmlformats.org/officeDocument/2006/relationships/hyperlink" Target="https://www.london.anglican.org/directory/steve-gayle/" TargetMode="External"/><Relationship Id="rId36" Type="http://schemas.openxmlformats.org/officeDocument/2006/relationships/hyperlink" Target="https://www.london.anglican.org/directory/st-olave-woodberry-down/" TargetMode="External"/><Relationship Id="rId283" Type="http://schemas.openxmlformats.org/officeDocument/2006/relationships/hyperlink" Target="=IFERROR(VLOOKUP($C50,%20DataFromWikipedia!A:T,%2017,%20FALSE),%20%22%22)" TargetMode="External"/><Relationship Id="rId339" Type="http://schemas.openxmlformats.org/officeDocument/2006/relationships/hyperlink" Target="=IFERROR(VLOOKUP($C107,%20DataFromWikipedia!A:T,%2017,%20FALSE),%20%22%22)" TargetMode="External"/><Relationship Id="rId490" Type="http://schemas.openxmlformats.org/officeDocument/2006/relationships/hyperlink" Target="https://www.london.anglican.org/directory/bola-adamolekun/" TargetMode="External"/><Relationship Id="rId504" Type="http://schemas.openxmlformats.org/officeDocument/2006/relationships/hyperlink" Target="https://www.london.anglican.org/directory/adeola-oladejo/" TargetMode="External"/><Relationship Id="rId546" Type="http://schemas.openxmlformats.org/officeDocument/2006/relationships/hyperlink" Target="https://www.london.anglican.org/directory/brian-ralph/" TargetMode="External"/><Relationship Id="rId78" Type="http://schemas.openxmlformats.org/officeDocument/2006/relationships/hyperlink" Target="https://www.london.anglican.org/directory/st-stephen-canonbury/" TargetMode="External"/><Relationship Id="rId101" Type="http://schemas.openxmlformats.org/officeDocument/2006/relationships/hyperlink" Target="https://www.london.anglican.org/directory/st-anne-w-st-peter-limehouse/" TargetMode="External"/><Relationship Id="rId143" Type="http://schemas.openxmlformats.org/officeDocument/2006/relationships/hyperlink" Target="http://www.st-johnjerusalem.hackney.sch.uk/" TargetMode="External"/><Relationship Id="rId185" Type="http://schemas.openxmlformats.org/officeDocument/2006/relationships/hyperlink" Target="http://www.saintlukeschurch.org.uk/" TargetMode="External"/><Relationship Id="rId350" Type="http://schemas.openxmlformats.org/officeDocument/2006/relationships/hyperlink" Target="=IFERROR(VLOOKUP($C118,%20DataFromWikipedia!A:T,%2017,%20FALSE),%20%22%22)" TargetMode="External"/><Relationship Id="rId406" Type="http://schemas.openxmlformats.org/officeDocument/2006/relationships/hyperlink" Target="https://en.wikipedia.org/wiki/Isle_of_Dogs" TargetMode="External"/><Relationship Id="rId588" Type="http://schemas.openxmlformats.org/officeDocument/2006/relationships/hyperlink" Target="https://www.crockford.org.uk/places/12547/the-benefice-of-de-beauvoir-town-(st-peter)" TargetMode="External"/><Relationship Id="rId9" Type="http://schemas.openxmlformats.org/officeDocument/2006/relationships/hyperlink" Target="https://www.london.anglican.org/directory/holy-trinity-hoxton/" TargetMode="External"/><Relationship Id="rId210" Type="http://schemas.openxmlformats.org/officeDocument/2006/relationships/hyperlink" Target="http://www.stanneslimehouse.org/" TargetMode="External"/><Relationship Id="rId392" Type="http://schemas.openxmlformats.org/officeDocument/2006/relationships/hyperlink" Target="https://en.wikipedia.org/wiki/Finsbury" TargetMode="External"/><Relationship Id="rId448" Type="http://schemas.openxmlformats.org/officeDocument/2006/relationships/hyperlink" Target="https://en.wikipedia.org/wiki/St_Peter%27s,_Bethnal_Green" TargetMode="External"/><Relationship Id="rId613" Type="http://schemas.openxmlformats.org/officeDocument/2006/relationships/hyperlink" Target="https://www.crockford.org.uk/places/12794/the-benefice-of-limehouse-(st-anne)-(st-peter)" TargetMode="External"/><Relationship Id="rId252" Type="http://schemas.openxmlformats.org/officeDocument/2006/relationships/hyperlink" Target="=IFERROR(VLOOKUP($C18,%20DataFromWikipedia!A:T,%2017,%20FALSE),%20%22%22)" TargetMode="External"/><Relationship Id="rId294" Type="http://schemas.openxmlformats.org/officeDocument/2006/relationships/hyperlink" Target="=IFERROR(VLOOKUP($C61,%20DataFromWikipedia!A:T,%2017,%20FALSE),%20%22%22)" TargetMode="External"/><Relationship Id="rId308" Type="http://schemas.openxmlformats.org/officeDocument/2006/relationships/hyperlink" Target="=IFERROR(VLOOKUP($C75,%20DataFromWikipedia!A:T,%2017,%20FALSE),%20%22%22)" TargetMode="External"/><Relationship Id="rId515" Type="http://schemas.openxmlformats.org/officeDocument/2006/relationships/hyperlink" Target="https://www.london.anglican.org/directory/pete-hughes/" TargetMode="External"/><Relationship Id="rId47" Type="http://schemas.openxmlformats.org/officeDocument/2006/relationships/hyperlink" Target="https://www.london.anglican.org/directory/emmanuel-hornsey-road/" TargetMode="External"/><Relationship Id="rId89" Type="http://schemas.openxmlformats.org/officeDocument/2006/relationships/hyperlink" Target="https://www.london.anglican.org/directory/bishops-chaplain-in-docklands/" TargetMode="External"/><Relationship Id="rId112" Type="http://schemas.openxmlformats.org/officeDocument/2006/relationships/hyperlink" Target="https://www.london.anglican.org/directory/st-mary-and-holy-trinity-bow/" TargetMode="External"/><Relationship Id="rId154" Type="http://schemas.openxmlformats.org/officeDocument/2006/relationships/hyperlink" Target="https://stmatthewse5.wordpress.com/" TargetMode="External"/><Relationship Id="rId361" Type="http://schemas.openxmlformats.org/officeDocument/2006/relationships/hyperlink" Target="=IFERROR(VLOOKUP($C129,%20DataFromWikipedia!A:T,%2017,%20FALSE),%20%22%22)" TargetMode="External"/><Relationship Id="rId557" Type="http://schemas.openxmlformats.org/officeDocument/2006/relationships/hyperlink" Target="https://www.london.anglican.org/directory/heather-atkinson/" TargetMode="External"/><Relationship Id="rId599" Type="http://schemas.openxmlformats.org/officeDocument/2006/relationships/hyperlink" Target="https://www.crockford.org.uk/places/13074/the-benefice-of-holloway,-upper-(st-john-the-evangelist)" TargetMode="External"/><Relationship Id="rId196" Type="http://schemas.openxmlformats.org/officeDocument/2006/relationships/hyperlink" Target="https://www.stthomaschurch.co.uk/" TargetMode="External"/><Relationship Id="rId417" Type="http://schemas.openxmlformats.org/officeDocument/2006/relationships/hyperlink" Target="https://en.wikipedia.org/wiki/Old_Ford" TargetMode="External"/><Relationship Id="rId459" Type="http://schemas.openxmlformats.org/officeDocument/2006/relationships/hyperlink" Target="https://www.london.anglican.org/directory/clive-main/" TargetMode="External"/><Relationship Id="rId624" Type="http://schemas.openxmlformats.org/officeDocument/2006/relationships/hyperlink" Target="https://www.crockford.org.uk/places/12489/the-benefice-of-bow-common-(st-paul)" TargetMode="External"/><Relationship Id="rId16" Type="http://schemas.openxmlformats.org/officeDocument/2006/relationships/hyperlink" Target="https://www.london.anglican.org/directory/st-bartholomew-stamford-hill/" TargetMode="External"/><Relationship Id="rId221" Type="http://schemas.openxmlformats.org/officeDocument/2006/relationships/hyperlink" Target="https://www.st-matthews.co.uk/" TargetMode="External"/><Relationship Id="rId263" Type="http://schemas.openxmlformats.org/officeDocument/2006/relationships/hyperlink" Target="=IFERROR(VLOOKUP($C29,%20DataFromWikipedia!A:T,%2017,%20FALSE),%20%22%22)" TargetMode="External"/><Relationship Id="rId319" Type="http://schemas.openxmlformats.org/officeDocument/2006/relationships/hyperlink" Target="=IFERROR(VLOOKUP($C87,%20DataFromWikipedia!A:T,%2017,%20FALSE),%20%22%22)" TargetMode="External"/><Relationship Id="rId470" Type="http://schemas.openxmlformats.org/officeDocument/2006/relationships/hyperlink" Target="https://www.london.anglican.org/directory/liz-adekunle/" TargetMode="External"/><Relationship Id="rId526" Type="http://schemas.openxmlformats.org/officeDocument/2006/relationships/hyperlink" Target="https://www.london.anglican.org/directory/tasha-critchlow/" TargetMode="External"/><Relationship Id="rId58" Type="http://schemas.openxmlformats.org/officeDocument/2006/relationships/hyperlink" Target="https://www.london.anglican.org/directory/st-clement-king-square/" TargetMode="External"/><Relationship Id="rId123" Type="http://schemas.openxmlformats.org/officeDocument/2006/relationships/hyperlink" Target="https://www.london.anglican.org/directory/st-peter-london-docks/" TargetMode="External"/><Relationship Id="rId330" Type="http://schemas.openxmlformats.org/officeDocument/2006/relationships/hyperlink" Target="=IFERROR(VLOOKUP($C98,%20DataFromWikipedia!A:T,%2017,%20FALSE),%20%22%22)" TargetMode="External"/><Relationship Id="rId568" Type="http://schemas.openxmlformats.org/officeDocument/2006/relationships/hyperlink" Target="https://www.crockford.org.uk/places/12735/the-benefice-of-hoxton-(holy-trinity)-(st-mary)" TargetMode="External"/><Relationship Id="rId165" Type="http://schemas.openxmlformats.org/officeDocument/2006/relationships/hyperlink" Target="http://www.christchurchhighbury.com/" TargetMode="External"/><Relationship Id="rId372" Type="http://schemas.openxmlformats.org/officeDocument/2006/relationships/hyperlink" Target="https://en.wikipedia.org/wiki/Stamford_Hill" TargetMode="External"/><Relationship Id="rId428" Type="http://schemas.openxmlformats.org/officeDocument/2006/relationships/hyperlink" Target="https://en.wikipedia.org/wiki/St_Leonard%27s,_Shoreditch" TargetMode="External"/><Relationship Id="rId232" Type="http://schemas.openxmlformats.org/officeDocument/2006/relationships/hyperlink" Target="http://www.stpetersprimary.org.uk/" TargetMode="External"/><Relationship Id="rId274" Type="http://schemas.openxmlformats.org/officeDocument/2006/relationships/hyperlink" Target="=IFERROR(VLOOKUP($C40,%20DataFromWikipedia!A:T,%2017,%20FALSE),%20%22%22)" TargetMode="External"/><Relationship Id="rId481" Type="http://schemas.openxmlformats.org/officeDocument/2006/relationships/hyperlink" Target="https://www.london.anglican.org/directory/niall-weir/" TargetMode="External"/><Relationship Id="rId27" Type="http://schemas.openxmlformats.org/officeDocument/2006/relationships/hyperlink" Target="https://www.london.anglican.org/directory/st-mark-dalston/" TargetMode="External"/><Relationship Id="rId69" Type="http://schemas.openxmlformats.org/officeDocument/2006/relationships/hyperlink" Target="https://www.london.anglican.org/directory/st-mark-clerkenwell/" TargetMode="External"/><Relationship Id="rId134" Type="http://schemas.openxmlformats.org/officeDocument/2006/relationships/hyperlink" Target="http://www.holytrinity.hackney.sch.uk/" TargetMode="External"/><Relationship Id="rId537" Type="http://schemas.openxmlformats.org/officeDocument/2006/relationships/hyperlink" Target="https://www.london.anglican.org/directory/richard-bray/" TargetMode="External"/><Relationship Id="rId579" Type="http://schemas.openxmlformats.org/officeDocument/2006/relationships/hyperlink" Target="https://www.crockford.org.uk/places/12545/the-benefice-of-dalston-(st-mark-with-st-bartholomew)" TargetMode="External"/><Relationship Id="rId80" Type="http://schemas.openxmlformats.org/officeDocument/2006/relationships/hyperlink" Target="https://www.london.anglican.org/directory/the-barnsbury-team/" TargetMode="External"/><Relationship Id="rId176" Type="http://schemas.openxmlformats.org/officeDocument/2006/relationships/hyperlink" Target="https://www.stclementfinsbury.org/" TargetMode="External"/><Relationship Id="rId341" Type="http://schemas.openxmlformats.org/officeDocument/2006/relationships/hyperlink" Target="=IFERROR(VLOOKUP($C109,%20DataFromWikipedia!A:T,%2017,%20FALSE),%20%22%22)" TargetMode="External"/><Relationship Id="rId383" Type="http://schemas.openxmlformats.org/officeDocument/2006/relationships/hyperlink" Target="https://en.wikipedia.org/wiki/Stoke_Newington_Common" TargetMode="External"/><Relationship Id="rId439" Type="http://schemas.openxmlformats.org/officeDocument/2006/relationships/hyperlink" Target="https://en.wikipedia.org/wiki/St_Barnabas%27s,_Bethnal_Green" TargetMode="External"/><Relationship Id="rId590" Type="http://schemas.openxmlformats.org/officeDocument/2006/relationships/hyperlink" Target="https://www.crockford.org.uk/places/12696/the-benefice-of-highbury-(christ-church)-(st-john)-(st-saviour)" TargetMode="External"/><Relationship Id="rId604" Type="http://schemas.openxmlformats.org/officeDocument/2006/relationships/hyperlink" Target="https://www.crockford.org.uk/places/12755/the-benefice-of-islington-(st-mary)" TargetMode="External"/><Relationship Id="rId201" Type="http://schemas.openxmlformats.org/officeDocument/2006/relationships/hyperlink" Target="http://www.parishofpoplar.org/" TargetMode="External"/><Relationship Id="rId243" Type="http://schemas.openxmlformats.org/officeDocument/2006/relationships/hyperlink" Target="=IFERROR(VLOOKUP($C9,%20DataFromWikipedia!A:T,%2017,%20FALSE),%20%22%22)" TargetMode="External"/><Relationship Id="rId285" Type="http://schemas.openxmlformats.org/officeDocument/2006/relationships/hyperlink" Target="=IFERROR(VLOOKUP($C52,%20DataFromWikipedia!A:T,%2017,%20FALSE),%20%22%22)" TargetMode="External"/><Relationship Id="rId450" Type="http://schemas.openxmlformats.org/officeDocument/2006/relationships/hyperlink" Target="https://www.london.anglican.org/directory/roy-tokunbo-olowu/" TargetMode="External"/><Relationship Id="rId506" Type="http://schemas.openxmlformats.org/officeDocument/2006/relationships/hyperlink" Target="https://www.london.anglican.org/directory/john-mackenzie/" TargetMode="External"/><Relationship Id="rId17" Type="http://schemas.openxmlformats.org/officeDocument/2006/relationships/hyperlink" Target="https://www.london.anglican.org/directory/st-chad-haggerston/" TargetMode="External"/><Relationship Id="rId38" Type="http://schemas.openxmlformats.org/officeDocument/2006/relationships/hyperlink" Target="https://www.london.anglican.org/directory/st-pauls-with-st-michaels-cof-e-primary-school/" TargetMode="External"/><Relationship Id="rId59" Type="http://schemas.openxmlformats.org/officeDocument/2006/relationships/hyperlink" Target="https://www.london.anglican.org/directory/st-george-all-saints-tufnell-park/" TargetMode="External"/><Relationship Id="rId103" Type="http://schemas.openxmlformats.org/officeDocument/2006/relationships/hyperlink" Target="https://www.london.anglican.org/directory/st-barnabas-bethnal-green/" TargetMode="External"/><Relationship Id="rId124" Type="http://schemas.openxmlformats.org/officeDocument/2006/relationships/hyperlink" Target="https://www.london.anglican.org/directory/st-peters-barge-canary-wharf/" TargetMode="External"/><Relationship Id="rId310" Type="http://schemas.openxmlformats.org/officeDocument/2006/relationships/hyperlink" Target="=IFERROR(VLOOKUP($C77,%20DataFromWikipedia!A:T,%2017,%20FALSE),%20%22%22)" TargetMode="External"/><Relationship Id="rId492" Type="http://schemas.openxmlformats.org/officeDocument/2006/relationships/hyperlink" Target="https://www.london.anglican.org/directory/christopher-trundle/" TargetMode="External"/><Relationship Id="rId527" Type="http://schemas.openxmlformats.org/officeDocument/2006/relationships/hyperlink" Target="https://www.london.anglican.org/directory/fiona-stewart-darling/" TargetMode="External"/><Relationship Id="rId548" Type="http://schemas.openxmlformats.org/officeDocument/2006/relationships/hyperlink" Target="https://www.london.anglican.org/directory/peter-mcgeary/" TargetMode="External"/><Relationship Id="rId569" Type="http://schemas.openxmlformats.org/officeDocument/2006/relationships/hyperlink" Target="https://www.crockford.org.uk/places/13028/the-benefice-of-stoke-newington-(st-andrew)" TargetMode="External"/><Relationship Id="rId70" Type="http://schemas.openxmlformats.org/officeDocument/2006/relationships/hyperlink" Target="https://www.london.anglican.org/directory/the-parish-of-tollington-st-mark-emmanuel-st-saviour/" TargetMode="External"/><Relationship Id="rId91" Type="http://schemas.openxmlformats.org/officeDocument/2006/relationships/hyperlink" Target="https://www.london.anglican.org/directory/christ-church-cofe-primary-school/" TargetMode="External"/><Relationship Id="rId145" Type="http://schemas.openxmlformats.org/officeDocument/2006/relationships/hyperlink" Target="http://www.st-john.hackney.sch.uk/" TargetMode="External"/><Relationship Id="rId166" Type="http://schemas.openxmlformats.org/officeDocument/2006/relationships/hyperlink" Target="https://www.city.ac.uk/" TargetMode="External"/><Relationship Id="rId187" Type="http://schemas.openxmlformats.org/officeDocument/2006/relationships/hyperlink" Target="https://www.stmarks-clerkenwell.co.uk/" TargetMode="External"/><Relationship Id="rId331" Type="http://schemas.openxmlformats.org/officeDocument/2006/relationships/hyperlink" Target="=IFERROR(VLOOKUP($C99,%20DataFromWikipedia!A:T,%2017,%20FALSE),%20%22%22)" TargetMode="External"/><Relationship Id="rId352" Type="http://schemas.openxmlformats.org/officeDocument/2006/relationships/hyperlink" Target="=IFERROR(VLOOKUP($C120,%20DataFromWikipedia!A:T,%2017,%20FALSE),%20%22%22)" TargetMode="External"/><Relationship Id="rId373" Type="http://schemas.openxmlformats.org/officeDocument/2006/relationships/hyperlink" Target="https://en.wikipedia.org/wiki/Haggerston" TargetMode="External"/><Relationship Id="rId394" Type="http://schemas.openxmlformats.org/officeDocument/2006/relationships/hyperlink" Target="https://en.wikipedia.org/wiki/Clerkenwell" TargetMode="External"/><Relationship Id="rId408" Type="http://schemas.openxmlformats.org/officeDocument/2006/relationships/hyperlink" Target="https://en.wikipedia.org/wiki/Limehouse" TargetMode="External"/><Relationship Id="rId429" Type="http://schemas.openxmlformats.org/officeDocument/2006/relationships/hyperlink" Target="https://en.wikipedia.org/wiki/St_Matthias%27_Church,_Stoke_Newington" TargetMode="External"/><Relationship Id="rId580" Type="http://schemas.openxmlformats.org/officeDocument/2006/relationships/hyperlink" Target="https://www.crockford.org.uk/places/12628/the-benefice-of-hackney-wick-(st-mary-of-eton)" TargetMode="External"/><Relationship Id="rId615" Type="http://schemas.openxmlformats.org/officeDocument/2006/relationships/hyperlink" Target="https://www.crockford.org.uk/places/13024/the-benefice-of-stepney-(st-dunstan-and-all-saints)" TargetMode="External"/><Relationship Id="rId1" Type="http://schemas.openxmlformats.org/officeDocument/2006/relationships/hyperlink" Target="https://www.london.anglican.org/directory/st-john-at-hackney/" TargetMode="External"/><Relationship Id="rId212" Type="http://schemas.openxmlformats.org/officeDocument/2006/relationships/hyperlink" Target="http://www.stdunstanstepney.com/" TargetMode="External"/><Relationship Id="rId233" Type="http://schemas.openxmlformats.org/officeDocument/2006/relationships/hyperlink" Target="http://www.stsavioursschool.org.uk/" TargetMode="External"/><Relationship Id="rId254" Type="http://schemas.openxmlformats.org/officeDocument/2006/relationships/hyperlink" Target="=IFERROR(VLOOKUP($C20,%20DataFromWikipedia!A:T,%2017,%20FALSE),%20%22%22)" TargetMode="External"/><Relationship Id="rId440" Type="http://schemas.openxmlformats.org/officeDocument/2006/relationships/hyperlink" Target="https://en.wikipedia.org/wiki/St_George_in_the_East,_Stepney" TargetMode="External"/><Relationship Id="rId28" Type="http://schemas.openxmlformats.org/officeDocument/2006/relationships/hyperlink" Target="https://www.london.anglican.org/directory/st-mary-of-eton-hackney/" TargetMode="External"/><Relationship Id="rId49" Type="http://schemas.openxmlformats.org/officeDocument/2006/relationships/hyperlink" Target="https://www.london.anglican.org/directory/hope-church-islington/" TargetMode="External"/><Relationship Id="rId114" Type="http://schemas.openxmlformats.org/officeDocument/2006/relationships/hyperlink" Target="https://www.london.anglican.org/directory/st-matthew-bethnal-green/" TargetMode="External"/><Relationship Id="rId275" Type="http://schemas.openxmlformats.org/officeDocument/2006/relationships/hyperlink" Target="=IFERROR(VLOOKUP($C41,%20DataFromWikipedia!A:T,%2017,%20FALSE),%20%22%22)" TargetMode="External"/><Relationship Id="rId296" Type="http://schemas.openxmlformats.org/officeDocument/2006/relationships/hyperlink" Target="=IFERROR(VLOOKUP($C63,%20DataFromWikipedia!A:T,%2017,%20FALSE),%20%22%22)" TargetMode="External"/><Relationship Id="rId300" Type="http://schemas.openxmlformats.org/officeDocument/2006/relationships/hyperlink" Target="=IFERROR(VLOOKUP($C67,%20DataFromWikipedia!A:T,%2017,%20FALSE),%20%22%22)" TargetMode="External"/><Relationship Id="rId461" Type="http://schemas.openxmlformats.org/officeDocument/2006/relationships/hyperlink" Target="https://www.london.anglican.org/directory/james-westcott/" TargetMode="External"/><Relationship Id="rId482" Type="http://schemas.openxmlformats.org/officeDocument/2006/relationships/hyperlink" Target="https://www.london.anglican.org/directory/kiyeran-lot/" TargetMode="External"/><Relationship Id="rId517" Type="http://schemas.openxmlformats.org/officeDocument/2006/relationships/hyperlink" Target="https://www.london.anglican.org/directory/john-beauchamp/" TargetMode="External"/><Relationship Id="rId538" Type="http://schemas.openxmlformats.org/officeDocument/2006/relationships/hyperlink" Target="https://www.london.anglican.org/directory/brian-ralph/" TargetMode="External"/><Relationship Id="rId559" Type="http://schemas.openxmlformats.org/officeDocument/2006/relationships/hyperlink" Target="https://www.london.anglican.org/directory/marcus-nodder/" TargetMode="External"/><Relationship Id="rId60" Type="http://schemas.openxmlformats.org/officeDocument/2006/relationships/hyperlink" Target="https://www.london.anglican.org/directory/st-james-clerkenwell/" TargetMode="External"/><Relationship Id="rId81" Type="http://schemas.openxmlformats.org/officeDocument/2006/relationships/hyperlink" Target="https://www.london.anglican.org/directory/the-charterhouse/" TargetMode="External"/><Relationship Id="rId135" Type="http://schemas.openxmlformats.org/officeDocument/2006/relationships/hyperlink" Target="https://hackney.church/" TargetMode="External"/><Relationship Id="rId156" Type="http://schemas.openxmlformats.org/officeDocument/2006/relationships/hyperlink" Target="https://www.stmchurch.co.uk/" TargetMode="External"/><Relationship Id="rId177" Type="http://schemas.openxmlformats.org/officeDocument/2006/relationships/hyperlink" Target="http://www.stgeorgestufnellpark.org/" TargetMode="External"/><Relationship Id="rId198" Type="http://schemas.openxmlformats.org/officeDocument/2006/relationships/hyperlink" Target="http://www.churchonthecorner.org.uk/" TargetMode="External"/><Relationship Id="rId321" Type="http://schemas.openxmlformats.org/officeDocument/2006/relationships/hyperlink" Target="=IFERROR(VLOOKUP($C89,%20DataFromWikipedia!A:T,%2017,%20FALSE),%20%22%22)" TargetMode="External"/><Relationship Id="rId342" Type="http://schemas.openxmlformats.org/officeDocument/2006/relationships/hyperlink" Target="=IFERROR(VLOOKUP($C110,%20DataFromWikipedia!A:T,%2017,%20FALSE),%20%22%22)" TargetMode="External"/><Relationship Id="rId363" Type="http://schemas.openxmlformats.org/officeDocument/2006/relationships/hyperlink" Target="=IFERROR(VLOOKUP($C131,%20DataFromWikipedia!A:T,%2017,%20FALSE),%20%22%22)" TargetMode="External"/><Relationship Id="rId384" Type="http://schemas.openxmlformats.org/officeDocument/2006/relationships/hyperlink" Target="https://en.wikipedia.org/wiki/Stoke_Newington" TargetMode="External"/><Relationship Id="rId419" Type="http://schemas.openxmlformats.org/officeDocument/2006/relationships/hyperlink" Target="https://en.wikipedia.org/wiki/Shadwell" TargetMode="External"/><Relationship Id="rId570" Type="http://schemas.openxmlformats.org/officeDocument/2006/relationships/hyperlink" Target="https://www.crockford.org.uk/places/12738/the-benefice-of-hoxton-(st-anne)-(st-columba)" TargetMode="External"/><Relationship Id="rId591" Type="http://schemas.openxmlformats.org/officeDocument/2006/relationships/hyperlink" Target="https://www.crockford.org.uk/places/13044/the-benefice-of-tollington-(st-mark)" TargetMode="External"/><Relationship Id="rId605" Type="http://schemas.openxmlformats.org/officeDocument/2006/relationships/hyperlink" Target="https://www.crockford.org.uk/places/13044/the-benefice-of-tollington-(st-mark)" TargetMode="External"/><Relationship Id="rId626" Type="http://schemas.openxmlformats.org/officeDocument/2006/relationships/hyperlink" Target="https://www.crockford.org.uk/places/12482/the-benefice-of-bethnal-green-(st-peter)-(st-thomas)" TargetMode="External"/><Relationship Id="rId202" Type="http://schemas.openxmlformats.org/officeDocument/2006/relationships/hyperlink" Target="https://www.canarywharfchaplaincy.co.uk/" TargetMode="External"/><Relationship Id="rId223" Type="http://schemas.openxmlformats.org/officeDocument/2006/relationships/hyperlink" Target="http://stnicholaspoplar.org/" TargetMode="External"/><Relationship Id="rId244" Type="http://schemas.openxmlformats.org/officeDocument/2006/relationships/hyperlink" Target="=IFERROR(VLOOKUP($C10,%20DataFromWikipedia!A:T,%2017,%20FALSE),%20%22%22)" TargetMode="External"/><Relationship Id="rId430" Type="http://schemas.openxmlformats.org/officeDocument/2006/relationships/hyperlink" Target="https://en.wikipedia.org/wiki/Christ_Church_Highbury" TargetMode="External"/><Relationship Id="rId18" Type="http://schemas.openxmlformats.org/officeDocument/2006/relationships/hyperlink" Target="https://www.london.anglican.org/directory/st-james-clapton/" TargetMode="External"/><Relationship Id="rId39" Type="http://schemas.openxmlformats.org/officeDocument/2006/relationships/hyperlink" Target="https://www.london.anglican.org/directory/st-peter-de-beauvoir-town/" TargetMode="External"/><Relationship Id="rId265" Type="http://schemas.openxmlformats.org/officeDocument/2006/relationships/hyperlink" Target="=IFERROR(VLOOKUP($C31,%20DataFromWikipedia!A:T,%2017,%20FALSE),%20%22%22)" TargetMode="External"/><Relationship Id="rId286" Type="http://schemas.openxmlformats.org/officeDocument/2006/relationships/hyperlink" Target="=IFERROR(VLOOKUP($C53,%20DataFromWikipedia!A:T,%2017,%20FALSE),%20%22%22)" TargetMode="External"/><Relationship Id="rId451" Type="http://schemas.openxmlformats.org/officeDocument/2006/relationships/hyperlink" Target="https://www.london.anglican.org/directory/andrew-jones/" TargetMode="External"/><Relationship Id="rId472" Type="http://schemas.openxmlformats.org/officeDocument/2006/relationships/hyperlink" Target="https://www.london.anglican.org/directory/sue-makin/" TargetMode="External"/><Relationship Id="rId493" Type="http://schemas.openxmlformats.org/officeDocument/2006/relationships/hyperlink" Target="https://www.london.anglican.org/directory/sarah-wall-2/" TargetMode="External"/><Relationship Id="rId507" Type="http://schemas.openxmlformats.org/officeDocument/2006/relationships/hyperlink" Target="https://www.london.anglican.org/directory/ann-dwulit/" TargetMode="External"/><Relationship Id="rId528" Type="http://schemas.openxmlformats.org/officeDocument/2006/relationships/hyperlink" Target="https://www.london.anglican.org/directory/tom-pyke/" TargetMode="External"/><Relationship Id="rId549" Type="http://schemas.openxmlformats.org/officeDocument/2006/relationships/hyperlink" Target="https://www.london.anglican.org/directory/erin-clark/" TargetMode="External"/><Relationship Id="rId50" Type="http://schemas.openxmlformats.org/officeDocument/2006/relationships/hyperlink" Target="https://www.london.anglican.org/directory/london-metropolitan-university-chaplaincy/" TargetMode="External"/><Relationship Id="rId104" Type="http://schemas.openxmlformats.org/officeDocument/2006/relationships/hyperlink" Target="https://www.london.anglican.org/directory/st-dunstan-all-saints-stepney/" TargetMode="External"/><Relationship Id="rId125" Type="http://schemas.openxmlformats.org/officeDocument/2006/relationships/hyperlink" Target="https://www.london.anglican.org/directory/st-peters-cofe-primary-school/" TargetMode="External"/><Relationship Id="rId146" Type="http://schemas.openxmlformats.org/officeDocument/2006/relationships/hyperlink" Target="https://www.stjohnshoxton.org.uk/" TargetMode="External"/><Relationship Id="rId167" Type="http://schemas.openxmlformats.org/officeDocument/2006/relationships/hyperlink" Target="https://www.cityymca.org/" TargetMode="External"/><Relationship Id="rId188" Type="http://schemas.openxmlformats.org/officeDocument/2006/relationships/hyperlink" Target="https://www.tollingtonparish.org.uk/" TargetMode="External"/><Relationship Id="rId311" Type="http://schemas.openxmlformats.org/officeDocument/2006/relationships/hyperlink" Target="=IFERROR(VLOOKUP($C78,%20DataFromWikipedia!A:T,%2017,%20FALSE),%20%22%22)" TargetMode="External"/><Relationship Id="rId332" Type="http://schemas.openxmlformats.org/officeDocument/2006/relationships/hyperlink" Target="=IFERROR(VLOOKUP($C100,%20DataFromWikipedia!A:T,%2017,%20FALSE),%20%22%22)" TargetMode="External"/><Relationship Id="rId353" Type="http://schemas.openxmlformats.org/officeDocument/2006/relationships/hyperlink" Target="=IFERROR(VLOOKUP($C121,%20DataFromWikipedia!A:T,%2017,%20FALSE),%20%22%22)" TargetMode="External"/><Relationship Id="rId374" Type="http://schemas.openxmlformats.org/officeDocument/2006/relationships/hyperlink" Target="https://en.wikipedia.org/wiki/Upper_Clapton" TargetMode="External"/><Relationship Id="rId395" Type="http://schemas.openxmlformats.org/officeDocument/2006/relationships/hyperlink" Target="https://en.wikipedia.org/wiki/Islington" TargetMode="External"/><Relationship Id="rId409" Type="http://schemas.openxmlformats.org/officeDocument/2006/relationships/hyperlink" Target="https://en.wikipedia.org/wiki/Bethnal_Green" TargetMode="External"/><Relationship Id="rId560" Type="http://schemas.openxmlformats.org/officeDocument/2006/relationships/hyperlink" Target="https://www.london.anglican.org/directory/elizabeth-dickson/" TargetMode="External"/><Relationship Id="rId581" Type="http://schemas.openxmlformats.org/officeDocument/2006/relationships/hyperlink" Target="https://www.crockford.org.uk/places/13030/the-benefice-of-stoke-newington-(st-mary)-(old-parish-church)" TargetMode="External"/><Relationship Id="rId71" Type="http://schemas.openxmlformats.org/officeDocument/2006/relationships/hyperlink" Target="https://www.london.anglican.org/directory/st-marks-cofe-primary-school/" TargetMode="External"/><Relationship Id="rId92" Type="http://schemas.openxmlformats.org/officeDocument/2006/relationships/hyperlink" Target="https://www.london.anglican.org/directory/christ-church-isle-of-dogs/" TargetMode="External"/><Relationship Id="rId213" Type="http://schemas.openxmlformats.org/officeDocument/2006/relationships/hyperlink" Target="http://www.stgeorgeintheeast.org/" TargetMode="External"/><Relationship Id="rId234" Type="http://schemas.openxmlformats.org/officeDocument/2006/relationships/hyperlink" Target="http://www.stepneygreencoat.towerhamlets.sch.uk/" TargetMode="External"/><Relationship Id="rId420" Type="http://schemas.openxmlformats.org/officeDocument/2006/relationships/hyperlink" Target="https://en.wikipedia.org/wiki/Bethnal_Green" TargetMode="External"/><Relationship Id="rId616" Type="http://schemas.openxmlformats.org/officeDocument/2006/relationships/hyperlink" Target="https://www.crockford.org.uk/places/12946/the-benefice-of-st-george-in-the-east-with-st-paul" TargetMode="External"/><Relationship Id="rId2" Type="http://schemas.openxmlformats.org/officeDocument/2006/relationships/hyperlink" Target="https://www.london.anglican.org/directory/all-saints-haggerston/" TargetMode="External"/><Relationship Id="rId29" Type="http://schemas.openxmlformats.org/officeDocument/2006/relationships/hyperlink" Target="https://www.london.anglican.org/directory/st-mary-stoke-newington/" TargetMode="External"/><Relationship Id="rId255" Type="http://schemas.openxmlformats.org/officeDocument/2006/relationships/hyperlink" Target="=IFERROR(VLOOKUP($C21,%20DataFromWikipedia!A:T,%2017,%20FALSE),%20%22%22)" TargetMode="External"/><Relationship Id="rId276" Type="http://schemas.openxmlformats.org/officeDocument/2006/relationships/hyperlink" Target="=IFERROR(VLOOKUP($C42,%20DataFromWikipedia!A:T,%2017,%20FALSE),%20%22%22)" TargetMode="External"/><Relationship Id="rId297" Type="http://schemas.openxmlformats.org/officeDocument/2006/relationships/hyperlink" Target="=IFERROR(VLOOKUP($C64,%20DataFromWikipedia!A:T,%2017,%20FALSE),%20%22%22)" TargetMode="External"/><Relationship Id="rId441" Type="http://schemas.openxmlformats.org/officeDocument/2006/relationships/hyperlink" Target="https://en.wikipedia.org/wiki/St_James-the-Less,_Bethnal_Green" TargetMode="External"/><Relationship Id="rId462" Type="http://schemas.openxmlformats.org/officeDocument/2006/relationships/hyperlink" Target="https://www.london.anglican.org/directory/rosemia-brown/" TargetMode="External"/><Relationship Id="rId483" Type="http://schemas.openxmlformats.org/officeDocument/2006/relationships/hyperlink" Target="https://www.london.anglican.org/directory/julia-porter-pryce/" TargetMode="External"/><Relationship Id="rId518" Type="http://schemas.openxmlformats.org/officeDocument/2006/relationships/hyperlink" Target="https://www.london.anglican.org/directory/stephen-coles/" TargetMode="External"/><Relationship Id="rId539" Type="http://schemas.openxmlformats.org/officeDocument/2006/relationships/hyperlink" Target="https://www.london.anglican.org/directory/trevor-critchlow/" TargetMode="External"/><Relationship Id="rId40" Type="http://schemas.openxmlformats.org/officeDocument/2006/relationships/hyperlink" Target="https://www.london.anglican.org/directory/st-thomas-clapton-common/" TargetMode="External"/><Relationship Id="rId115" Type="http://schemas.openxmlformats.org/officeDocument/2006/relationships/hyperlink" Target="https://www.london.anglican.org/directory/st-matthias-cofe-primary-school/" TargetMode="External"/><Relationship Id="rId136" Type="http://schemas.openxmlformats.org/officeDocument/2006/relationships/hyperlink" Target="https://www.stsaviourspriory.org.uk/" TargetMode="External"/><Relationship Id="rId157" Type="http://schemas.openxmlformats.org/officeDocument/2006/relationships/hyperlink" Target="https://www.stmichaelslondonfields.org.uk/" TargetMode="External"/><Relationship Id="rId178" Type="http://schemas.openxmlformats.org/officeDocument/2006/relationships/hyperlink" Target="http://inspiresaintjames.org/" TargetMode="External"/><Relationship Id="rId301" Type="http://schemas.openxmlformats.org/officeDocument/2006/relationships/hyperlink" Target="=IFERROR(VLOOKUP($C68,%20DataFromWikipedia!A:T,%2017,%20FALSE),%20%22%22)" TargetMode="External"/><Relationship Id="rId322" Type="http://schemas.openxmlformats.org/officeDocument/2006/relationships/hyperlink" Target="=IFERROR(VLOOKUP($C90,%20DataFromWikipedia!A:T,%2017,%20FALSE),%20%22%22)" TargetMode="External"/><Relationship Id="rId343" Type="http://schemas.openxmlformats.org/officeDocument/2006/relationships/hyperlink" Target="=IFERROR(VLOOKUP($C111,%20DataFromWikipedia!A:T,%2017,%20FALSE),%20%22%22)" TargetMode="External"/><Relationship Id="rId364" Type="http://schemas.openxmlformats.org/officeDocument/2006/relationships/hyperlink" Target="=IFERROR(VLOOKUP($C132,%20DataFromWikipedia!A:T,%2017,%20FALSE),%20%22%22)" TargetMode="External"/><Relationship Id="rId550" Type="http://schemas.openxmlformats.org/officeDocument/2006/relationships/hyperlink" Target="https://www.london.anglican.org/directory/sian-davies-4/" TargetMode="External"/><Relationship Id="rId61" Type="http://schemas.openxmlformats.org/officeDocument/2006/relationships/hyperlink" Target="https://www.london.anglican.org/directory/st-james-islington/" TargetMode="External"/><Relationship Id="rId82" Type="http://schemas.openxmlformats.org/officeDocument/2006/relationships/hyperlink" Target="https://www.london.anglican.org/directory/the-church-on-the-corner-the-barnsbury-team/" TargetMode="External"/><Relationship Id="rId199" Type="http://schemas.openxmlformats.org/officeDocument/2006/relationships/hyperlink" Target="https://www.trinityislington.org/" TargetMode="External"/><Relationship Id="rId203" Type="http://schemas.openxmlformats.org/officeDocument/2006/relationships/hyperlink" Target="http://www.parishiod.org.uk/" TargetMode="External"/><Relationship Id="rId385" Type="http://schemas.openxmlformats.org/officeDocument/2006/relationships/hyperlink" Target="https://en.wikipedia.org/wiki/West_Hackney" TargetMode="External"/><Relationship Id="rId571" Type="http://schemas.openxmlformats.org/officeDocument/2006/relationships/hyperlink" Target="https://www.crockford.org.uk/places/12627/the-benefice-of-hackney-marsh-(all-souls)" TargetMode="External"/><Relationship Id="rId592" Type="http://schemas.openxmlformats.org/officeDocument/2006/relationships/hyperlink" Target="https://www.crockford.org.uk/places/12530/the-benefice-of-clerkenwell-(our-most-holy-redeemer)" TargetMode="External"/><Relationship Id="rId606" Type="http://schemas.openxmlformats.org/officeDocument/2006/relationships/hyperlink" Target="https://www.crockford.org.uk/places/12911/the-benefice-of-pentonville-(st-silas-with-all-saints)-(st-james)" TargetMode="External"/><Relationship Id="rId627" Type="http://schemas.openxmlformats.org/officeDocument/2006/relationships/hyperlink" Target="https://www.crockford.org.uk/places/12828/the-benefice-of-london-docks-(st-peter)-with-wapping-st-john" TargetMode="External"/><Relationship Id="rId19" Type="http://schemas.openxmlformats.org/officeDocument/2006/relationships/hyperlink" Target="https://www.london.anglican.org/directory/st-john-and-st-james-cof-e-primary-school/" TargetMode="External"/><Relationship Id="rId224" Type="http://schemas.openxmlformats.org/officeDocument/2006/relationships/hyperlink" Target="http://www.stpauloldford.com/" TargetMode="External"/><Relationship Id="rId245" Type="http://schemas.openxmlformats.org/officeDocument/2006/relationships/hyperlink" Target="=IFERROR(VLOOKUP($C11,%20DataFromWikipedia!A:T,%2017,%20FALSE),%20%22%22)" TargetMode="External"/><Relationship Id="rId266" Type="http://schemas.openxmlformats.org/officeDocument/2006/relationships/hyperlink" Target="=IFERROR(VLOOKUP($C32,%20DataFromWikipedia!A:T,%2017,%20FALSE),%20%22%22)" TargetMode="External"/><Relationship Id="rId287" Type="http://schemas.openxmlformats.org/officeDocument/2006/relationships/hyperlink" Target="=IFERROR(VLOOKUP($C54,%20DataFromWikipedia!A:T,%2017,%20FALSE),%20%22%22)" TargetMode="External"/><Relationship Id="rId410" Type="http://schemas.openxmlformats.org/officeDocument/2006/relationships/hyperlink" Target="https://en.wikipedia.org/wiki/Stepney" TargetMode="External"/><Relationship Id="rId431" Type="http://schemas.openxmlformats.org/officeDocument/2006/relationships/hyperlink" Target="https://en.wikipedia.org/wiki/Our_Most_Holy_Redeemer" TargetMode="External"/><Relationship Id="rId452" Type="http://schemas.openxmlformats.org/officeDocument/2006/relationships/hyperlink" Target="https://www.london.anglican.org/directory/sian-davies/" TargetMode="External"/><Relationship Id="rId473" Type="http://schemas.openxmlformats.org/officeDocument/2006/relationships/hyperlink" Target="https://www.london.anglican.org/directory/dilly-baker/" TargetMode="External"/><Relationship Id="rId494" Type="http://schemas.openxmlformats.org/officeDocument/2006/relationships/hyperlink" Target="https://www.london.anglican.org/directory/steve-clarke/" TargetMode="External"/><Relationship Id="rId508" Type="http://schemas.openxmlformats.org/officeDocument/2006/relationships/hyperlink" Target="https://www.london.anglican.org/directory/christopher-trundle/" TargetMode="External"/><Relationship Id="rId529" Type="http://schemas.openxmlformats.org/officeDocument/2006/relationships/hyperlink" Target="https://www.london.anglican.org/directory/julian-morant/" TargetMode="External"/><Relationship Id="rId30" Type="http://schemas.openxmlformats.org/officeDocument/2006/relationships/hyperlink" Target="https://www.london.anglican.org/directory/st-marys-cofe-primary-school/" TargetMode="External"/><Relationship Id="rId105" Type="http://schemas.openxmlformats.org/officeDocument/2006/relationships/hyperlink" Target="https://www.london.anglican.org/directory/st-george-in-the-east/" TargetMode="External"/><Relationship Id="rId126" Type="http://schemas.openxmlformats.org/officeDocument/2006/relationships/hyperlink" Target="https://www.london.anglican.org/directory/st-saviours-cofe-primary-school/" TargetMode="External"/><Relationship Id="rId147" Type="http://schemas.openxmlformats.org/officeDocument/2006/relationships/hyperlink" Target="https://www.sjebp.com/" TargetMode="External"/><Relationship Id="rId168" Type="http://schemas.openxmlformats.org/officeDocument/2006/relationships/hyperlink" Target="http://www.clerkenwellprimary.org/" TargetMode="External"/><Relationship Id="rId312" Type="http://schemas.openxmlformats.org/officeDocument/2006/relationships/hyperlink" Target="=IFERROR(VLOOKUP($C79,%20DataFromWikipedia!A:T,%2017,%20FALSE),%20%22%22)" TargetMode="External"/><Relationship Id="rId333" Type="http://schemas.openxmlformats.org/officeDocument/2006/relationships/hyperlink" Target="=IFERROR(VLOOKUP($C101,%20DataFromWikipedia!A:T,%2017,%20FALSE),%20%22%22)" TargetMode="External"/><Relationship Id="rId354" Type="http://schemas.openxmlformats.org/officeDocument/2006/relationships/hyperlink" Target="=IFERROR(VLOOKUP($C122,%20DataFromWikipedia!A:T,%2017,%20FALSE),%20%22%22)" TargetMode="External"/><Relationship Id="rId540" Type="http://schemas.openxmlformats.org/officeDocument/2006/relationships/hyperlink" Target="https://www.london.anglican.org/directory/richard-springer/" TargetMode="External"/><Relationship Id="rId51" Type="http://schemas.openxmlformats.org/officeDocument/2006/relationships/hyperlink" Target="https://www.london.anglican.org/directory/moorfields-eye-hospital/" TargetMode="External"/><Relationship Id="rId72" Type="http://schemas.openxmlformats.org/officeDocument/2006/relationships/hyperlink" Target="https://www.london.anglican.org/directory/st-mary-hornsey-rise/" TargetMode="External"/><Relationship Id="rId93" Type="http://schemas.openxmlformats.org/officeDocument/2006/relationships/hyperlink" Target="https://www.london.anglican.org/directory/christ-church-spitalfields/" TargetMode="External"/><Relationship Id="rId189" Type="http://schemas.openxmlformats.org/officeDocument/2006/relationships/hyperlink" Target="http://www.st-marks.islington.sch.uk/" TargetMode="External"/><Relationship Id="rId375" Type="http://schemas.openxmlformats.org/officeDocument/2006/relationships/hyperlink" Target="https://en.wikipedia.org/wiki/South_Hackney" TargetMode="External"/><Relationship Id="rId396" Type="http://schemas.openxmlformats.org/officeDocument/2006/relationships/hyperlink" Target="https://en.wikipedia.org/wiki/Upper_Holloway" TargetMode="External"/><Relationship Id="rId561" Type="http://schemas.openxmlformats.org/officeDocument/2006/relationships/hyperlink" Target="https://www.london.anglican.org/directory/fanoula-smith/" TargetMode="External"/><Relationship Id="rId582" Type="http://schemas.openxmlformats.org/officeDocument/2006/relationships/hyperlink" Target="https://www.crockford.org.uk/places/13070/the-benefice-of-clapton,-upper-(st-matthew)" TargetMode="External"/><Relationship Id="rId617" Type="http://schemas.openxmlformats.org/officeDocument/2006/relationships/hyperlink" Target="https://www.crockford.org.uk/places/12476/the-benefice-of-bethnal-green-(st-james-the-less)" TargetMode="External"/><Relationship Id="rId3" Type="http://schemas.openxmlformats.org/officeDocument/2006/relationships/hyperlink" Target="https://www.london.anglican.org/directory/all-souls-clapton-park-hackney-marsh-team-ministry/" TargetMode="External"/><Relationship Id="rId214" Type="http://schemas.openxmlformats.org/officeDocument/2006/relationships/hyperlink" Target="http://stjamesthelessbg.org.uk/" TargetMode="External"/><Relationship Id="rId235" Type="http://schemas.openxmlformats.org/officeDocument/2006/relationships/hyperlink" Target="https://www.rfsk.org.uk/" TargetMode="External"/><Relationship Id="rId256" Type="http://schemas.openxmlformats.org/officeDocument/2006/relationships/hyperlink" Target="=IFERROR(VLOOKUP($C22,%20DataFromWikipedia!A:T,%2017,%20FALSE),%20%22%22)" TargetMode="External"/><Relationship Id="rId277" Type="http://schemas.openxmlformats.org/officeDocument/2006/relationships/hyperlink" Target="=IFERROR(VLOOKUP($C44,%20DataFromWikipedia!A:T,%2017,%20FALSE),%20%22%22)" TargetMode="External"/><Relationship Id="rId298" Type="http://schemas.openxmlformats.org/officeDocument/2006/relationships/hyperlink" Target="=IFERROR(VLOOKUP($C65,%20DataFromWikipedia!A:T,%2017,%20FALSE),%20%22%22)" TargetMode="External"/><Relationship Id="rId400" Type="http://schemas.openxmlformats.org/officeDocument/2006/relationships/hyperlink" Target="https://en.wikipedia.org/wiki/Tollington_(ward)" TargetMode="External"/><Relationship Id="rId421" Type="http://schemas.openxmlformats.org/officeDocument/2006/relationships/hyperlink" Target="https://en.wikipedia.org/wiki/London_Docks" TargetMode="External"/><Relationship Id="rId442" Type="http://schemas.openxmlformats.org/officeDocument/2006/relationships/hyperlink" Target="https://en.wikipedia.org/wiki/St_John_on_Bethnal_Green" TargetMode="External"/><Relationship Id="rId463" Type="http://schemas.openxmlformats.org/officeDocument/2006/relationships/hyperlink" Target="https://www.london.anglican.org/directory/sian-davies-2/" TargetMode="External"/><Relationship Id="rId484" Type="http://schemas.openxmlformats.org/officeDocument/2006/relationships/hyperlink" Target="https://www.london.anglican.org/directory/william-campbell-taylor/" TargetMode="External"/><Relationship Id="rId519" Type="http://schemas.openxmlformats.org/officeDocument/2006/relationships/hyperlink" Target="https://www.london.anglican.org/directory/robin-isherwood/" TargetMode="External"/><Relationship Id="rId116" Type="http://schemas.openxmlformats.org/officeDocument/2006/relationships/hyperlink" Target="https://www.london.anglican.org/directory/st-nicholas-aberfeldy-poplar-team-ministry/" TargetMode="External"/><Relationship Id="rId137" Type="http://schemas.openxmlformats.org/officeDocument/2006/relationships/hyperlink" Target="http://www.standrewsn16.org/" TargetMode="External"/><Relationship Id="rId158" Type="http://schemas.openxmlformats.org/officeDocument/2006/relationships/hyperlink" Target="http://www.stolaveschurch.co.uk/" TargetMode="External"/><Relationship Id="rId302" Type="http://schemas.openxmlformats.org/officeDocument/2006/relationships/hyperlink" Target="=IFERROR(VLOOKUP($C69,%20DataFromWikipedia!A:T,%2017,%20FALSE),%20%22%22)" TargetMode="External"/><Relationship Id="rId323" Type="http://schemas.openxmlformats.org/officeDocument/2006/relationships/hyperlink" Target="=IFERROR(VLOOKUP($C91,%20DataFromWikipedia!A:T,%2017,%20FALSE),%20%22%22)" TargetMode="External"/><Relationship Id="rId344" Type="http://schemas.openxmlformats.org/officeDocument/2006/relationships/hyperlink" Target="=IFERROR(VLOOKUP($C112,%20DataFromWikipedia!A:T,%2017,%20FALSE),%20%22%22)" TargetMode="External"/><Relationship Id="rId530" Type="http://schemas.openxmlformats.org/officeDocument/2006/relationships/hyperlink" Target="https://www.london.anglican.org/directory/tom-pyke/" TargetMode="External"/><Relationship Id="rId20" Type="http://schemas.openxmlformats.org/officeDocument/2006/relationships/hyperlink" Target="https://www.london.anglican.org/directory/st-john-of-jerusalem-cofe-primary-school/" TargetMode="External"/><Relationship Id="rId41" Type="http://schemas.openxmlformats.org/officeDocument/2006/relationships/hyperlink" Target="https://www.london.anglican.org/directory/the-urswick-school-a-church-of-england-secondary-school/" TargetMode="External"/><Relationship Id="rId62" Type="http://schemas.openxmlformats.org/officeDocument/2006/relationships/hyperlink" Target="https://www.london.anglican.org/directory/st-john-the-evangelist-upper-holloway/" TargetMode="External"/><Relationship Id="rId83" Type="http://schemas.openxmlformats.org/officeDocument/2006/relationships/hyperlink" Target="https://www.london.anglican.org/directory/the-priory-church-of-st-john/" TargetMode="External"/><Relationship Id="rId179" Type="http://schemas.openxmlformats.org/officeDocument/2006/relationships/hyperlink" Target="https://www.stjamesislington.org/" TargetMode="External"/><Relationship Id="rId365" Type="http://schemas.openxmlformats.org/officeDocument/2006/relationships/hyperlink" Target="=IFERROR(VLOOKUP($C133,%20DataFromWikipedia!A:T,%2017,%20FALSE),%20%22%22)" TargetMode="External"/><Relationship Id="rId386" Type="http://schemas.openxmlformats.org/officeDocument/2006/relationships/hyperlink" Target="https://en.wikipedia.org/wiki/De_Beauvoir_Town" TargetMode="External"/><Relationship Id="rId551" Type="http://schemas.openxmlformats.org/officeDocument/2006/relationships/hyperlink" Target="https://www.london.anglican.org/directory/matt-wall/" TargetMode="External"/><Relationship Id="rId572" Type="http://schemas.openxmlformats.org/officeDocument/2006/relationships/hyperlink" Target="https://www.crockford.org.uk/places/13018/the-benefice-of-stamford-hill-(st-bartholomew)" TargetMode="External"/><Relationship Id="rId593" Type="http://schemas.openxmlformats.org/officeDocument/2006/relationships/hyperlink" Target="https://www.crockford.org.uk/places/13123/the-benefice-of-whitehall-park-(st-andrew)" TargetMode="External"/><Relationship Id="rId607" Type="http://schemas.openxmlformats.org/officeDocument/2006/relationships/hyperlink" Target="https://www.crockford.org.uk/places/12509/the-benefice-of-canonbury-(st-stephen)" TargetMode="External"/><Relationship Id="rId628" Type="http://schemas.openxmlformats.org/officeDocument/2006/relationships/hyperlink" Target="https://www.crockford.org.uk/places/12794/the-benefice-of-limehouse-(st-anne)-(st-peter)" TargetMode="External"/><Relationship Id="rId190" Type="http://schemas.openxmlformats.org/officeDocument/2006/relationships/hyperlink" Target="http://www.stmaryshornseyrise.org.uk/" TargetMode="External"/><Relationship Id="rId204" Type="http://schemas.openxmlformats.org/officeDocument/2006/relationships/hyperlink" Target="http://www.christchurchprimarybricklane.org/" TargetMode="External"/><Relationship Id="rId225" Type="http://schemas.openxmlformats.org/officeDocument/2006/relationships/hyperlink" Target="http://www.stpaulsbowcommon.org.uk/" TargetMode="External"/><Relationship Id="rId246" Type="http://schemas.openxmlformats.org/officeDocument/2006/relationships/hyperlink" Target="=IFERROR(VLOOKUP($C12,%20DataFromWikipedia!A:T,%2017,%20FALSE),%20%22%22)" TargetMode="External"/><Relationship Id="rId267" Type="http://schemas.openxmlformats.org/officeDocument/2006/relationships/hyperlink" Target="=IFERROR(VLOOKUP($C33,%20DataFromWikipedia!A:T,%2017,%20FALSE),%20%22%22)" TargetMode="External"/><Relationship Id="rId288" Type="http://schemas.openxmlformats.org/officeDocument/2006/relationships/hyperlink" Target="=IFERROR(VLOOKUP($C55,%20DataFromWikipedia!A:T,%2017,%20FALSE),%20%22%22)" TargetMode="External"/><Relationship Id="rId411" Type="http://schemas.openxmlformats.org/officeDocument/2006/relationships/hyperlink" Target="https://en.wikipedia.org/wiki/Bethnal_Green" TargetMode="External"/><Relationship Id="rId432" Type="http://schemas.openxmlformats.org/officeDocument/2006/relationships/hyperlink" Target="https://en.wikipedia.org/wiki/St_Clement%27s,_King_Square" TargetMode="External"/><Relationship Id="rId453" Type="http://schemas.openxmlformats.org/officeDocument/2006/relationships/hyperlink" Target="https://www.london.anglican.org/directory/laura-fawcett/" TargetMode="External"/><Relationship Id="rId474" Type="http://schemas.openxmlformats.org/officeDocument/2006/relationships/hyperlink" Target="https://www.london.anglican.org/directory/jane-obrien/" TargetMode="External"/><Relationship Id="rId509" Type="http://schemas.openxmlformats.org/officeDocument/2006/relationships/hyperlink" Target="https://www.london.anglican.org/directory/trevor-golding/" TargetMode="External"/><Relationship Id="rId106" Type="http://schemas.openxmlformats.org/officeDocument/2006/relationships/hyperlink" Target="https://www.london.anglican.org/directory/st-james-the-less-bethnal-green/" TargetMode="External"/><Relationship Id="rId127" Type="http://schemas.openxmlformats.org/officeDocument/2006/relationships/hyperlink" Target="https://www.london.anglican.org/directory/stepney-greencoat-cofe-primary-school/" TargetMode="External"/><Relationship Id="rId313" Type="http://schemas.openxmlformats.org/officeDocument/2006/relationships/hyperlink" Target="=IFERROR(VLOOKUP($C80,%20DataFromWikipedia!A:T,%2017,%20FALSE),%20%22%22)" TargetMode="External"/><Relationship Id="rId495" Type="http://schemas.openxmlformats.org/officeDocument/2006/relationships/hyperlink" Target="https://www.london.anglican.org/directory/felicity-djerehe/" TargetMode="External"/><Relationship Id="rId10" Type="http://schemas.openxmlformats.org/officeDocument/2006/relationships/hyperlink" Target="https://www.london.anglican.org/directory/homerton-university-hospital-nhs-foundation/" TargetMode="External"/><Relationship Id="rId31" Type="http://schemas.openxmlformats.org/officeDocument/2006/relationships/hyperlink" Target="https://www.london.anglican.org/directory/st-matthew-upper-clapton/" TargetMode="External"/><Relationship Id="rId52" Type="http://schemas.openxmlformats.org/officeDocument/2006/relationships/hyperlink" Target="https://www.london.anglican.org/directory/nags-head-church-community/" TargetMode="External"/><Relationship Id="rId73" Type="http://schemas.openxmlformats.org/officeDocument/2006/relationships/hyperlink" Target="https://www.london.anglican.org/directory/st-mary-islington/" TargetMode="External"/><Relationship Id="rId94" Type="http://schemas.openxmlformats.org/officeDocument/2006/relationships/hyperlink" Target="https://www.london.anglican.org/directory/hms-president/" TargetMode="External"/><Relationship Id="rId148" Type="http://schemas.openxmlformats.org/officeDocument/2006/relationships/hyperlink" Target="https://www.stjh.org.uk/" TargetMode="External"/><Relationship Id="rId169" Type="http://schemas.openxmlformats.org/officeDocument/2006/relationships/hyperlink" Target="http://www.hopechurchislington.org/" TargetMode="External"/><Relationship Id="rId334" Type="http://schemas.openxmlformats.org/officeDocument/2006/relationships/hyperlink" Target="=IFERROR(VLOOKUP($C102,%20DataFromWikipedia!A:T,%2017,%20FALSE),%20%22%22)" TargetMode="External"/><Relationship Id="rId355" Type="http://schemas.openxmlformats.org/officeDocument/2006/relationships/hyperlink" Target="=IFERROR(VLOOKUP($C123,%20DataFromWikipedia!A:T,%2017,%20FALSE),%20%22%22)" TargetMode="External"/><Relationship Id="rId376" Type="http://schemas.openxmlformats.org/officeDocument/2006/relationships/hyperlink" Target="https://en.wikipedia.org/wiki/Hoxton" TargetMode="External"/><Relationship Id="rId397" Type="http://schemas.openxmlformats.org/officeDocument/2006/relationships/hyperlink" Target="https://en.wikipedia.org/wiki/Tollington_(ward)" TargetMode="External"/><Relationship Id="rId520" Type="http://schemas.openxmlformats.org/officeDocument/2006/relationships/hyperlink" Target="https://www.london.anglican.org/directory/mark-fletcher/" TargetMode="External"/><Relationship Id="rId541" Type="http://schemas.openxmlformats.org/officeDocument/2006/relationships/hyperlink" Target="https://www.london.anglican.org/directory/chris-newman-day/" TargetMode="External"/><Relationship Id="rId562" Type="http://schemas.openxmlformats.org/officeDocument/2006/relationships/hyperlink" Target="https://www.london.anglican.org/directory/emily-wright/" TargetMode="External"/><Relationship Id="rId583" Type="http://schemas.openxmlformats.org/officeDocument/2006/relationships/hyperlink" Target="https://www.crockford.org.uk/places/13029/the-benefice-of-stoke-newington-st-faith-(st-matthias)-and-all-saints" TargetMode="External"/><Relationship Id="rId618" Type="http://schemas.openxmlformats.org/officeDocument/2006/relationships/hyperlink" Target="https://www.crockford.org.uk/places/12479/the-benefice-of-st-john-on-bethnal-green" TargetMode="External"/><Relationship Id="rId4" Type="http://schemas.openxmlformats.org/officeDocument/2006/relationships/hyperlink" Target="https://www.london.anglican.org/directory/christchurch-on-the-mead-hackney-marsh-team-ministry/" TargetMode="External"/><Relationship Id="rId180" Type="http://schemas.openxmlformats.org/officeDocument/2006/relationships/hyperlink" Target="http://www.stjohnsupperholloway.church/" TargetMode="External"/><Relationship Id="rId215" Type="http://schemas.openxmlformats.org/officeDocument/2006/relationships/hyperlink" Target="https://www.stjohnonbethnalgreen.org/" TargetMode="External"/><Relationship Id="rId236" Type="http://schemas.openxmlformats.org/officeDocument/2006/relationships/hyperlink" Target="=IFERROR(VLOOKUP($C2,%20DataFromWikipedia!A:T,%2017,%20FALSE),%20%22%22)" TargetMode="External"/><Relationship Id="rId257" Type="http://schemas.openxmlformats.org/officeDocument/2006/relationships/hyperlink" Target="=IFERROR(VLOOKUP($C23,%20DataFromWikipedia!A:T,%2017,%20FALSE),%20%22%22)" TargetMode="External"/><Relationship Id="rId278" Type="http://schemas.openxmlformats.org/officeDocument/2006/relationships/hyperlink" Target="=IFERROR(VLOOKUP($C45,%20DataFromWikipedia!A:T,%2017,%20FALSE),%20%22%22)" TargetMode="External"/><Relationship Id="rId401" Type="http://schemas.openxmlformats.org/officeDocument/2006/relationships/hyperlink" Target="https://en.wikipedia.org/wiki/Pentonville" TargetMode="External"/><Relationship Id="rId422" Type="http://schemas.openxmlformats.org/officeDocument/2006/relationships/hyperlink" Target="https://en.wikipedia.org/wiki/Limehouse" TargetMode="External"/><Relationship Id="rId443" Type="http://schemas.openxmlformats.org/officeDocument/2006/relationships/hyperlink" Target="https://en.wikipedia.org/wiki/Bow_Church" TargetMode="External"/><Relationship Id="rId464" Type="http://schemas.openxmlformats.org/officeDocument/2006/relationships/hyperlink" Target="https://www.london.anglican.org/directory/asarena-simon/" TargetMode="External"/><Relationship Id="rId303" Type="http://schemas.openxmlformats.org/officeDocument/2006/relationships/hyperlink" Target="=IFERROR(VLOOKUP($C70,%20DataFromWikipedia!A:T,%2017,%20FALSE),%20%22%22)" TargetMode="External"/><Relationship Id="rId485" Type="http://schemas.openxmlformats.org/officeDocument/2006/relationships/hyperlink" Target="https://www.london.anglican.org/directory/richard-brown/" TargetMode="External"/><Relationship Id="rId42" Type="http://schemas.openxmlformats.org/officeDocument/2006/relationships/hyperlink" Target="https://www.london.anglican.org/directory/all-saints-caledonian-road-the-barnsbury-team/" TargetMode="External"/><Relationship Id="rId84" Type="http://schemas.openxmlformats.org/officeDocument/2006/relationships/hyperlink" Target="https://www.london.anglican.org/directory/the-whittington-hospital/" TargetMode="External"/><Relationship Id="rId138" Type="http://schemas.openxmlformats.org/officeDocument/2006/relationships/hyperlink" Target="http://www.hoxtonchurch.org.uk/" TargetMode="External"/><Relationship Id="rId345" Type="http://schemas.openxmlformats.org/officeDocument/2006/relationships/hyperlink" Target="=IFERROR(VLOOKUP($C113,%20DataFromWikipedia!A:T,%2017,%20FALSE),%20%22%22)" TargetMode="External"/><Relationship Id="rId387" Type="http://schemas.openxmlformats.org/officeDocument/2006/relationships/hyperlink" Target="https://en.wikipedia.org/wiki/Stamford_Hill" TargetMode="External"/><Relationship Id="rId510" Type="http://schemas.openxmlformats.org/officeDocument/2006/relationships/hyperlink" Target="https://www.london.anglican.org/directory/martha-braithwaite/" TargetMode="External"/><Relationship Id="rId552" Type="http://schemas.openxmlformats.org/officeDocument/2006/relationships/hyperlink" Target="https://www.london.anglican.org/directory/james-hughesdon/" TargetMode="External"/><Relationship Id="rId594" Type="http://schemas.openxmlformats.org/officeDocument/2006/relationships/hyperlink" Target="https://www.crockford.org.uk/places/12698/the-benefice-of-highbury-new-park-(st-augustine)" TargetMode="External"/><Relationship Id="rId608" Type="http://schemas.openxmlformats.org/officeDocument/2006/relationships/hyperlink" Target="https://www.crockford.org.uk/places/12593/the-benefice-of-finsbury-park-(st-thomas)" TargetMode="External"/><Relationship Id="rId191" Type="http://schemas.openxmlformats.org/officeDocument/2006/relationships/hyperlink" Target="https://www.stmaryislington.org/" TargetMode="External"/><Relationship Id="rId205" Type="http://schemas.openxmlformats.org/officeDocument/2006/relationships/hyperlink" Target="https://www.parishiod.org.uk/" TargetMode="External"/><Relationship Id="rId247" Type="http://schemas.openxmlformats.org/officeDocument/2006/relationships/hyperlink" Target="=IFERROR(VLOOKUP($C13,%20DataFromWikipedia!A:T,%2017,%20FALSE),%20%22%22)" TargetMode="External"/><Relationship Id="rId412" Type="http://schemas.openxmlformats.org/officeDocument/2006/relationships/hyperlink" Target="https://en.wikipedia.org/wiki/St_John_on_Bethnal_Green" TargetMode="External"/><Relationship Id="rId107" Type="http://schemas.openxmlformats.org/officeDocument/2006/relationships/hyperlink" Target="https://www.london.anglican.org/directory/st-john-on-bethnal-green/" TargetMode="External"/><Relationship Id="rId289" Type="http://schemas.openxmlformats.org/officeDocument/2006/relationships/hyperlink" Target="=IFERROR(VLOOKUP($C56,%20DataFromWikipedia!A:T,%2017,%20FALSE),%20%22%22)" TargetMode="External"/><Relationship Id="rId454" Type="http://schemas.openxmlformats.org/officeDocument/2006/relationships/hyperlink" Target="https://www.london.anglican.org/directory/andrew-newcombe/" TargetMode="External"/><Relationship Id="rId496" Type="http://schemas.openxmlformats.org/officeDocument/2006/relationships/hyperlink" Target="https://www.london.anglican.org/directory/gabriel-anstis/" TargetMode="External"/><Relationship Id="rId11" Type="http://schemas.openxmlformats.org/officeDocument/2006/relationships/hyperlink" Target="https://www.london.anglican.org/directory/sisters-of-the-society-of-st-margaret/" TargetMode="External"/><Relationship Id="rId53" Type="http://schemas.openxmlformats.org/officeDocument/2006/relationships/hyperlink" Target="https://www.london.anglican.org/directory/our-most-holy-redeemer-clerkenwell/" TargetMode="External"/><Relationship Id="rId149" Type="http://schemas.openxmlformats.org/officeDocument/2006/relationships/hyperlink" Target="http://www.shoreditchchurch.org.uk/" TargetMode="External"/><Relationship Id="rId314" Type="http://schemas.openxmlformats.org/officeDocument/2006/relationships/hyperlink" Target="=IFERROR(VLOOKUP($C81,%20DataFromWikipedia!A:T,%2017,%20FALSE),%20%22%22)" TargetMode="External"/><Relationship Id="rId356" Type="http://schemas.openxmlformats.org/officeDocument/2006/relationships/hyperlink" Target="=IFERROR(VLOOKUP($C124,%20DataFromWikipedia!A:T,%2017,%20FALSE),%20%22%22)" TargetMode="External"/><Relationship Id="rId398" Type="http://schemas.openxmlformats.org/officeDocument/2006/relationships/hyperlink" Target="https://en.wikipedia.org/wiki/Hornsey" TargetMode="External"/><Relationship Id="rId521" Type="http://schemas.openxmlformats.org/officeDocument/2006/relationships/hyperlink" Target="https://www.london.anglican.org/directory/the-dean/" TargetMode="External"/><Relationship Id="rId563" Type="http://schemas.openxmlformats.org/officeDocument/2006/relationships/hyperlink" Target="https://www.london.anglican.org/directory/tasha-critchlow/" TargetMode="External"/><Relationship Id="rId619" Type="http://schemas.openxmlformats.org/officeDocument/2006/relationships/hyperlink" Target="https://www.crockford.org.uk/places/12743/the-benefice-of-isle-of-dogs-(christ-church-and-st-john)-(st-luke)" TargetMode="External"/><Relationship Id="rId95" Type="http://schemas.openxmlformats.org/officeDocument/2006/relationships/hyperlink" Target="https://www.london.anglican.org/directory/london-metropolitan-university/" TargetMode="External"/><Relationship Id="rId160" Type="http://schemas.openxmlformats.org/officeDocument/2006/relationships/hyperlink" Target="http://www.spsm.hackney.sch.uk/" TargetMode="External"/><Relationship Id="rId216" Type="http://schemas.openxmlformats.org/officeDocument/2006/relationships/hyperlink" Target="http://www.st-johns.towerhamlets.sch.uk/" TargetMode="External"/><Relationship Id="rId423" Type="http://schemas.openxmlformats.org/officeDocument/2006/relationships/hyperlink" Target="=IFERROR(VLOOKUP(C131,%20DataFromWikipedia!A:T,%2018,%20FALSE),%20%22%22)" TargetMode="External"/><Relationship Id="rId258" Type="http://schemas.openxmlformats.org/officeDocument/2006/relationships/hyperlink" Target="=IFERROR(VLOOKUP($C24,%20DataFromWikipedia!A:T,%2017,%20FALSE),%20%22%22)" TargetMode="External"/><Relationship Id="rId465" Type="http://schemas.openxmlformats.org/officeDocument/2006/relationships/hyperlink" Target="https://www.london.anglican.org/directory/andrew-wilson/" TargetMode="External"/><Relationship Id="rId630" Type="http://schemas.openxmlformats.org/officeDocument/2006/relationships/hyperlink" Target="https://barnsburyparish.com/" TargetMode="External"/><Relationship Id="rId22" Type="http://schemas.openxmlformats.org/officeDocument/2006/relationships/hyperlink" Target="https://www.london.anglican.org/directory/st-john-the-baptist-cofe-primary-school/" TargetMode="External"/><Relationship Id="rId64" Type="http://schemas.openxmlformats.org/officeDocument/2006/relationships/hyperlink" Target="https://www.london.anglican.org/directory/st-johns-cofe-primary-school/" TargetMode="External"/><Relationship Id="rId118" Type="http://schemas.openxmlformats.org/officeDocument/2006/relationships/hyperlink" Target="https://www.london.anglican.org/directory/st-paul-bow-common/" TargetMode="External"/><Relationship Id="rId325" Type="http://schemas.openxmlformats.org/officeDocument/2006/relationships/hyperlink" Target="=IFERROR(VLOOKUP($C93,%20DataFromWikipedia!A:T,%2017,%20FALSE),%20%22%22)" TargetMode="External"/><Relationship Id="rId367" Type="http://schemas.openxmlformats.org/officeDocument/2006/relationships/hyperlink" Target="https://en.wikipedia.org/wiki/Dalston" TargetMode="External"/><Relationship Id="rId532" Type="http://schemas.openxmlformats.org/officeDocument/2006/relationships/hyperlink" Target="https://www.london.anglican.org/directory/tom-pyke/" TargetMode="External"/><Relationship Id="rId574" Type="http://schemas.openxmlformats.org/officeDocument/2006/relationships/hyperlink" Target="https://www.crockford.org.uk/places/12523/the-benefice-of-clapton-(st-james)" TargetMode="External"/><Relationship Id="rId171" Type="http://schemas.openxmlformats.org/officeDocument/2006/relationships/hyperlink" Target="http://www.holyredeemerclerkenwell.com/" TargetMode="External"/><Relationship Id="rId227" Type="http://schemas.openxmlformats.org/officeDocument/2006/relationships/hyperlink" Target="http://www.spsl.towerhamlets.sch.uk/" TargetMode="External"/><Relationship Id="rId269" Type="http://schemas.openxmlformats.org/officeDocument/2006/relationships/hyperlink" Target="=IFERROR(VLOOKUP($C35,%20DataFromWikipedia!A:T,%2017,%20FALSE),%20%22%22)" TargetMode="External"/><Relationship Id="rId434" Type="http://schemas.openxmlformats.org/officeDocument/2006/relationships/hyperlink" Target="https://en.wikipedia.org/wiki/St_James%27_Church,_Islington" TargetMode="External"/><Relationship Id="rId476" Type="http://schemas.openxmlformats.org/officeDocument/2006/relationships/hyperlink" Target="https://www.london.anglican.org/directory/sian-davies-4/" TargetMode="External"/><Relationship Id="rId33" Type="http://schemas.openxmlformats.org/officeDocument/2006/relationships/hyperlink" Target="https://www.london.anglican.org/directory/st-matthias-stoke-newington/" TargetMode="External"/><Relationship Id="rId129" Type="http://schemas.openxmlformats.org/officeDocument/2006/relationships/hyperlink" Target="https://www.london.anglican.org/directory/the-royal-london-hospital-barts-health-nhs-trust/" TargetMode="External"/><Relationship Id="rId280" Type="http://schemas.openxmlformats.org/officeDocument/2006/relationships/hyperlink" Target="=IFERROR(VLOOKUP($C47,%20DataFromWikipedia!A:T,%2017,%20FALSE),%20%22%22)" TargetMode="External"/><Relationship Id="rId336" Type="http://schemas.openxmlformats.org/officeDocument/2006/relationships/hyperlink" Target="=IFERROR(VLOOKUP($C104,%20DataFromWikipedia!A:T,%2017,%20FALSE),%20%22%22)" TargetMode="External"/><Relationship Id="rId501" Type="http://schemas.openxmlformats.org/officeDocument/2006/relationships/hyperlink" Target="https://www.london.anglican.org/directory/alan-comfort/" TargetMode="External"/><Relationship Id="rId543" Type="http://schemas.openxmlformats.org/officeDocument/2006/relationships/hyperlink" Target="https://www.london.anglican.org/directory/brian-welsh/" TargetMode="External"/><Relationship Id="rId75" Type="http://schemas.openxmlformats.org/officeDocument/2006/relationships/hyperlink" Target="https://www.london.anglican.org/directory/st-marys-cofe-primary-school/" TargetMode="External"/><Relationship Id="rId140" Type="http://schemas.openxmlformats.org/officeDocument/2006/relationships/hyperlink" Target="https://www.holybart.com/" TargetMode="External"/><Relationship Id="rId182" Type="http://schemas.openxmlformats.org/officeDocument/2006/relationships/hyperlink" Target="http://www.st-johns.towerhamlets.sch.uk/" TargetMode="External"/><Relationship Id="rId378" Type="http://schemas.openxmlformats.org/officeDocument/2006/relationships/hyperlink" Target="https://en.wikipedia.org/wiki/Dalston" TargetMode="External"/><Relationship Id="rId403" Type="http://schemas.openxmlformats.org/officeDocument/2006/relationships/hyperlink" Target="https://en.wikipedia.org/wiki/Finsbury_Park_(area)" TargetMode="External"/><Relationship Id="rId585" Type="http://schemas.openxmlformats.org/officeDocument/2006/relationships/hyperlink" Target="https://www.crockford.org.uk/places/13032/the-benefice-of-stoke-newington-common-(st-michael-and-all-angels)" TargetMode="External"/><Relationship Id="rId6" Type="http://schemas.openxmlformats.org/officeDocument/2006/relationships/hyperlink" Target="https://www.london.anglican.org/directory/holy-trinity-cofe-primary-school/" TargetMode="External"/><Relationship Id="rId238" Type="http://schemas.openxmlformats.org/officeDocument/2006/relationships/hyperlink" Target="=IFERROR(VLOOKUP($C4,%20DataFromWikipedia!A:T,%2017,%20FALSE),%20%22%22)" TargetMode="External"/><Relationship Id="rId445" Type="http://schemas.openxmlformats.org/officeDocument/2006/relationships/hyperlink" Target="https://en.wikipedia.org/wiki/St_Paul_Old_Ford" TargetMode="External"/><Relationship Id="rId487" Type="http://schemas.openxmlformats.org/officeDocument/2006/relationships/hyperlink" Target="https://www.london.anglican.org/directory/jules-soanes/" TargetMode="External"/><Relationship Id="rId610" Type="http://schemas.openxmlformats.org/officeDocument/2006/relationships/hyperlink" Target="https://www.crockford.org.uk/places/12496/the-benefice-of-bromley-by-bow-(all-hallows)" TargetMode="External"/><Relationship Id="rId291" Type="http://schemas.openxmlformats.org/officeDocument/2006/relationships/hyperlink" Target="=IFERROR(VLOOKUP($C58,%20DataFromWikipedia!A:T,%2017,%20FALSE),%20%22%22)" TargetMode="External"/><Relationship Id="rId305" Type="http://schemas.openxmlformats.org/officeDocument/2006/relationships/hyperlink" Target="=IFERROR(VLOOKUP($C72,%20DataFromWikipedia!A:T,%2017,%20FALSE),%20%22%22)" TargetMode="External"/><Relationship Id="rId347" Type="http://schemas.openxmlformats.org/officeDocument/2006/relationships/hyperlink" Target="=IFERROR(VLOOKUP($C115,%20DataFromWikipedia!A:T,%2017,%20FALSE),%20%22%22)" TargetMode="External"/><Relationship Id="rId512" Type="http://schemas.openxmlformats.org/officeDocument/2006/relationships/hyperlink" Target="https://www.london.anglican.org/directory/imogen-erskine/" TargetMode="External"/><Relationship Id="rId44" Type="http://schemas.openxmlformats.org/officeDocument/2006/relationships/hyperlink" Target="https://www.london.anglican.org/directory/city-university/" TargetMode="External"/><Relationship Id="rId86" Type="http://schemas.openxmlformats.org/officeDocument/2006/relationships/hyperlink" Target="https://www.london.anglican.org/directory/all-hallows-bromley-by-bow/" TargetMode="External"/><Relationship Id="rId151" Type="http://schemas.openxmlformats.org/officeDocument/2006/relationships/hyperlink" Target="http://www.stmaryofeton.org.uk/" TargetMode="External"/><Relationship Id="rId389" Type="http://schemas.openxmlformats.org/officeDocument/2006/relationships/hyperlink" Target="https://en.wikipedia.org/wiki/Tollington_(ward)" TargetMode="External"/><Relationship Id="rId554" Type="http://schemas.openxmlformats.org/officeDocument/2006/relationships/hyperlink" Target="https://www.london.anglican.org/directory/phil-williams/" TargetMode="External"/><Relationship Id="rId596" Type="http://schemas.openxmlformats.org/officeDocument/2006/relationships/hyperlink" Target="https://www.crockford.org.uk/places/13058/the-benefice-of-tufnell-park-(st-george-and-all-saints)" TargetMode="External"/><Relationship Id="rId193" Type="http://schemas.openxmlformats.org/officeDocument/2006/relationships/hyperlink" Target="http://www.stmarys.islington.sch.uk/" TargetMode="External"/><Relationship Id="rId207" Type="http://schemas.openxmlformats.org/officeDocument/2006/relationships/hyperlink" Target="http://www.faith.qmul.ac.uk/" TargetMode="External"/><Relationship Id="rId249" Type="http://schemas.openxmlformats.org/officeDocument/2006/relationships/hyperlink" Target="=IFERROR(VLOOKUP($C15,%20DataFromWikipedia!A:T,%2017,%20FALSE),%20%22%22)" TargetMode="External"/><Relationship Id="rId414" Type="http://schemas.openxmlformats.org/officeDocument/2006/relationships/hyperlink" Target="https://en.wikipedia.org/wiki/Bow,_London" TargetMode="External"/><Relationship Id="rId456" Type="http://schemas.openxmlformats.org/officeDocument/2006/relationships/hyperlink" Target="https://www.london.anglican.org/directory/judith-blackburn-ssm/" TargetMode="External"/><Relationship Id="rId498" Type="http://schemas.openxmlformats.org/officeDocument/2006/relationships/hyperlink" Target="https://www.london.anglican.org/directory/alexandra-lilley/" TargetMode="External"/><Relationship Id="rId621" Type="http://schemas.openxmlformats.org/officeDocument/2006/relationships/hyperlink" Target="https://www.crockford.org.uk/places/12947/the-benefice-of-st-george-in-the-east-(st-mary)" TargetMode="External"/><Relationship Id="rId13" Type="http://schemas.openxmlformats.org/officeDocument/2006/relationships/hyperlink" Target="https://www.london.anglican.org/directory/st-anne-hoxton/" TargetMode="External"/><Relationship Id="rId109" Type="http://schemas.openxmlformats.org/officeDocument/2006/relationships/hyperlink" Target="https://www.london.anglican.org/directory/st-luke-millwall/" TargetMode="External"/><Relationship Id="rId260" Type="http://schemas.openxmlformats.org/officeDocument/2006/relationships/hyperlink" Target="=IFERROR(VLOOKUP($C26,%20DataFromWikipedia!A:T,%2017,%20FALSE),%20%22%22)" TargetMode="External"/><Relationship Id="rId316" Type="http://schemas.openxmlformats.org/officeDocument/2006/relationships/hyperlink" Target="=IFERROR(VLOOKUP($C84,%20DataFromWikipedia!A:T,%2017,%20FALSE),%20%22%22)" TargetMode="External"/><Relationship Id="rId523" Type="http://schemas.openxmlformats.org/officeDocument/2006/relationships/hyperlink" Target="https://www.london.anglican.org/directory/jeremy-hobson/" TargetMode="External"/><Relationship Id="rId55" Type="http://schemas.openxmlformats.org/officeDocument/2006/relationships/hyperlink" Target="https://www.london.anglican.org/directory/st-andrew-whitehall-park/" TargetMode="External"/><Relationship Id="rId97" Type="http://schemas.openxmlformats.org/officeDocument/2006/relationships/hyperlink" Target="https://www.london.anglican.org/directory/poplar-team-ministry/" TargetMode="External"/><Relationship Id="rId120" Type="http://schemas.openxmlformats.org/officeDocument/2006/relationships/hyperlink" Target="https://www.london.anglican.org/directory/st-paul-with-st-luke-cofe-primary-school/" TargetMode="External"/><Relationship Id="rId358" Type="http://schemas.openxmlformats.org/officeDocument/2006/relationships/hyperlink" Target="=IFERROR(VLOOKUP($C126,%20DataFromWikipedia!A:T,%2017,%20FALSE),%20%22%22)" TargetMode="External"/><Relationship Id="rId565" Type="http://schemas.openxmlformats.org/officeDocument/2006/relationships/hyperlink" Target="https://www.crockford.org.uk/places/12738/the-benefice-of-hoxton-(st-anne)-(st-columba)" TargetMode="External"/><Relationship Id="rId162" Type="http://schemas.openxmlformats.org/officeDocument/2006/relationships/hyperlink" Target="https://www.saintthomasclapton.org/" TargetMode="External"/><Relationship Id="rId218" Type="http://schemas.openxmlformats.org/officeDocument/2006/relationships/hyperlink" Target="http://www.st-lukes.towerhamlets.sch.uk/" TargetMode="External"/><Relationship Id="rId425" Type="http://schemas.openxmlformats.org/officeDocument/2006/relationships/hyperlink" Target="=IFERROR(VLOOKUP(C133,%20DataFromWikipedia!A:T,%2018,%20FALSE),%20%22%22)" TargetMode="External"/><Relationship Id="rId467" Type="http://schemas.openxmlformats.org/officeDocument/2006/relationships/hyperlink" Target="https://www.london.anglican.org/directory/geoffrey-boetang/" TargetMode="External"/><Relationship Id="rId271" Type="http://schemas.openxmlformats.org/officeDocument/2006/relationships/hyperlink" Target="=IFERROR(VLOOKUP($C37,%20DataFromWikipedia!A:T,%2017,%20FALSE),%20%22%22)" TargetMode="External"/><Relationship Id="rId24" Type="http://schemas.openxmlformats.org/officeDocument/2006/relationships/hyperlink" Target="https://www.london.anglican.org/directory/st-john-the-evangelist-brownswood-park/" TargetMode="External"/><Relationship Id="rId66" Type="http://schemas.openxmlformats.org/officeDocument/2006/relationships/hyperlink" Target="https://www.london.anglican.org/directory/st-jude-and-st-paul-mildmay-grove/" TargetMode="External"/><Relationship Id="rId131" Type="http://schemas.openxmlformats.org/officeDocument/2006/relationships/hyperlink" Target="https://http/www.hackneymarshteam.org.uk" TargetMode="External"/><Relationship Id="rId327" Type="http://schemas.openxmlformats.org/officeDocument/2006/relationships/hyperlink" Target="=IFERROR(VLOOKUP($C95,%20DataFromWikipedia!A:T,%2017,%20FALSE),%20%22%22)" TargetMode="External"/><Relationship Id="rId369" Type="http://schemas.openxmlformats.org/officeDocument/2006/relationships/hyperlink" Target="https://en.wikipedia.org/wiki/Hoxton" TargetMode="External"/><Relationship Id="rId534" Type="http://schemas.openxmlformats.org/officeDocument/2006/relationships/hyperlink" Target="https://www.london.anglican.org/directory/ella-sharples/" TargetMode="External"/><Relationship Id="rId576" Type="http://schemas.openxmlformats.org/officeDocument/2006/relationships/hyperlink" Target="https://www.crockford.org.uk/places/12741/the-benefice-of-hoxton-(st-john-the-baptist)-with-ch-ch" TargetMode="External"/><Relationship Id="rId173" Type="http://schemas.openxmlformats.org/officeDocument/2006/relationships/hyperlink" Target="http://www.standrewsn19.org/" TargetMode="External"/><Relationship Id="rId229" Type="http://schemas.openxmlformats.org/officeDocument/2006/relationships/hyperlink" Target="https://www.stpetersbethnalgreen.org/" TargetMode="External"/><Relationship Id="rId380" Type="http://schemas.openxmlformats.org/officeDocument/2006/relationships/hyperlink" Target="https://en.wikipedia.org/wiki/Stoke_Newington" TargetMode="External"/><Relationship Id="rId436" Type="http://schemas.openxmlformats.org/officeDocument/2006/relationships/hyperlink" Target="https://en.wikipedia.org/wiki/All_Hallows,_Bow" TargetMode="External"/><Relationship Id="rId601" Type="http://schemas.openxmlformats.org/officeDocument/2006/relationships/hyperlink" Target="https://www.crockford.org.uk/places/13108/the-benefice-of-holloway,-west-(st-luke)" TargetMode="External"/><Relationship Id="rId240" Type="http://schemas.openxmlformats.org/officeDocument/2006/relationships/hyperlink" Target="=IFERROR(VLOOKUP($C6,%20DataFromWikipedia!A:T,%2017,%20FALSE),%20%22%22)" TargetMode="External"/><Relationship Id="rId478" Type="http://schemas.openxmlformats.org/officeDocument/2006/relationships/hyperlink" Target="https://www.london.anglican.org/directory/daniel-gerrans/" TargetMode="External"/><Relationship Id="rId35" Type="http://schemas.openxmlformats.org/officeDocument/2006/relationships/hyperlink" Target="https://www.london.anglican.org/directory/st-michael-all-angels-stoke-newington-common/" TargetMode="External"/><Relationship Id="rId77" Type="http://schemas.openxmlformats.org/officeDocument/2006/relationships/hyperlink" Target="https://www.london.anglican.org/directory/st-silas-pentonville/" TargetMode="External"/><Relationship Id="rId100" Type="http://schemas.openxmlformats.org/officeDocument/2006/relationships/hyperlink" Target="https://www.london.anglican.org/directory/sir-john-casss-foundation-red-coat-cofe-secondary-school/" TargetMode="External"/><Relationship Id="rId282" Type="http://schemas.openxmlformats.org/officeDocument/2006/relationships/hyperlink" Target="=IFERROR(VLOOKUP($C49,%20DataFromWikipedia!A:T,%2017,%20FALSE),%20%22%22)" TargetMode="External"/><Relationship Id="rId338" Type="http://schemas.openxmlformats.org/officeDocument/2006/relationships/hyperlink" Target="=IFERROR(VLOOKUP($C106,%20DataFromWikipedia!A:T,%2017,%20FALSE),%20%22%22)" TargetMode="External"/><Relationship Id="rId503" Type="http://schemas.openxmlformats.org/officeDocument/2006/relationships/hyperlink" Target="https://www.london.anglican.org/directory/brian-welsh/" TargetMode="External"/><Relationship Id="rId545" Type="http://schemas.openxmlformats.org/officeDocument/2006/relationships/hyperlink" Target="https://www.london.anglican.org/directory/ann-dwulit/" TargetMode="External"/><Relationship Id="rId587" Type="http://schemas.openxmlformats.org/officeDocument/2006/relationships/hyperlink" Target="https://www.crockford.org.uk/places/13099/the-benefice-of-hackney,-west-(st-paul)" TargetMode="External"/><Relationship Id="rId8" Type="http://schemas.openxmlformats.org/officeDocument/2006/relationships/hyperlink" Target="https://www.london.anglican.org/directory/holy-trinity-dalston-with-all-saints-haggerston/" TargetMode="External"/><Relationship Id="rId142" Type="http://schemas.openxmlformats.org/officeDocument/2006/relationships/hyperlink" Target="http://www.johnjames.hackney.sch.uk/" TargetMode="External"/><Relationship Id="rId184" Type="http://schemas.openxmlformats.org/officeDocument/2006/relationships/hyperlink" Target="http://www.sjsp.org.uk/" TargetMode="External"/><Relationship Id="rId391" Type="http://schemas.openxmlformats.org/officeDocument/2006/relationships/hyperlink" Target="https://en.wikipedia.org/wiki/Highbury_New_Park" TargetMode="External"/><Relationship Id="rId405" Type="http://schemas.openxmlformats.org/officeDocument/2006/relationships/hyperlink" Target="https://en.wikipedia.org/wiki/Bromley-by-Bow" TargetMode="External"/><Relationship Id="rId447" Type="http://schemas.openxmlformats.org/officeDocument/2006/relationships/hyperlink" Target="https://en.wikipedia.org/wiki/St_Paul%27s_Church,_Shadwell" TargetMode="External"/><Relationship Id="rId612" Type="http://schemas.openxmlformats.org/officeDocument/2006/relationships/hyperlink" Target="https://www.crockford.org.uk/places/13008/the-benefice-of-spitalfields-(christ-church-with-all-saints)" TargetMode="External"/><Relationship Id="rId251" Type="http://schemas.openxmlformats.org/officeDocument/2006/relationships/hyperlink" Target="=IFERROR(VLOOKUP($C17,%20DataFromWikipedia!A:T,%2017,%20FALSE),%20%22%22)" TargetMode="External"/><Relationship Id="rId489" Type="http://schemas.openxmlformats.org/officeDocument/2006/relationships/hyperlink" Target="https://www.london.anglican.org/directory/amanda-szewczyk-radley/" TargetMode="External"/><Relationship Id="rId46" Type="http://schemas.openxmlformats.org/officeDocument/2006/relationships/hyperlink" Target="https://www.london.anglican.org/directory/clerkenwell-parochial-cofe-primary-school/" TargetMode="External"/><Relationship Id="rId293" Type="http://schemas.openxmlformats.org/officeDocument/2006/relationships/hyperlink" Target="=IFERROR(VLOOKUP($C60,%20DataFromWikipedia!A:T,%2017,%20FALSE),%20%22%22)" TargetMode="External"/><Relationship Id="rId307" Type="http://schemas.openxmlformats.org/officeDocument/2006/relationships/hyperlink" Target="=IFERROR(VLOOKUP($C74,%20DataFromWikipedia!A:T,%2017,%20FALSE),%20%22%22)" TargetMode="External"/><Relationship Id="rId349" Type="http://schemas.openxmlformats.org/officeDocument/2006/relationships/hyperlink" Target="=IFERROR(VLOOKUP($C117,%20DataFromWikipedia!A:T,%2017,%20FALSE),%20%22%22)" TargetMode="External"/><Relationship Id="rId514" Type="http://schemas.openxmlformats.org/officeDocument/2006/relationships/hyperlink" Target="https://www.london.anglican.org/directory/jane-obrien/" TargetMode="External"/><Relationship Id="rId556" Type="http://schemas.openxmlformats.org/officeDocument/2006/relationships/hyperlink" Target="https://www.london.anglican.org/directory/terry-bennett-2/" TargetMode="External"/><Relationship Id="rId88" Type="http://schemas.openxmlformats.org/officeDocument/2006/relationships/hyperlink" Target="https://www.london.anglican.org/directory/barts-the-london-school-of-medicine-dentistry/" TargetMode="External"/><Relationship Id="rId111" Type="http://schemas.openxmlformats.org/officeDocument/2006/relationships/hyperlink" Target="https://www.london.anglican.org/directory/st-margarets-house/" TargetMode="External"/><Relationship Id="rId153" Type="http://schemas.openxmlformats.org/officeDocument/2006/relationships/hyperlink" Target="http://www.stmarys.islington.sch.uk/" TargetMode="External"/><Relationship Id="rId195" Type="http://schemas.openxmlformats.org/officeDocument/2006/relationships/hyperlink" Target="http://www.ststephenscanonbury.org.uk/" TargetMode="External"/><Relationship Id="rId209" Type="http://schemas.openxmlformats.org/officeDocument/2006/relationships/hyperlink" Target="http://www.sjcr.net/" TargetMode="External"/><Relationship Id="rId360" Type="http://schemas.openxmlformats.org/officeDocument/2006/relationships/hyperlink" Target="=IFERROR(VLOOKUP($C128,%20DataFromWikipedia!A:T,%2017,%20FALSE),%20%22%22)" TargetMode="External"/><Relationship Id="rId416" Type="http://schemas.openxmlformats.org/officeDocument/2006/relationships/hyperlink" Target="https://en.wikipedia.org/wiki/Bethnal_Green" TargetMode="External"/><Relationship Id="rId598" Type="http://schemas.openxmlformats.org/officeDocument/2006/relationships/hyperlink" Target="https://www.crockford.org.uk/places/12752/the-benefice-of-islington-(st-james-the-apostle)-(st-peter)" TargetMode="External"/><Relationship Id="rId220" Type="http://schemas.openxmlformats.org/officeDocument/2006/relationships/hyperlink" Target="http://stmaryscablest.blogspot.com/" TargetMode="External"/><Relationship Id="rId458" Type="http://schemas.openxmlformats.org/officeDocument/2006/relationships/hyperlink" Target="https://www.london.anglican.org/directory/ben-bell/" TargetMode="External"/><Relationship Id="rId623" Type="http://schemas.openxmlformats.org/officeDocument/2006/relationships/hyperlink" Target="https://www.crockford.org.uk/places/12886/the-benefice-of-old-ford-(st-paul)-(st-mark)" TargetMode="External"/><Relationship Id="rId15" Type="http://schemas.openxmlformats.org/officeDocument/2006/relationships/hyperlink" Target="https://www.london.anglican.org/directory/st-barnabas-homerton-hackney-marsh-team-ministry/" TargetMode="External"/><Relationship Id="rId57" Type="http://schemas.openxmlformats.org/officeDocument/2006/relationships/hyperlink" Target="https://www.london.anglican.org/directory/st-augustine-highbury-new-park/" TargetMode="External"/><Relationship Id="rId262" Type="http://schemas.openxmlformats.org/officeDocument/2006/relationships/hyperlink" Target="=IFERROR(VLOOKUP($C28,%20DataFromWikipedia!A:T,%2017,%20FALSE),%20%22%22)" TargetMode="External"/><Relationship Id="rId318" Type="http://schemas.openxmlformats.org/officeDocument/2006/relationships/hyperlink" Target="=IFERROR(VLOOKUP($C86,%20DataFromWikipedia!A:T,%2017,%20FALSE),%20%22%22)" TargetMode="External"/><Relationship Id="rId525" Type="http://schemas.openxmlformats.org/officeDocument/2006/relationships/hyperlink" Target="https://www.london.anglican.org/directory/laura-penney/" TargetMode="External"/><Relationship Id="rId567" Type="http://schemas.openxmlformats.org/officeDocument/2006/relationships/hyperlink" Target="https://www.crockford.org.uk/places/12544/the-benefice-of-dalston-(holy-trinity)-with-st-philip-and-haggerston-all-saints" TargetMode="External"/><Relationship Id="rId99" Type="http://schemas.openxmlformats.org/officeDocument/2006/relationships/hyperlink" Target="https://www.london.anglican.org/directory/raines-foundation-cofe-secondary-school/" TargetMode="External"/><Relationship Id="rId122" Type="http://schemas.openxmlformats.org/officeDocument/2006/relationships/hyperlink" Target="https://www.london.anglican.org/directory/st-peter-bethnal-green/" TargetMode="External"/><Relationship Id="rId164" Type="http://schemas.openxmlformats.org/officeDocument/2006/relationships/hyperlink" Target="http://www.allsaintsislington.org/" TargetMode="External"/><Relationship Id="rId371" Type="http://schemas.openxmlformats.org/officeDocument/2006/relationships/hyperlink" Target="https://en.wikipedia.org/wiki/Hoxton" TargetMode="External"/><Relationship Id="rId427" Type="http://schemas.openxmlformats.org/officeDocument/2006/relationships/hyperlink" Target="https://en.wikipedia.org/wiki/St_John_the_Baptist,_Hoxton" TargetMode="External"/><Relationship Id="rId469" Type="http://schemas.openxmlformats.org/officeDocument/2006/relationships/hyperlink" Target="https://www.london.anglican.org/directory/jane-alty/" TargetMode="External"/><Relationship Id="rId26" Type="http://schemas.openxmlformats.org/officeDocument/2006/relationships/hyperlink" Target="https://www.london.anglican.org/directory/st-leonard-shoreditch/" TargetMode="External"/><Relationship Id="rId231" Type="http://schemas.openxmlformats.org/officeDocument/2006/relationships/hyperlink" Target="https://www.stpetersbarge.org/" TargetMode="External"/><Relationship Id="rId273" Type="http://schemas.openxmlformats.org/officeDocument/2006/relationships/hyperlink" Target="=IFERROR(VLOOKUP($C39,%20DataFromWikipedia!A:T,%2017,%20FALSE),%20%22%22)" TargetMode="External"/><Relationship Id="rId329" Type="http://schemas.openxmlformats.org/officeDocument/2006/relationships/hyperlink" Target="=IFERROR(VLOOKUP($C97,%20DataFromWikipedia!A:T,%2017,%20FALSE),%20%22%22)" TargetMode="External"/><Relationship Id="rId480" Type="http://schemas.openxmlformats.org/officeDocument/2006/relationships/hyperlink" Target="https://www.london.anglican.org/directory/tunde-roberts/" TargetMode="External"/><Relationship Id="rId536" Type="http://schemas.openxmlformats.org/officeDocument/2006/relationships/hyperlink" Target="https://www.london.anglican.org/directory/paul-woods/" TargetMode="External"/><Relationship Id="rId68" Type="http://schemas.openxmlformats.org/officeDocument/2006/relationships/hyperlink" Target="https://www.london.anglican.org/directory/st-lukes-cofe-primary-school/" TargetMode="External"/><Relationship Id="rId133" Type="http://schemas.openxmlformats.org/officeDocument/2006/relationships/hyperlink" Target="https://www.gracechurchhackney.org.uk/" TargetMode="External"/><Relationship Id="rId175" Type="http://schemas.openxmlformats.org/officeDocument/2006/relationships/hyperlink" Target="http://www.staugustine.org.uk/" TargetMode="External"/><Relationship Id="rId340" Type="http://schemas.openxmlformats.org/officeDocument/2006/relationships/hyperlink" Target="=IFERROR(VLOOKUP($C108,%20DataFromWikipedia!A:T,%2017,%20FALSE),%20%22%22)" TargetMode="External"/><Relationship Id="rId578" Type="http://schemas.openxmlformats.org/officeDocument/2006/relationships/hyperlink" Target="https://www.crockford.org.uk/places/12977/the-benefice-of-shoreditch-(st-leonard)-with-st-michael" TargetMode="External"/><Relationship Id="rId200" Type="http://schemas.openxmlformats.org/officeDocument/2006/relationships/hyperlink" Target="http://www.allhallowsbow.org.uk/" TargetMode="External"/><Relationship Id="rId382" Type="http://schemas.openxmlformats.org/officeDocument/2006/relationships/hyperlink" Target="https://en.wikipedia.org/wiki/South_Hackney" TargetMode="External"/><Relationship Id="rId438" Type="http://schemas.openxmlformats.org/officeDocument/2006/relationships/hyperlink" Target="https://en.wikipedia.org/wiki/St_Anne%27s,_Limehouse" TargetMode="External"/><Relationship Id="rId603" Type="http://schemas.openxmlformats.org/officeDocument/2006/relationships/hyperlink" Target="https://www.crockford.org.uk/places/12728/the-benefice-of-hornsey-rise-(st-mary)" TargetMode="External"/><Relationship Id="rId242" Type="http://schemas.openxmlformats.org/officeDocument/2006/relationships/hyperlink" Target="=IFERROR(VLOOKUP($C8,%20DataFromWikipedia!A:T,%2017,%20FALSE),%20%22%22)" TargetMode="External"/><Relationship Id="rId284" Type="http://schemas.openxmlformats.org/officeDocument/2006/relationships/hyperlink" Target="=IFERROR(VLOOKUP($C51,%20DataFromWikipedia!A:T,%2017,%20FALSE),%20%22%22)" TargetMode="External"/><Relationship Id="rId491" Type="http://schemas.openxmlformats.org/officeDocument/2006/relationships/hyperlink" Target="https://www.london.anglican.org/directory/paul-zaphiriou/" TargetMode="External"/><Relationship Id="rId505" Type="http://schemas.openxmlformats.org/officeDocument/2006/relationships/hyperlink" Target="https://www.london.anglican.org/directory/james-hill/" TargetMode="External"/><Relationship Id="rId37" Type="http://schemas.openxmlformats.org/officeDocument/2006/relationships/hyperlink" Target="https://www.london.anglican.org/directory/st-paul-west-hackney/" TargetMode="External"/><Relationship Id="rId79" Type="http://schemas.openxmlformats.org/officeDocument/2006/relationships/hyperlink" Target="https://www.london.anglican.org/directory/st-thomas-finsbury-park/" TargetMode="External"/><Relationship Id="rId102" Type="http://schemas.openxmlformats.org/officeDocument/2006/relationships/hyperlink" Target="https://www.london.anglican.org/directory/st-anne-limehouse/" TargetMode="External"/><Relationship Id="rId144" Type="http://schemas.openxmlformats.org/officeDocument/2006/relationships/hyperlink" Target="http://www.sjoj.co.uk/" TargetMode="External"/><Relationship Id="rId547" Type="http://schemas.openxmlformats.org/officeDocument/2006/relationships/hyperlink" Target="https://www.london.anglican.org/directory/tim-may/" TargetMode="External"/><Relationship Id="rId589" Type="http://schemas.openxmlformats.org/officeDocument/2006/relationships/hyperlink" Target="https://www.crockford.org.uk/places/13020/the-benefice-of-stamford-hill-(st-thomas)" TargetMode="External"/><Relationship Id="rId90" Type="http://schemas.openxmlformats.org/officeDocument/2006/relationships/hyperlink" Target="https://www.london.anglican.org/directory/christ-church-and-st-john-w-st-luke-isle-of-dogs/" TargetMode="External"/><Relationship Id="rId186" Type="http://schemas.openxmlformats.org/officeDocument/2006/relationships/hyperlink" Target="http://www.st-lukes.towerhamlets.sch.uk/" TargetMode="External"/><Relationship Id="rId351" Type="http://schemas.openxmlformats.org/officeDocument/2006/relationships/hyperlink" Target="=IFERROR(VLOOKUP($C119,%20DataFromWikipedia!A:T,%2017,%20FALSE),%20%22%22)" TargetMode="External"/><Relationship Id="rId393" Type="http://schemas.openxmlformats.org/officeDocument/2006/relationships/hyperlink" Target="https://en.wikipedia.org/wiki/Tufnell_Park" TargetMode="External"/><Relationship Id="rId407" Type="http://schemas.openxmlformats.org/officeDocument/2006/relationships/hyperlink" Target="https://en.wikipedia.org/wiki/Spitalfields" TargetMode="External"/><Relationship Id="rId449" Type="http://schemas.openxmlformats.org/officeDocument/2006/relationships/hyperlink" Target="https://en.wikipedia.org/wiki/St_Peter%27s,_London_Docks" TargetMode="External"/><Relationship Id="rId614" Type="http://schemas.openxmlformats.org/officeDocument/2006/relationships/hyperlink" Target="https://www.crockford.org.uk/places/12472/the-benefice-of-bethnal-green-(st-barnabas)" TargetMode="External"/><Relationship Id="rId211" Type="http://schemas.openxmlformats.org/officeDocument/2006/relationships/hyperlink" Target="http://www.stbarnabasbethnalgreen.org/" TargetMode="External"/><Relationship Id="rId253" Type="http://schemas.openxmlformats.org/officeDocument/2006/relationships/hyperlink" Target="=IFERROR(VLOOKUP($C19,%20DataFromWikipedia!A:T,%2017,%20FALSE),%20%22%22)" TargetMode="External"/><Relationship Id="rId295" Type="http://schemas.openxmlformats.org/officeDocument/2006/relationships/hyperlink" Target="=IFERROR(VLOOKUP($C62,%20DataFromWikipedia!A:T,%2017,%20FALSE),%20%22%22)" TargetMode="External"/><Relationship Id="rId309" Type="http://schemas.openxmlformats.org/officeDocument/2006/relationships/hyperlink" Target="=IFERROR(VLOOKUP($C76,%20DataFromWikipedia!A:T,%2017,%20FALSE),%20%22%22)" TargetMode="External"/><Relationship Id="rId460" Type="http://schemas.openxmlformats.org/officeDocument/2006/relationships/hyperlink" Target="https://www.london.anglican.org/directory/charles-card-reynolds/" TargetMode="External"/><Relationship Id="rId516" Type="http://schemas.openxmlformats.org/officeDocument/2006/relationships/hyperlink" Target="https://www.london.anglican.org/directory/rayner-wakeling/" TargetMode="External"/><Relationship Id="rId48" Type="http://schemas.openxmlformats.org/officeDocument/2006/relationships/hyperlink" Target="https://www.london.anglican.org/directory/hm-prison-pentonville/" TargetMode="External"/><Relationship Id="rId113" Type="http://schemas.openxmlformats.org/officeDocument/2006/relationships/hyperlink" Target="https://www.london.anglican.org/directory/st-mary-cable-street/" TargetMode="External"/><Relationship Id="rId320" Type="http://schemas.openxmlformats.org/officeDocument/2006/relationships/hyperlink" Target="=IFERROR(VLOOKUP($C88,%20DataFromWikipedia!A:T,%2017,%20FALSE),%20%22%22)" TargetMode="External"/><Relationship Id="rId558" Type="http://schemas.openxmlformats.org/officeDocument/2006/relationships/hyperlink" Target="https://www.london.anglican.org/directory/jonathan-beswick/" TargetMode="External"/><Relationship Id="rId155" Type="http://schemas.openxmlformats.org/officeDocument/2006/relationships/hyperlink" Target="http://www.stmatthiasschool.org.uk/" TargetMode="External"/><Relationship Id="rId197" Type="http://schemas.openxmlformats.org/officeDocument/2006/relationships/hyperlink" Target="http://www.thecharterhouse.org/" TargetMode="External"/><Relationship Id="rId362" Type="http://schemas.openxmlformats.org/officeDocument/2006/relationships/hyperlink" Target="=IFERROR(VLOOKUP($C130,%20DataFromWikipedia!A:T,%2017,%20FALSE),%20%22%22)" TargetMode="External"/><Relationship Id="rId418" Type="http://schemas.openxmlformats.org/officeDocument/2006/relationships/hyperlink" Target="https://en.wikipedia.org/wiki/Bow_Common" TargetMode="External"/><Relationship Id="rId625" Type="http://schemas.openxmlformats.org/officeDocument/2006/relationships/hyperlink" Target="https://www.crockford.org.uk/places/12969/the-benefice-of-shadwell-(st-paul)-with-ratcliffe-st-james" TargetMode="External"/><Relationship Id="rId222" Type="http://schemas.openxmlformats.org/officeDocument/2006/relationships/hyperlink" Target="http://www.stmatthiasschool.org.uk/" TargetMode="External"/><Relationship Id="rId264" Type="http://schemas.openxmlformats.org/officeDocument/2006/relationships/hyperlink" Target="=IFERROR(VLOOKUP($C30,%20DataFromWikipedia!A:T,%2017,%20FALSE),%20%22%22)" TargetMode="External"/><Relationship Id="rId471" Type="http://schemas.openxmlformats.org/officeDocument/2006/relationships/hyperlink" Target="https://www.london.anglican.org/directory/josh-zvimba/"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P85"/>
  <sheetViews>
    <sheetView showGridLines="0" tabSelected="1" workbookViewId="0">
      <selection activeCell="R13" sqref="R13"/>
    </sheetView>
  </sheetViews>
  <sheetFormatPr defaultRowHeight="15" x14ac:dyDescent="0.25"/>
  <cols>
    <col min="1" max="1" width="15.7109375" style="5" customWidth="1"/>
    <col min="2" max="14" width="9.140625" style="1"/>
    <col min="15" max="15" width="5" style="1" customWidth="1"/>
    <col min="16" max="16384" width="9.140625" style="1"/>
  </cols>
  <sheetData>
    <row r="1" spans="1:16" s="3" customFormat="1" ht="81" customHeight="1" x14ac:dyDescent="0.25">
      <c r="A1" s="6"/>
      <c r="C1" s="4" t="s">
        <v>75</v>
      </c>
      <c r="N1" s="33" t="s">
        <v>1111</v>
      </c>
      <c r="O1" s="57">
        <v>43938</v>
      </c>
      <c r="P1" s="57"/>
    </row>
    <row r="8" spans="1:16" x14ac:dyDescent="0.25">
      <c r="D8" s="58" t="s">
        <v>1124</v>
      </c>
      <c r="E8" s="59"/>
      <c r="F8" s="59"/>
      <c r="G8" s="59"/>
      <c r="H8" s="59"/>
      <c r="I8" s="59"/>
      <c r="J8" s="59"/>
      <c r="K8" s="59"/>
      <c r="L8" s="59"/>
      <c r="M8" s="59"/>
      <c r="N8" s="60"/>
    </row>
    <row r="9" spans="1:16" x14ac:dyDescent="0.25">
      <c r="A9" s="40"/>
    </row>
    <row r="10" spans="1:16" x14ac:dyDescent="0.25">
      <c r="A10" s="41"/>
      <c r="D10" s="48" t="s">
        <v>1120</v>
      </c>
      <c r="E10" s="61"/>
      <c r="F10" s="61"/>
      <c r="G10" s="61"/>
      <c r="H10" s="61"/>
      <c r="I10" s="61"/>
      <c r="J10" s="61"/>
      <c r="K10" s="61"/>
      <c r="L10" s="61"/>
      <c r="M10" s="61"/>
      <c r="N10" s="62"/>
    </row>
    <row r="11" spans="1:16" x14ac:dyDescent="0.25">
      <c r="D11" s="63"/>
      <c r="E11" s="64"/>
      <c r="F11" s="64"/>
      <c r="G11" s="64"/>
      <c r="H11" s="64"/>
      <c r="I11" s="64"/>
      <c r="J11" s="64"/>
      <c r="K11" s="64"/>
      <c r="L11" s="64"/>
      <c r="M11" s="64"/>
      <c r="N11" s="65"/>
    </row>
    <row r="12" spans="1:16" x14ac:dyDescent="0.25">
      <c r="D12" s="63"/>
      <c r="E12" s="64"/>
      <c r="F12" s="64"/>
      <c r="G12" s="64"/>
      <c r="H12" s="64"/>
      <c r="I12" s="64"/>
      <c r="J12" s="64"/>
      <c r="K12" s="64"/>
      <c r="L12" s="64"/>
      <c r="M12" s="64"/>
      <c r="N12" s="65"/>
    </row>
    <row r="13" spans="1:16" x14ac:dyDescent="0.25">
      <c r="D13" s="63"/>
      <c r="E13" s="64"/>
      <c r="F13" s="64"/>
      <c r="G13" s="64"/>
      <c r="H13" s="64"/>
      <c r="I13" s="64"/>
      <c r="J13" s="64"/>
      <c r="K13" s="64"/>
      <c r="L13" s="64"/>
      <c r="M13" s="64"/>
      <c r="N13" s="65"/>
    </row>
    <row r="14" spans="1:16" x14ac:dyDescent="0.25">
      <c r="D14" s="63"/>
      <c r="E14" s="64"/>
      <c r="F14" s="64"/>
      <c r="G14" s="64"/>
      <c r="H14" s="64"/>
      <c r="I14" s="64"/>
      <c r="J14" s="64"/>
      <c r="K14" s="64"/>
      <c r="L14" s="64"/>
      <c r="M14" s="64"/>
      <c r="N14" s="65"/>
    </row>
    <row r="15" spans="1:16" x14ac:dyDescent="0.25">
      <c r="D15" s="63"/>
      <c r="E15" s="64"/>
      <c r="F15" s="64"/>
      <c r="G15" s="64"/>
      <c r="H15" s="64"/>
      <c r="I15" s="64"/>
      <c r="J15" s="64"/>
      <c r="K15" s="64"/>
      <c r="L15" s="64"/>
      <c r="M15" s="64"/>
      <c r="N15" s="65"/>
    </row>
    <row r="16" spans="1:16" x14ac:dyDescent="0.25">
      <c r="D16" s="63"/>
      <c r="E16" s="64"/>
      <c r="F16" s="64"/>
      <c r="G16" s="64"/>
      <c r="H16" s="64"/>
      <c r="I16" s="64"/>
      <c r="J16" s="64"/>
      <c r="K16" s="64"/>
      <c r="L16" s="64"/>
      <c r="M16" s="64"/>
      <c r="N16" s="65"/>
    </row>
    <row r="17" spans="4:14" x14ac:dyDescent="0.25">
      <c r="D17" s="63"/>
      <c r="E17" s="64"/>
      <c r="F17" s="64"/>
      <c r="G17" s="64"/>
      <c r="H17" s="64"/>
      <c r="I17" s="64"/>
      <c r="J17" s="64"/>
      <c r="K17" s="64"/>
      <c r="L17" s="64"/>
      <c r="M17" s="64"/>
      <c r="N17" s="65"/>
    </row>
    <row r="18" spans="4:14" x14ac:dyDescent="0.25">
      <c r="D18" s="63"/>
      <c r="E18" s="64"/>
      <c r="F18" s="64"/>
      <c r="G18" s="64"/>
      <c r="H18" s="64"/>
      <c r="I18" s="64"/>
      <c r="J18" s="64"/>
      <c r="K18" s="64"/>
      <c r="L18" s="64"/>
      <c r="M18" s="64"/>
      <c r="N18" s="65"/>
    </row>
    <row r="19" spans="4:14" x14ac:dyDescent="0.25">
      <c r="D19" s="63"/>
      <c r="E19" s="64"/>
      <c r="F19" s="64"/>
      <c r="G19" s="64"/>
      <c r="H19" s="64"/>
      <c r="I19" s="64"/>
      <c r="J19" s="64"/>
      <c r="K19" s="64"/>
      <c r="L19" s="64"/>
      <c r="M19" s="64"/>
      <c r="N19" s="65"/>
    </row>
    <row r="20" spans="4:14" x14ac:dyDescent="0.25">
      <c r="D20" s="63"/>
      <c r="E20" s="64"/>
      <c r="F20" s="64"/>
      <c r="G20" s="64"/>
      <c r="H20" s="64"/>
      <c r="I20" s="64"/>
      <c r="J20" s="64"/>
      <c r="K20" s="64"/>
      <c r="L20" s="64"/>
      <c r="M20" s="64"/>
      <c r="N20" s="65"/>
    </row>
    <row r="21" spans="4:14" x14ac:dyDescent="0.25">
      <c r="D21" s="63"/>
      <c r="E21" s="64"/>
      <c r="F21" s="64"/>
      <c r="G21" s="64"/>
      <c r="H21" s="64"/>
      <c r="I21" s="64"/>
      <c r="J21" s="64"/>
      <c r="K21" s="64"/>
      <c r="L21" s="64"/>
      <c r="M21" s="64"/>
      <c r="N21" s="65"/>
    </row>
    <row r="22" spans="4:14" x14ac:dyDescent="0.25">
      <c r="D22" s="63"/>
      <c r="E22" s="64"/>
      <c r="F22" s="64"/>
      <c r="G22" s="64"/>
      <c r="H22" s="64"/>
      <c r="I22" s="64"/>
      <c r="J22" s="64"/>
      <c r="K22" s="64"/>
      <c r="L22" s="64"/>
      <c r="M22" s="64"/>
      <c r="N22" s="65"/>
    </row>
    <row r="23" spans="4:14" x14ac:dyDescent="0.25">
      <c r="D23" s="63"/>
      <c r="E23" s="64"/>
      <c r="F23" s="64"/>
      <c r="G23" s="64"/>
      <c r="H23" s="64"/>
      <c r="I23" s="64"/>
      <c r="J23" s="64"/>
      <c r="K23" s="64"/>
      <c r="L23" s="64"/>
      <c r="M23" s="64"/>
      <c r="N23" s="65"/>
    </row>
    <row r="24" spans="4:14" x14ac:dyDescent="0.25">
      <c r="D24" s="66"/>
      <c r="E24" s="67"/>
      <c r="F24" s="67"/>
      <c r="G24" s="67"/>
      <c r="H24" s="67"/>
      <c r="I24" s="67"/>
      <c r="J24" s="67"/>
      <c r="K24" s="67"/>
      <c r="L24" s="67"/>
      <c r="M24" s="67"/>
      <c r="N24" s="68"/>
    </row>
    <row r="26" spans="4:14" ht="15" customHeight="1" x14ac:dyDescent="0.25">
      <c r="D26" s="48" t="s">
        <v>1121</v>
      </c>
      <c r="E26" s="49"/>
      <c r="F26" s="49"/>
      <c r="G26" s="49"/>
      <c r="H26" s="49"/>
      <c r="I26" s="49"/>
      <c r="J26" s="49"/>
      <c r="K26" s="49"/>
      <c r="L26" s="49"/>
      <c r="M26" s="49"/>
      <c r="N26" s="50"/>
    </row>
    <row r="27" spans="4:14" x14ac:dyDescent="0.25">
      <c r="D27" s="51"/>
      <c r="E27" s="52"/>
      <c r="F27" s="52"/>
      <c r="G27" s="52"/>
      <c r="H27" s="52"/>
      <c r="I27" s="52"/>
      <c r="J27" s="52"/>
      <c r="K27" s="52"/>
      <c r="L27" s="52"/>
      <c r="M27" s="52"/>
      <c r="N27" s="53"/>
    </row>
    <row r="28" spans="4:14" x14ac:dyDescent="0.25">
      <c r="D28" s="51"/>
      <c r="E28" s="52"/>
      <c r="F28" s="52"/>
      <c r="G28" s="52"/>
      <c r="H28" s="52"/>
      <c r="I28" s="52"/>
      <c r="J28" s="52"/>
      <c r="K28" s="52"/>
      <c r="L28" s="52"/>
      <c r="M28" s="52"/>
      <c r="N28" s="53"/>
    </row>
    <row r="29" spans="4:14" x14ac:dyDescent="0.25">
      <c r="D29" s="51"/>
      <c r="E29" s="52"/>
      <c r="F29" s="52"/>
      <c r="G29" s="52"/>
      <c r="H29" s="52"/>
      <c r="I29" s="52"/>
      <c r="J29" s="52"/>
      <c r="K29" s="52"/>
      <c r="L29" s="52"/>
      <c r="M29" s="52"/>
      <c r="N29" s="53"/>
    </row>
    <row r="30" spans="4:14" x14ac:dyDescent="0.25">
      <c r="D30" s="51"/>
      <c r="E30" s="52"/>
      <c r="F30" s="52"/>
      <c r="G30" s="52"/>
      <c r="H30" s="52"/>
      <c r="I30" s="52"/>
      <c r="J30" s="52"/>
      <c r="K30" s="52"/>
      <c r="L30" s="52"/>
      <c r="M30" s="52"/>
      <c r="N30" s="53"/>
    </row>
    <row r="31" spans="4:14" x14ac:dyDescent="0.25">
      <c r="D31" s="51"/>
      <c r="E31" s="52"/>
      <c r="F31" s="52"/>
      <c r="G31" s="52"/>
      <c r="H31" s="52"/>
      <c r="I31" s="52"/>
      <c r="J31" s="52"/>
      <c r="K31" s="52"/>
      <c r="L31" s="52"/>
      <c r="M31" s="52"/>
      <c r="N31" s="53"/>
    </row>
    <row r="32" spans="4:14" x14ac:dyDescent="0.25">
      <c r="D32" s="51"/>
      <c r="E32" s="52"/>
      <c r="F32" s="52"/>
      <c r="G32" s="52"/>
      <c r="H32" s="52"/>
      <c r="I32" s="52"/>
      <c r="J32" s="52"/>
      <c r="K32" s="52"/>
      <c r="L32" s="52"/>
      <c r="M32" s="52"/>
      <c r="N32" s="53"/>
    </row>
    <row r="33" spans="4:14" x14ac:dyDescent="0.25">
      <c r="D33" s="51"/>
      <c r="E33" s="52"/>
      <c r="F33" s="52"/>
      <c r="G33" s="52"/>
      <c r="H33" s="52"/>
      <c r="I33" s="52"/>
      <c r="J33" s="52"/>
      <c r="K33" s="52"/>
      <c r="L33" s="52"/>
      <c r="M33" s="52"/>
      <c r="N33" s="53"/>
    </row>
    <row r="34" spans="4:14" x14ac:dyDescent="0.25">
      <c r="D34" s="51"/>
      <c r="E34" s="52"/>
      <c r="F34" s="52"/>
      <c r="G34" s="52"/>
      <c r="H34" s="52"/>
      <c r="I34" s="52"/>
      <c r="J34" s="52"/>
      <c r="K34" s="52"/>
      <c r="L34" s="52"/>
      <c r="M34" s="52"/>
      <c r="N34" s="53"/>
    </row>
    <row r="35" spans="4:14" x14ac:dyDescent="0.25">
      <c r="D35" s="51"/>
      <c r="E35" s="52"/>
      <c r="F35" s="52"/>
      <c r="G35" s="52"/>
      <c r="H35" s="52"/>
      <c r="I35" s="52"/>
      <c r="J35" s="52"/>
      <c r="K35" s="52"/>
      <c r="L35" s="52"/>
      <c r="M35" s="52"/>
      <c r="N35" s="53"/>
    </row>
    <row r="36" spans="4:14" x14ac:dyDescent="0.25">
      <c r="D36" s="51"/>
      <c r="E36" s="52"/>
      <c r="F36" s="52"/>
      <c r="G36" s="52"/>
      <c r="H36" s="52"/>
      <c r="I36" s="52"/>
      <c r="J36" s="52"/>
      <c r="K36" s="52"/>
      <c r="L36" s="52"/>
      <c r="M36" s="52"/>
      <c r="N36" s="53"/>
    </row>
    <row r="37" spans="4:14" x14ac:dyDescent="0.25">
      <c r="D37" s="51"/>
      <c r="E37" s="52"/>
      <c r="F37" s="52"/>
      <c r="G37" s="52"/>
      <c r="H37" s="52"/>
      <c r="I37" s="52"/>
      <c r="J37" s="52"/>
      <c r="K37" s="52"/>
      <c r="L37" s="52"/>
      <c r="M37" s="52"/>
      <c r="N37" s="53"/>
    </row>
    <row r="38" spans="4:14" x14ac:dyDescent="0.25">
      <c r="D38" s="51"/>
      <c r="E38" s="52"/>
      <c r="F38" s="52"/>
      <c r="G38" s="52"/>
      <c r="H38" s="52"/>
      <c r="I38" s="52"/>
      <c r="J38" s="52"/>
      <c r="K38" s="52"/>
      <c r="L38" s="52"/>
      <c r="M38" s="52"/>
      <c r="N38" s="53"/>
    </row>
    <row r="39" spans="4:14" x14ac:dyDescent="0.25">
      <c r="D39" s="51"/>
      <c r="E39" s="52"/>
      <c r="F39" s="52"/>
      <c r="G39" s="52"/>
      <c r="H39" s="52"/>
      <c r="I39" s="52"/>
      <c r="J39" s="52"/>
      <c r="K39" s="52"/>
      <c r="L39" s="52"/>
      <c r="M39" s="52"/>
      <c r="N39" s="53"/>
    </row>
    <row r="40" spans="4:14" x14ac:dyDescent="0.25">
      <c r="D40" s="51"/>
      <c r="E40" s="52"/>
      <c r="F40" s="52"/>
      <c r="G40" s="52"/>
      <c r="H40" s="52"/>
      <c r="I40" s="52"/>
      <c r="J40" s="52"/>
      <c r="K40" s="52"/>
      <c r="L40" s="52"/>
      <c r="M40" s="52"/>
      <c r="N40" s="53"/>
    </row>
    <row r="41" spans="4:14" x14ac:dyDescent="0.25">
      <c r="D41" s="51"/>
      <c r="E41" s="52"/>
      <c r="F41" s="52"/>
      <c r="G41" s="52"/>
      <c r="H41" s="52"/>
      <c r="I41" s="52"/>
      <c r="J41" s="52"/>
      <c r="K41" s="52"/>
      <c r="L41" s="52"/>
      <c r="M41" s="52"/>
      <c r="N41" s="53"/>
    </row>
    <row r="42" spans="4:14" x14ac:dyDescent="0.25">
      <c r="D42" s="51"/>
      <c r="E42" s="52"/>
      <c r="F42" s="52"/>
      <c r="G42" s="52"/>
      <c r="H42" s="52"/>
      <c r="I42" s="52"/>
      <c r="J42" s="52"/>
      <c r="K42" s="52"/>
      <c r="L42" s="52"/>
      <c r="M42" s="52"/>
      <c r="N42" s="53"/>
    </row>
    <row r="43" spans="4:14" x14ac:dyDescent="0.25">
      <c r="D43" s="51"/>
      <c r="E43" s="52"/>
      <c r="F43" s="52"/>
      <c r="G43" s="52"/>
      <c r="H43" s="52"/>
      <c r="I43" s="52"/>
      <c r="J43" s="52"/>
      <c r="K43" s="52"/>
      <c r="L43" s="52"/>
      <c r="M43" s="52"/>
      <c r="N43" s="53"/>
    </row>
    <row r="44" spans="4:14" x14ac:dyDescent="0.25">
      <c r="D44" s="51"/>
      <c r="E44" s="52"/>
      <c r="F44" s="52"/>
      <c r="G44" s="52"/>
      <c r="H44" s="52"/>
      <c r="I44" s="52"/>
      <c r="J44" s="52"/>
      <c r="K44" s="52"/>
      <c r="L44" s="52"/>
      <c r="M44" s="52"/>
      <c r="N44" s="53"/>
    </row>
    <row r="45" spans="4:14" x14ac:dyDescent="0.25">
      <c r="D45" s="51"/>
      <c r="E45" s="52"/>
      <c r="F45" s="52"/>
      <c r="G45" s="52"/>
      <c r="H45" s="52"/>
      <c r="I45" s="52"/>
      <c r="J45" s="52"/>
      <c r="K45" s="52"/>
      <c r="L45" s="52"/>
      <c r="M45" s="52"/>
      <c r="N45" s="53"/>
    </row>
    <row r="46" spans="4:14" x14ac:dyDescent="0.25">
      <c r="D46" s="51"/>
      <c r="E46" s="52"/>
      <c r="F46" s="52"/>
      <c r="G46" s="52"/>
      <c r="H46" s="52"/>
      <c r="I46" s="52"/>
      <c r="J46" s="52"/>
      <c r="K46" s="52"/>
      <c r="L46" s="52"/>
      <c r="M46" s="52"/>
      <c r="N46" s="53"/>
    </row>
    <row r="47" spans="4:14" x14ac:dyDescent="0.25">
      <c r="D47" s="51"/>
      <c r="E47" s="52"/>
      <c r="F47" s="52"/>
      <c r="G47" s="52"/>
      <c r="H47" s="52"/>
      <c r="I47" s="52"/>
      <c r="J47" s="52"/>
      <c r="K47" s="52"/>
      <c r="L47" s="52"/>
      <c r="M47" s="52"/>
      <c r="N47" s="53"/>
    </row>
    <row r="48" spans="4:14" x14ac:dyDescent="0.25">
      <c r="D48" s="51"/>
      <c r="E48" s="52"/>
      <c r="F48" s="52"/>
      <c r="G48" s="52"/>
      <c r="H48" s="52"/>
      <c r="I48" s="52"/>
      <c r="J48" s="52"/>
      <c r="K48" s="52"/>
      <c r="L48" s="52"/>
      <c r="M48" s="52"/>
      <c r="N48" s="53"/>
    </row>
    <row r="49" spans="4:14" x14ac:dyDescent="0.25">
      <c r="D49" s="51"/>
      <c r="E49" s="52"/>
      <c r="F49" s="52"/>
      <c r="G49" s="52"/>
      <c r="H49" s="52"/>
      <c r="I49" s="52"/>
      <c r="J49" s="52"/>
      <c r="K49" s="52"/>
      <c r="L49" s="52"/>
      <c r="M49" s="52"/>
      <c r="N49" s="53"/>
    </row>
    <row r="50" spans="4:14" x14ac:dyDescent="0.25">
      <c r="D50" s="51"/>
      <c r="E50" s="52"/>
      <c r="F50" s="52"/>
      <c r="G50" s="52"/>
      <c r="H50" s="52"/>
      <c r="I50" s="52"/>
      <c r="J50" s="52"/>
      <c r="K50" s="52"/>
      <c r="L50" s="52"/>
      <c r="M50" s="52"/>
      <c r="N50" s="53"/>
    </row>
    <row r="51" spans="4:14" x14ac:dyDescent="0.25">
      <c r="D51" s="51"/>
      <c r="E51" s="52"/>
      <c r="F51" s="52"/>
      <c r="G51" s="52"/>
      <c r="H51" s="52"/>
      <c r="I51" s="52"/>
      <c r="J51" s="52"/>
      <c r="K51" s="52"/>
      <c r="L51" s="52"/>
      <c r="M51" s="52"/>
      <c r="N51" s="53"/>
    </row>
    <row r="52" spans="4:14" x14ac:dyDescent="0.25">
      <c r="D52" s="51"/>
      <c r="E52" s="52"/>
      <c r="F52" s="52"/>
      <c r="G52" s="52"/>
      <c r="H52" s="52"/>
      <c r="I52" s="52"/>
      <c r="J52" s="52"/>
      <c r="K52" s="52"/>
      <c r="L52" s="52"/>
      <c r="M52" s="52"/>
      <c r="N52" s="53"/>
    </row>
    <row r="53" spans="4:14" x14ac:dyDescent="0.25">
      <c r="D53" s="51"/>
      <c r="E53" s="52"/>
      <c r="F53" s="52"/>
      <c r="G53" s="52"/>
      <c r="H53" s="52"/>
      <c r="I53" s="52"/>
      <c r="J53" s="52"/>
      <c r="K53" s="52"/>
      <c r="L53" s="52"/>
      <c r="M53" s="52"/>
      <c r="N53" s="53"/>
    </row>
    <row r="54" spans="4:14" x14ac:dyDescent="0.25">
      <c r="D54" s="51"/>
      <c r="E54" s="52"/>
      <c r="F54" s="52"/>
      <c r="G54" s="52"/>
      <c r="H54" s="52"/>
      <c r="I54" s="52"/>
      <c r="J54" s="52"/>
      <c r="K54" s="52"/>
      <c r="L54" s="52"/>
      <c r="M54" s="52"/>
      <c r="N54" s="53"/>
    </row>
    <row r="55" spans="4:14" x14ac:dyDescent="0.25">
      <c r="D55" s="51"/>
      <c r="E55" s="52"/>
      <c r="F55" s="52"/>
      <c r="G55" s="52"/>
      <c r="H55" s="52"/>
      <c r="I55" s="52"/>
      <c r="J55" s="52"/>
      <c r="K55" s="52"/>
      <c r="L55" s="52"/>
      <c r="M55" s="52"/>
      <c r="N55" s="53"/>
    </row>
    <row r="56" spans="4:14" x14ac:dyDescent="0.25">
      <c r="D56" s="54"/>
      <c r="E56" s="55"/>
      <c r="F56" s="55"/>
      <c r="G56" s="55"/>
      <c r="H56" s="55"/>
      <c r="I56" s="55"/>
      <c r="J56" s="55"/>
      <c r="K56" s="55"/>
      <c r="L56" s="55"/>
      <c r="M56" s="55"/>
      <c r="N56" s="56"/>
    </row>
    <row r="58" spans="4:14" ht="15" customHeight="1" x14ac:dyDescent="0.25">
      <c r="D58" s="48" t="s">
        <v>1122</v>
      </c>
      <c r="E58" s="49"/>
      <c r="F58" s="49"/>
      <c r="G58" s="49"/>
      <c r="H58" s="49"/>
      <c r="I58" s="49"/>
      <c r="J58" s="49"/>
      <c r="K58" s="49"/>
      <c r="L58" s="49"/>
      <c r="M58" s="49"/>
      <c r="N58" s="50"/>
    </row>
    <row r="59" spans="4:14" x14ac:dyDescent="0.25">
      <c r="D59" s="51"/>
      <c r="E59" s="52"/>
      <c r="F59" s="52"/>
      <c r="G59" s="52"/>
      <c r="H59" s="52"/>
      <c r="I59" s="52"/>
      <c r="J59" s="52"/>
      <c r="K59" s="52"/>
      <c r="L59" s="52"/>
      <c r="M59" s="52"/>
      <c r="N59" s="53"/>
    </row>
    <row r="60" spans="4:14" x14ac:dyDescent="0.25">
      <c r="D60" s="51"/>
      <c r="E60" s="52"/>
      <c r="F60" s="52"/>
      <c r="G60" s="52"/>
      <c r="H60" s="52"/>
      <c r="I60" s="52"/>
      <c r="J60" s="52"/>
      <c r="K60" s="52"/>
      <c r="L60" s="52"/>
      <c r="M60" s="52"/>
      <c r="N60" s="53"/>
    </row>
    <row r="61" spans="4:14" x14ac:dyDescent="0.25">
      <c r="D61" s="51"/>
      <c r="E61" s="52"/>
      <c r="F61" s="52"/>
      <c r="G61" s="52"/>
      <c r="H61" s="52"/>
      <c r="I61" s="52"/>
      <c r="J61" s="52"/>
      <c r="K61" s="52"/>
      <c r="L61" s="52"/>
      <c r="M61" s="52"/>
      <c r="N61" s="53"/>
    </row>
    <row r="62" spans="4:14" x14ac:dyDescent="0.25">
      <c r="D62" s="51"/>
      <c r="E62" s="52"/>
      <c r="F62" s="52"/>
      <c r="G62" s="52"/>
      <c r="H62" s="52"/>
      <c r="I62" s="52"/>
      <c r="J62" s="52"/>
      <c r="K62" s="52"/>
      <c r="L62" s="52"/>
      <c r="M62" s="52"/>
      <c r="N62" s="53"/>
    </row>
    <row r="63" spans="4:14" x14ac:dyDescent="0.25">
      <c r="D63" s="51"/>
      <c r="E63" s="52"/>
      <c r="F63" s="52"/>
      <c r="G63" s="52"/>
      <c r="H63" s="52"/>
      <c r="I63" s="52"/>
      <c r="J63" s="52"/>
      <c r="K63" s="52"/>
      <c r="L63" s="52"/>
      <c r="M63" s="52"/>
      <c r="N63" s="53"/>
    </row>
    <row r="64" spans="4:14" x14ac:dyDescent="0.25">
      <c r="D64" s="51"/>
      <c r="E64" s="52"/>
      <c r="F64" s="52"/>
      <c r="G64" s="52"/>
      <c r="H64" s="52"/>
      <c r="I64" s="52"/>
      <c r="J64" s="52"/>
      <c r="K64" s="52"/>
      <c r="L64" s="52"/>
      <c r="M64" s="52"/>
      <c r="N64" s="53"/>
    </row>
    <row r="65" spans="4:14" x14ac:dyDescent="0.25">
      <c r="D65" s="51"/>
      <c r="E65" s="52"/>
      <c r="F65" s="52"/>
      <c r="G65" s="52"/>
      <c r="H65" s="52"/>
      <c r="I65" s="52"/>
      <c r="J65" s="52"/>
      <c r="K65" s="52"/>
      <c r="L65" s="52"/>
      <c r="M65" s="52"/>
      <c r="N65" s="53"/>
    </row>
    <row r="66" spans="4:14" x14ac:dyDescent="0.25">
      <c r="D66" s="51"/>
      <c r="E66" s="52"/>
      <c r="F66" s="52"/>
      <c r="G66" s="52"/>
      <c r="H66" s="52"/>
      <c r="I66" s="52"/>
      <c r="J66" s="52"/>
      <c r="K66" s="52"/>
      <c r="L66" s="52"/>
      <c r="M66" s="52"/>
      <c r="N66" s="53"/>
    </row>
    <row r="67" spans="4:14" x14ac:dyDescent="0.25">
      <c r="D67" s="51"/>
      <c r="E67" s="52"/>
      <c r="F67" s="52"/>
      <c r="G67" s="52"/>
      <c r="H67" s="52"/>
      <c r="I67" s="52"/>
      <c r="J67" s="52"/>
      <c r="K67" s="52"/>
      <c r="L67" s="52"/>
      <c r="M67" s="52"/>
      <c r="N67" s="53"/>
    </row>
    <row r="68" spans="4:14" x14ac:dyDescent="0.25">
      <c r="D68" s="51"/>
      <c r="E68" s="52"/>
      <c r="F68" s="52"/>
      <c r="G68" s="52"/>
      <c r="H68" s="52"/>
      <c r="I68" s="52"/>
      <c r="J68" s="52"/>
      <c r="K68" s="52"/>
      <c r="L68" s="52"/>
      <c r="M68" s="52"/>
      <c r="N68" s="53"/>
    </row>
    <row r="69" spans="4:14" x14ac:dyDescent="0.25">
      <c r="D69" s="51"/>
      <c r="E69" s="52"/>
      <c r="F69" s="52"/>
      <c r="G69" s="52"/>
      <c r="H69" s="52"/>
      <c r="I69" s="52"/>
      <c r="J69" s="52"/>
      <c r="K69" s="52"/>
      <c r="L69" s="52"/>
      <c r="M69" s="52"/>
      <c r="N69" s="53"/>
    </row>
    <row r="70" spans="4:14" x14ac:dyDescent="0.25">
      <c r="D70" s="51"/>
      <c r="E70" s="52"/>
      <c r="F70" s="52"/>
      <c r="G70" s="52"/>
      <c r="H70" s="52"/>
      <c r="I70" s="52"/>
      <c r="J70" s="52"/>
      <c r="K70" s="52"/>
      <c r="L70" s="52"/>
      <c r="M70" s="52"/>
      <c r="N70" s="53"/>
    </row>
    <row r="71" spans="4:14" x14ac:dyDescent="0.25">
      <c r="D71" s="51"/>
      <c r="E71" s="52"/>
      <c r="F71" s="52"/>
      <c r="G71" s="52"/>
      <c r="H71" s="52"/>
      <c r="I71" s="52"/>
      <c r="J71" s="52"/>
      <c r="K71" s="52"/>
      <c r="L71" s="52"/>
      <c r="M71" s="52"/>
      <c r="N71" s="53"/>
    </row>
    <row r="72" spans="4:14" x14ac:dyDescent="0.25">
      <c r="D72" s="51"/>
      <c r="E72" s="52"/>
      <c r="F72" s="52"/>
      <c r="G72" s="52"/>
      <c r="H72" s="52"/>
      <c r="I72" s="52"/>
      <c r="J72" s="52"/>
      <c r="K72" s="52"/>
      <c r="L72" s="52"/>
      <c r="M72" s="52"/>
      <c r="N72" s="53"/>
    </row>
    <row r="73" spans="4:14" x14ac:dyDescent="0.25">
      <c r="D73" s="51"/>
      <c r="E73" s="52"/>
      <c r="F73" s="52"/>
      <c r="G73" s="52"/>
      <c r="H73" s="52"/>
      <c r="I73" s="52"/>
      <c r="J73" s="52"/>
      <c r="K73" s="52"/>
      <c r="L73" s="52"/>
      <c r="M73" s="52"/>
      <c r="N73" s="53"/>
    </row>
    <row r="74" spans="4:14" x14ac:dyDescent="0.25">
      <c r="D74" s="51"/>
      <c r="E74" s="52"/>
      <c r="F74" s="52"/>
      <c r="G74" s="52"/>
      <c r="H74" s="52"/>
      <c r="I74" s="52"/>
      <c r="J74" s="52"/>
      <c r="K74" s="52"/>
      <c r="L74" s="52"/>
      <c r="M74" s="52"/>
      <c r="N74" s="53"/>
    </row>
    <row r="75" spans="4:14" x14ac:dyDescent="0.25">
      <c r="D75" s="54"/>
      <c r="E75" s="55"/>
      <c r="F75" s="55"/>
      <c r="G75" s="55"/>
      <c r="H75" s="55"/>
      <c r="I75" s="55"/>
      <c r="J75" s="55"/>
      <c r="K75" s="55"/>
      <c r="L75" s="55"/>
      <c r="M75" s="55"/>
      <c r="N75" s="56"/>
    </row>
    <row r="77" spans="4:14" x14ac:dyDescent="0.25">
      <c r="D77" s="48" t="s">
        <v>1123</v>
      </c>
      <c r="E77" s="49"/>
      <c r="F77" s="49"/>
      <c r="G77" s="49"/>
      <c r="H77" s="49"/>
      <c r="I77" s="49"/>
      <c r="J77" s="49"/>
      <c r="K77" s="49"/>
      <c r="L77" s="49"/>
      <c r="M77" s="49"/>
      <c r="N77" s="50"/>
    </row>
    <row r="78" spans="4:14" x14ac:dyDescent="0.25">
      <c r="D78" s="51"/>
      <c r="E78" s="52"/>
      <c r="F78" s="52"/>
      <c r="G78" s="52"/>
      <c r="H78" s="52"/>
      <c r="I78" s="52"/>
      <c r="J78" s="52"/>
      <c r="K78" s="52"/>
      <c r="L78" s="52"/>
      <c r="M78" s="52"/>
      <c r="N78" s="53"/>
    </row>
    <row r="79" spans="4:14" x14ac:dyDescent="0.25">
      <c r="D79" s="51"/>
      <c r="E79" s="52"/>
      <c r="F79" s="52"/>
      <c r="G79" s="52"/>
      <c r="H79" s="52"/>
      <c r="I79" s="52"/>
      <c r="J79" s="52"/>
      <c r="K79" s="52"/>
      <c r="L79" s="52"/>
      <c r="M79" s="52"/>
      <c r="N79" s="53"/>
    </row>
    <row r="80" spans="4:14" x14ac:dyDescent="0.25">
      <c r="D80" s="51"/>
      <c r="E80" s="52"/>
      <c r="F80" s="52"/>
      <c r="G80" s="52"/>
      <c r="H80" s="52"/>
      <c r="I80" s="52"/>
      <c r="J80" s="52"/>
      <c r="K80" s="52"/>
      <c r="L80" s="52"/>
      <c r="M80" s="52"/>
      <c r="N80" s="53"/>
    </row>
    <row r="81" spans="4:14" x14ac:dyDescent="0.25">
      <c r="D81" s="51"/>
      <c r="E81" s="52"/>
      <c r="F81" s="52"/>
      <c r="G81" s="52"/>
      <c r="H81" s="52"/>
      <c r="I81" s="52"/>
      <c r="J81" s="52"/>
      <c r="K81" s="52"/>
      <c r="L81" s="52"/>
      <c r="M81" s="52"/>
      <c r="N81" s="53"/>
    </row>
    <row r="82" spans="4:14" x14ac:dyDescent="0.25">
      <c r="D82" s="51"/>
      <c r="E82" s="52"/>
      <c r="F82" s="52"/>
      <c r="G82" s="52"/>
      <c r="H82" s="52"/>
      <c r="I82" s="52"/>
      <c r="J82" s="52"/>
      <c r="K82" s="52"/>
      <c r="L82" s="52"/>
      <c r="M82" s="52"/>
      <c r="N82" s="53"/>
    </row>
    <row r="83" spans="4:14" x14ac:dyDescent="0.25">
      <c r="D83" s="51"/>
      <c r="E83" s="52"/>
      <c r="F83" s="52"/>
      <c r="G83" s="52"/>
      <c r="H83" s="52"/>
      <c r="I83" s="52"/>
      <c r="J83" s="52"/>
      <c r="K83" s="52"/>
      <c r="L83" s="52"/>
      <c r="M83" s="52"/>
      <c r="N83" s="53"/>
    </row>
    <row r="84" spans="4:14" x14ac:dyDescent="0.25">
      <c r="D84" s="51"/>
      <c r="E84" s="52"/>
      <c r="F84" s="52"/>
      <c r="G84" s="52"/>
      <c r="H84" s="52"/>
      <c r="I84" s="52"/>
      <c r="J84" s="52"/>
      <c r="K84" s="52"/>
      <c r="L84" s="52"/>
      <c r="M84" s="52"/>
      <c r="N84" s="53"/>
    </row>
    <row r="85" spans="4:14" x14ac:dyDescent="0.25">
      <c r="D85" s="54"/>
      <c r="E85" s="55"/>
      <c r="F85" s="55"/>
      <c r="G85" s="55"/>
      <c r="H85" s="55"/>
      <c r="I85" s="55"/>
      <c r="J85" s="55"/>
      <c r="K85" s="55"/>
      <c r="L85" s="55"/>
      <c r="M85" s="55"/>
      <c r="N85" s="56"/>
    </row>
  </sheetData>
  <mergeCells count="6">
    <mergeCell ref="D77:N85"/>
    <mergeCell ref="O1:P1"/>
    <mergeCell ref="D8:N8"/>
    <mergeCell ref="D10:N24"/>
    <mergeCell ref="D58:N75"/>
    <mergeCell ref="D26:N5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Btn_GenerateFile">
          <controlPr defaultSize="0" autoLine="0" r:id="rId5">
            <anchor moveWithCells="1">
              <from>
                <xdr:col>8</xdr:col>
                <xdr:colOff>304800</xdr:colOff>
                <xdr:row>3</xdr:row>
                <xdr:rowOff>152400</xdr:rowOff>
              </from>
              <to>
                <xdr:col>13</xdr:col>
                <xdr:colOff>561975</xdr:colOff>
                <xdr:row>5</xdr:row>
                <xdr:rowOff>104775</xdr:rowOff>
              </to>
            </anchor>
          </controlPr>
        </control>
      </mc:Choice>
      <mc:Fallback>
        <control shapeId="2049" r:id="rId4" name="Btn_GenerateFile"/>
      </mc:Fallback>
    </mc:AlternateContent>
    <mc:AlternateContent xmlns:mc="http://schemas.openxmlformats.org/markup-compatibility/2006">
      <mc:Choice Requires="x14">
        <control shapeId="2050" r:id="rId6" name="Btn_RefreshData">
          <controlPr defaultSize="0" autoLine="0" r:id="rId7">
            <anchor moveWithCells="1">
              <from>
                <xdr:col>3</xdr:col>
                <xdr:colOff>9525</xdr:colOff>
                <xdr:row>3</xdr:row>
                <xdr:rowOff>152400</xdr:rowOff>
              </from>
              <to>
                <xdr:col>8</xdr:col>
                <xdr:colOff>266700</xdr:colOff>
                <xdr:row>5</xdr:row>
                <xdr:rowOff>104775</xdr:rowOff>
              </to>
            </anchor>
          </controlPr>
        </control>
      </mc:Choice>
      <mc:Fallback>
        <control shapeId="2050" r:id="rId6" name="Btn_RefreshDat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89"/>
  <sheetViews>
    <sheetView workbookViewId="0">
      <pane xSplit="4" ySplit="1" topLeftCell="S2" activePane="bottomRight" state="frozen"/>
      <selection pane="topRight" activeCell="C1" sqref="C1"/>
      <selection pane="bottomLeft" activeCell="A2" sqref="A2"/>
      <selection pane="bottomRight" activeCell="AD1" sqref="AD1:AE1"/>
    </sheetView>
  </sheetViews>
  <sheetFormatPr defaultColWidth="13.85546875" defaultRowHeight="15" x14ac:dyDescent="0.25"/>
  <cols>
    <col min="1" max="1" width="11.7109375" style="19" customWidth="1"/>
    <col min="2" max="2" width="9.7109375" style="25" customWidth="1"/>
    <col min="3" max="3" width="14" style="19" bestFit="1" customWidth="1"/>
    <col min="4" max="4" width="46.7109375" style="19" bestFit="1" customWidth="1"/>
    <col min="5" max="5" width="2.85546875" style="19" customWidth="1"/>
    <col min="6" max="6" width="11.42578125" style="19" bestFit="1" customWidth="1"/>
    <col min="7" max="7" width="10.5703125" style="19" bestFit="1" customWidth="1"/>
    <col min="8" max="8" width="13.42578125" style="19" bestFit="1" customWidth="1"/>
    <col min="9" max="9" width="2.85546875" style="19" customWidth="1"/>
    <col min="10" max="10" width="14.42578125" style="19" bestFit="1" customWidth="1"/>
    <col min="11" max="11" width="14.28515625" style="19" bestFit="1" customWidth="1"/>
    <col min="12" max="12" width="24" style="19" bestFit="1" customWidth="1"/>
    <col min="13" max="13" width="2.85546875" style="19" customWidth="1"/>
    <col min="14" max="14" width="34.7109375" style="19" bestFit="1" customWidth="1"/>
    <col min="15" max="15" width="30.85546875" style="19" bestFit="1" customWidth="1"/>
    <col min="16" max="16" width="64.42578125" style="25" bestFit="1" customWidth="1"/>
    <col min="17" max="17" width="2.85546875" style="19" customWidth="1"/>
    <col min="18" max="18" width="30.28515625" style="19" bestFit="1" customWidth="1"/>
    <col min="19" max="19" width="74.7109375" style="19" bestFit="1" customWidth="1"/>
    <col min="20" max="20" width="2.85546875" style="19" customWidth="1"/>
    <col min="21" max="21" width="42.85546875" style="25" bestFit="1" customWidth="1"/>
    <col min="22" max="22" width="34.28515625" style="25" bestFit="1" customWidth="1"/>
    <col min="23" max="23" width="58.140625" style="25" bestFit="1" customWidth="1"/>
    <col min="24" max="24" width="68.85546875" style="25" bestFit="1" customWidth="1"/>
    <col min="25" max="25" width="132.85546875" style="25" bestFit="1" customWidth="1"/>
    <col min="26" max="26" width="2.85546875" style="19" customWidth="1"/>
    <col min="27" max="27" width="24.5703125" style="19" bestFit="1" customWidth="1"/>
    <col min="28" max="28" width="27.5703125" style="19" bestFit="1" customWidth="1"/>
    <col min="29" max="29" width="2.85546875" style="19" customWidth="1"/>
    <col min="30" max="30" width="23.7109375" style="19" bestFit="1" customWidth="1"/>
    <col min="31" max="31" width="25.28515625" style="19" bestFit="1" customWidth="1"/>
    <col min="32" max="32" width="24.140625" style="19" bestFit="1" customWidth="1"/>
    <col min="33" max="33" width="25.7109375" style="19" bestFit="1" customWidth="1"/>
    <col min="34" max="34" width="2.85546875" style="19" customWidth="1"/>
    <col min="35" max="36" width="255.7109375" style="19" bestFit="1" customWidth="1"/>
    <col min="37" max="16384" width="13.85546875" style="19"/>
  </cols>
  <sheetData>
    <row r="1" spans="1:36" s="21" customFormat="1" x14ac:dyDescent="0.25">
      <c r="A1" s="22" t="s">
        <v>468</v>
      </c>
      <c r="B1" s="22" t="s">
        <v>469</v>
      </c>
      <c r="C1" s="21" t="s">
        <v>215</v>
      </c>
      <c r="D1" s="21" t="s">
        <v>27</v>
      </c>
      <c r="E1" s="35"/>
      <c r="F1" s="23" t="s">
        <v>204</v>
      </c>
      <c r="G1" s="23" t="s">
        <v>202</v>
      </c>
      <c r="H1" s="23" t="s">
        <v>203</v>
      </c>
      <c r="I1" s="35"/>
      <c r="J1" s="34" t="s">
        <v>72</v>
      </c>
      <c r="K1" s="34" t="s">
        <v>73</v>
      </c>
      <c r="L1" s="34" t="s">
        <v>74</v>
      </c>
      <c r="M1" s="35"/>
      <c r="N1" s="34" t="s">
        <v>470</v>
      </c>
      <c r="O1" s="34" t="s">
        <v>471</v>
      </c>
      <c r="P1" s="34" t="s">
        <v>472</v>
      </c>
      <c r="Q1" s="35"/>
      <c r="R1" s="37" t="s">
        <v>1105</v>
      </c>
      <c r="S1" s="37" t="s">
        <v>1104</v>
      </c>
      <c r="T1" s="35"/>
      <c r="U1" s="34" t="s">
        <v>28</v>
      </c>
      <c r="V1" s="37" t="s">
        <v>1106</v>
      </c>
      <c r="W1" s="38" t="s">
        <v>108</v>
      </c>
      <c r="X1" s="39" t="s">
        <v>76</v>
      </c>
      <c r="Y1" s="39" t="s">
        <v>1108</v>
      </c>
      <c r="Z1" s="35"/>
      <c r="AA1" s="34" t="s">
        <v>1109</v>
      </c>
      <c r="AB1" s="36" t="s">
        <v>1119</v>
      </c>
      <c r="AC1" s="35"/>
      <c r="AD1" s="34" t="s">
        <v>1114</v>
      </c>
      <c r="AE1" s="34" t="s">
        <v>1115</v>
      </c>
      <c r="AF1" s="36" t="s">
        <v>1112</v>
      </c>
      <c r="AG1" s="36" t="s">
        <v>1113</v>
      </c>
      <c r="AH1" s="35"/>
      <c r="AI1" s="21" t="s">
        <v>874</v>
      </c>
      <c r="AJ1" s="21" t="s">
        <v>875</v>
      </c>
    </row>
    <row r="2" spans="1:36" x14ac:dyDescent="0.25">
      <c r="A2" s="19" t="s">
        <v>487</v>
      </c>
      <c r="B2" s="26" t="s">
        <v>293</v>
      </c>
      <c r="C2" s="19" t="s">
        <v>29</v>
      </c>
      <c r="D2" s="19" t="s">
        <v>26</v>
      </c>
      <c r="F2" s="19" t="str">
        <f>SUBSTITUTE(IF("" &lt;&gt; AA2, AA2, AB2), ")", "")</f>
        <v>E8 4EZ</v>
      </c>
      <c r="G2" s="19">
        <f>IF(0 = IF("" = AD2, AF2, AD2), "", IF("" = AD2, AF2, AD2))</f>
        <v>51.539088</v>
      </c>
      <c r="H2" s="19">
        <f>IF(0 = IF("" = AE2, AG2, AE2), "", IF("" = AE2, AG2, AE2))</f>
        <v>-7.3342000000000004E-2</v>
      </c>
      <c r="J2" s="19">
        <v>230</v>
      </c>
      <c r="R2" s="19" t="s">
        <v>77</v>
      </c>
      <c r="S2" s="19" t="s">
        <v>77</v>
      </c>
      <c r="U2"/>
      <c r="V2" t="s">
        <v>77</v>
      </c>
      <c r="W2" t="s">
        <v>77</v>
      </c>
      <c r="X2" s="25" t="s">
        <v>77</v>
      </c>
      <c r="Y2" s="25" t="s">
        <v>77</v>
      </c>
      <c r="AA2" s="19" t="s">
        <v>274</v>
      </c>
      <c r="AB2" s="19" t="s">
        <v>77</v>
      </c>
      <c r="AD2" s="19">
        <v>51.539088</v>
      </c>
      <c r="AE2" s="19">
        <v>-7.3342000000000004E-2</v>
      </c>
      <c r="AF2">
        <v>51.538626000000001</v>
      </c>
      <c r="AG2">
        <v>-7.0954411999999994E-2</v>
      </c>
      <c r="AI2" s="19" t="s">
        <v>876</v>
      </c>
      <c r="AJ2" s="19" t="s">
        <v>877</v>
      </c>
    </row>
    <row r="3" spans="1:36" x14ac:dyDescent="0.25">
      <c r="A3" s="19" t="s">
        <v>493</v>
      </c>
      <c r="B3" s="26" t="s">
        <v>297</v>
      </c>
      <c r="C3" s="19" t="s">
        <v>29</v>
      </c>
      <c r="D3" s="19" t="s">
        <v>492</v>
      </c>
      <c r="F3" s="19" t="str">
        <f t="shared" ref="F3:F66" si="0">SUBSTITUTE(IF("" &lt;&gt; AA3, AA3, AB3), ")", "")</f>
        <v>E5 0AJ</v>
      </c>
      <c r="G3" s="19">
        <f t="shared" ref="G3:G66" si="1">IF(0 = IF("" = AD3, AF3, AD3), "", IF("" = AD3, AF3, AD3))</f>
        <v>51.556047999999997</v>
      </c>
      <c r="H3" s="19">
        <f t="shared" ref="H3:H66" si="2">IF(0 = IF("" = AE3, AG3, AE3), "", IF("" = AE3, AG3, AE3))</f>
        <v>-4.1669999999999999E-2</v>
      </c>
      <c r="J3" s="19">
        <v>33</v>
      </c>
      <c r="R3" s="19" t="s">
        <v>77</v>
      </c>
      <c r="S3" s="19" t="s">
        <v>77</v>
      </c>
      <c r="U3" s="26" t="s">
        <v>878</v>
      </c>
      <c r="V3" t="s">
        <v>77</v>
      </c>
      <c r="W3" t="s">
        <v>77</v>
      </c>
      <c r="X3" s="25" t="s">
        <v>77</v>
      </c>
      <c r="Y3" s="25" t="s">
        <v>77</v>
      </c>
      <c r="AA3" s="19" t="s">
        <v>222</v>
      </c>
      <c r="AB3" s="19" t="s">
        <v>77</v>
      </c>
      <c r="AD3" s="19">
        <v>51.556047999999997</v>
      </c>
      <c r="AE3" s="19">
        <v>-4.1669999999999999E-2</v>
      </c>
      <c r="AF3">
        <v>51.555081000000001</v>
      </c>
      <c r="AG3">
        <v>-4.1003534000000001E-2</v>
      </c>
      <c r="AI3" s="19" t="s">
        <v>879</v>
      </c>
      <c r="AJ3" s="19" t="s">
        <v>880</v>
      </c>
    </row>
    <row r="4" spans="1:36" x14ac:dyDescent="0.25">
      <c r="A4" s="19" t="s">
        <v>493</v>
      </c>
      <c r="B4" s="26" t="s">
        <v>298</v>
      </c>
      <c r="C4" s="19" t="s">
        <v>29</v>
      </c>
      <c r="D4" s="19" t="s">
        <v>497</v>
      </c>
      <c r="F4" s="19" t="str">
        <f t="shared" si="0"/>
        <v>E9 5QB</v>
      </c>
      <c r="G4" s="19">
        <f t="shared" si="1"/>
        <v>51.504806000000002</v>
      </c>
      <c r="H4" s="19">
        <f t="shared" si="2"/>
        <v>0.112953</v>
      </c>
      <c r="J4" s="19">
        <v>26</v>
      </c>
      <c r="N4" s="19" t="s">
        <v>499</v>
      </c>
      <c r="O4" s="19" t="s">
        <v>500</v>
      </c>
      <c r="P4" s="26" t="s">
        <v>501</v>
      </c>
      <c r="R4" s="19" t="s">
        <v>77</v>
      </c>
      <c r="S4" s="19" t="s">
        <v>77</v>
      </c>
      <c r="U4" s="26" t="s">
        <v>882</v>
      </c>
      <c r="V4" t="s">
        <v>77</v>
      </c>
      <c r="W4" t="s">
        <v>77</v>
      </c>
      <c r="X4" s="25" t="s">
        <v>77</v>
      </c>
      <c r="Y4" s="25" t="s">
        <v>77</v>
      </c>
      <c r="AA4" s="19" t="s">
        <v>881</v>
      </c>
      <c r="AB4" s="19" t="s">
        <v>77</v>
      </c>
      <c r="AD4" s="19">
        <v>51.504806000000002</v>
      </c>
      <c r="AE4" s="19">
        <v>0.112953</v>
      </c>
      <c r="AF4">
        <v>51.550069000000001</v>
      </c>
      <c r="AG4">
        <v>-3.4872372999999998E-2</v>
      </c>
      <c r="AI4" s="19" t="s">
        <v>883</v>
      </c>
      <c r="AJ4" s="19" t="s">
        <v>884</v>
      </c>
    </row>
    <row r="5" spans="1:36" x14ac:dyDescent="0.25">
      <c r="A5" s="19" t="s">
        <v>557</v>
      </c>
      <c r="B5" s="26" t="s">
        <v>334</v>
      </c>
      <c r="C5" s="19" t="s">
        <v>29</v>
      </c>
      <c r="D5" s="19" t="s">
        <v>17</v>
      </c>
      <c r="F5" s="19" t="str">
        <f t="shared" si="0"/>
        <v>N1 5LF</v>
      </c>
      <c r="G5" s="19">
        <f t="shared" si="1"/>
        <v>51.533785000000002</v>
      </c>
      <c r="H5" s="19">
        <f t="shared" si="2"/>
        <v>-8.2290278999999994E-2</v>
      </c>
      <c r="J5" s="19">
        <v>0</v>
      </c>
      <c r="N5" s="19" t="s">
        <v>559</v>
      </c>
      <c r="O5" s="19" t="s">
        <v>560</v>
      </c>
      <c r="P5" s="26" t="s">
        <v>561</v>
      </c>
      <c r="R5" s="19">
        <v>5588</v>
      </c>
      <c r="S5" s="19" t="s">
        <v>16</v>
      </c>
      <c r="U5" s="26" t="s">
        <v>885</v>
      </c>
      <c r="V5" t="s">
        <v>77</v>
      </c>
      <c r="W5" s="26" t="s">
        <v>117</v>
      </c>
      <c r="X5" s="25">
        <v>0</v>
      </c>
      <c r="Y5" s="26" t="s">
        <v>159</v>
      </c>
      <c r="AB5" s="19" t="s">
        <v>227</v>
      </c>
      <c r="AF5">
        <v>51.533785000000002</v>
      </c>
      <c r="AG5">
        <v>-8.2290278999999994E-2</v>
      </c>
    </row>
    <row r="6" spans="1:36" x14ac:dyDescent="0.25">
      <c r="A6" s="19" t="s">
        <v>484</v>
      </c>
      <c r="B6" s="26" t="s">
        <v>291</v>
      </c>
      <c r="C6" s="19" t="s">
        <v>29</v>
      </c>
      <c r="D6" s="19" t="s">
        <v>292</v>
      </c>
      <c r="F6" s="19" t="str">
        <f t="shared" si="0"/>
        <v>E8 3DY</v>
      </c>
      <c r="G6" s="19">
        <f t="shared" si="1"/>
        <v>51.544907000000002</v>
      </c>
      <c r="H6" s="19">
        <f t="shared" si="2"/>
        <v>-7.3299000000000003E-2</v>
      </c>
      <c r="J6" s="19">
        <v>230</v>
      </c>
      <c r="R6" s="19">
        <v>8749</v>
      </c>
      <c r="S6" s="19" t="s">
        <v>4</v>
      </c>
      <c r="U6"/>
      <c r="V6" t="s">
        <v>77</v>
      </c>
      <c r="W6" s="26" t="s">
        <v>111</v>
      </c>
      <c r="X6" s="25">
        <v>0</v>
      </c>
      <c r="Y6" s="26" t="s">
        <v>149</v>
      </c>
      <c r="AA6" s="19" t="s">
        <v>887</v>
      </c>
      <c r="AB6" s="19" t="s">
        <v>273</v>
      </c>
      <c r="AD6" s="19">
        <v>51.544907000000002</v>
      </c>
      <c r="AE6" s="19">
        <v>-7.3299000000000003E-2</v>
      </c>
      <c r="AF6">
        <v>51.545293999999998</v>
      </c>
      <c r="AG6">
        <v>-7.3383817000000004E-2</v>
      </c>
      <c r="AI6" s="19" t="s">
        <v>876</v>
      </c>
      <c r="AJ6" s="19" t="s">
        <v>877</v>
      </c>
    </row>
    <row r="7" spans="1:36" x14ac:dyDescent="0.25">
      <c r="A7" s="19" t="s">
        <v>481</v>
      </c>
      <c r="B7" s="26" t="s">
        <v>289</v>
      </c>
      <c r="C7" s="19" t="s">
        <v>29</v>
      </c>
      <c r="D7" s="19" t="s">
        <v>290</v>
      </c>
      <c r="F7" s="19" t="str">
        <f t="shared" si="0"/>
        <v>E8 4EP</v>
      </c>
      <c r="G7" s="19">
        <f t="shared" si="1"/>
        <v>51.544907000000002</v>
      </c>
      <c r="H7" s="19">
        <f t="shared" si="2"/>
        <v>-7.3299000000000003E-2</v>
      </c>
      <c r="J7" s="19">
        <v>230</v>
      </c>
      <c r="N7" s="19" t="s">
        <v>485</v>
      </c>
      <c r="O7" s="19" t="s">
        <v>470</v>
      </c>
      <c r="P7" s="26" t="s">
        <v>486</v>
      </c>
      <c r="R7" s="19">
        <v>8749</v>
      </c>
      <c r="S7" s="19" t="s">
        <v>4</v>
      </c>
      <c r="U7"/>
      <c r="V7" t="s">
        <v>77</v>
      </c>
      <c r="W7" s="26" t="s">
        <v>111</v>
      </c>
      <c r="X7" s="25">
        <v>0</v>
      </c>
      <c r="Y7" s="26" t="s">
        <v>149</v>
      </c>
      <c r="AA7" s="19" t="s">
        <v>273</v>
      </c>
      <c r="AB7" s="19" t="s">
        <v>274</v>
      </c>
      <c r="AD7" s="19">
        <v>51.544907000000002</v>
      </c>
      <c r="AE7" s="19">
        <v>-7.3299000000000003E-2</v>
      </c>
      <c r="AF7">
        <v>51.540160999999998</v>
      </c>
      <c r="AG7">
        <v>-7.4624451999999994E-2</v>
      </c>
      <c r="AI7" s="19" t="s">
        <v>876</v>
      </c>
      <c r="AJ7" s="19" t="s">
        <v>877</v>
      </c>
    </row>
    <row r="8" spans="1:36" x14ac:dyDescent="0.25">
      <c r="A8" s="19" t="s">
        <v>538</v>
      </c>
      <c r="B8" s="26" t="s">
        <v>322</v>
      </c>
      <c r="C8" s="19" t="s">
        <v>29</v>
      </c>
      <c r="D8" s="19" t="s">
        <v>323</v>
      </c>
      <c r="F8" s="19" t="str">
        <f t="shared" si="0"/>
        <v>N1 7QG</v>
      </c>
      <c r="G8" s="19">
        <f t="shared" si="1"/>
        <v>51.531055000000002</v>
      </c>
      <c r="H8" s="19">
        <f t="shared" si="2"/>
        <v>-9.1797000000000004E-2</v>
      </c>
      <c r="J8" s="19">
        <v>53</v>
      </c>
      <c r="N8" s="19" t="s">
        <v>542</v>
      </c>
      <c r="O8" s="19" t="s">
        <v>470</v>
      </c>
      <c r="P8" s="26" t="s">
        <v>543</v>
      </c>
      <c r="R8" s="19">
        <v>7400</v>
      </c>
      <c r="S8" s="19" t="s">
        <v>15</v>
      </c>
      <c r="U8"/>
      <c r="V8" t="s">
        <v>77</v>
      </c>
      <c r="W8" s="26" t="s">
        <v>117</v>
      </c>
      <c r="X8" s="25">
        <v>0</v>
      </c>
      <c r="Y8" s="26" t="s">
        <v>158</v>
      </c>
      <c r="AA8" s="19" t="s">
        <v>276</v>
      </c>
      <c r="AB8" s="19" t="s">
        <v>276</v>
      </c>
      <c r="AD8" s="19">
        <v>51.531055000000002</v>
      </c>
      <c r="AE8" s="19">
        <v>-9.1797000000000004E-2</v>
      </c>
      <c r="AF8">
        <v>51.530898000000001</v>
      </c>
      <c r="AG8">
        <v>-9.1624536000000006E-2</v>
      </c>
      <c r="AI8" s="19" t="s">
        <v>888</v>
      </c>
      <c r="AJ8" s="19" t="s">
        <v>889</v>
      </c>
    </row>
    <row r="9" spans="1:36" x14ac:dyDescent="0.25">
      <c r="A9" s="19" t="s">
        <v>473</v>
      </c>
      <c r="B9" s="26" t="s">
        <v>283</v>
      </c>
      <c r="C9" s="19" t="s">
        <v>29</v>
      </c>
      <c r="D9" s="19" t="s">
        <v>284</v>
      </c>
      <c r="F9" s="19" t="str">
        <f t="shared" si="0"/>
        <v>E5 0PD</v>
      </c>
      <c r="G9" s="19">
        <f t="shared" si="1"/>
        <v>51.549723999999998</v>
      </c>
      <c r="H9" s="19">
        <f t="shared" si="2"/>
        <v>-6.1133E-2</v>
      </c>
      <c r="J9" s="19">
        <v>251</v>
      </c>
      <c r="N9" s="19" t="s">
        <v>475</v>
      </c>
      <c r="O9" s="19" t="s">
        <v>470</v>
      </c>
      <c r="P9" s="26" t="s">
        <v>476</v>
      </c>
      <c r="R9" s="19" t="s">
        <v>77</v>
      </c>
      <c r="S9" s="19" t="s">
        <v>77</v>
      </c>
      <c r="U9" s="26" t="s">
        <v>891</v>
      </c>
      <c r="V9" t="s">
        <v>77</v>
      </c>
      <c r="W9" t="s">
        <v>77</v>
      </c>
      <c r="X9" s="25" t="s">
        <v>77</v>
      </c>
      <c r="Y9" s="25" t="s">
        <v>77</v>
      </c>
      <c r="AA9" s="19" t="s">
        <v>890</v>
      </c>
      <c r="AB9" s="19" t="s">
        <v>77</v>
      </c>
      <c r="AD9" s="19">
        <v>51.549723999999998</v>
      </c>
      <c r="AE9" s="19">
        <v>-6.1133E-2</v>
      </c>
      <c r="AF9">
        <v>51.550592000000002</v>
      </c>
      <c r="AG9">
        <v>-5.2230775E-2</v>
      </c>
      <c r="AI9" s="19" t="s">
        <v>892</v>
      </c>
      <c r="AJ9" s="19" t="s">
        <v>893</v>
      </c>
    </row>
    <row r="10" spans="1:36" x14ac:dyDescent="0.25">
      <c r="A10" s="19" t="s">
        <v>517</v>
      </c>
      <c r="B10" s="26" t="s">
        <v>309</v>
      </c>
      <c r="C10" s="19" t="s">
        <v>29</v>
      </c>
      <c r="D10" s="19" t="s">
        <v>310</v>
      </c>
      <c r="F10" s="19" t="str">
        <f t="shared" si="0"/>
        <v>N16 5DU</v>
      </c>
      <c r="G10" s="19">
        <f t="shared" si="1"/>
        <v>51.570605999999998</v>
      </c>
      <c r="H10" s="19">
        <f t="shared" si="2"/>
        <v>-8.0284999999999995E-2</v>
      </c>
      <c r="J10" s="19">
        <v>47</v>
      </c>
      <c r="N10" s="19" t="s">
        <v>521</v>
      </c>
      <c r="O10" s="19" t="s">
        <v>479</v>
      </c>
      <c r="P10" s="26" t="s">
        <v>522</v>
      </c>
      <c r="R10" s="19">
        <v>13073</v>
      </c>
      <c r="S10" s="19" t="s">
        <v>21</v>
      </c>
      <c r="U10" s="26" t="s">
        <v>895</v>
      </c>
      <c r="V10" t="s">
        <v>77</v>
      </c>
      <c r="W10" s="26" t="s">
        <v>119</v>
      </c>
      <c r="X10" s="26" t="s">
        <v>86</v>
      </c>
      <c r="Y10" s="26" t="s">
        <v>163</v>
      </c>
      <c r="AA10" s="19" t="s">
        <v>277</v>
      </c>
      <c r="AB10" s="19" t="s">
        <v>277</v>
      </c>
      <c r="AD10" s="19">
        <v>51.570605999999998</v>
      </c>
      <c r="AE10" s="19">
        <v>-8.0284999999999995E-2</v>
      </c>
      <c r="AF10">
        <v>51.571281999999997</v>
      </c>
      <c r="AG10">
        <v>-8.1044531000000003E-2</v>
      </c>
      <c r="AI10" s="19" t="s">
        <v>896</v>
      </c>
      <c r="AJ10" s="19" t="s">
        <v>897</v>
      </c>
    </row>
    <row r="11" spans="1:36" x14ac:dyDescent="0.25">
      <c r="A11" s="19" t="s">
        <v>535</v>
      </c>
      <c r="B11" s="26" t="s">
        <v>320</v>
      </c>
      <c r="C11" s="19" t="s">
        <v>29</v>
      </c>
      <c r="D11" s="19" t="s">
        <v>321</v>
      </c>
      <c r="F11" s="19" t="str">
        <f t="shared" si="0"/>
        <v>N1 5LF</v>
      </c>
      <c r="G11" s="19">
        <f t="shared" si="1"/>
        <v>51.534497999999999</v>
      </c>
      <c r="H11" s="19">
        <f t="shared" si="2"/>
        <v>-8.1227999999999995E-2</v>
      </c>
      <c r="J11" s="19">
        <v>95</v>
      </c>
      <c r="N11" s="19" t="s">
        <v>539</v>
      </c>
      <c r="O11" s="19" t="s">
        <v>470</v>
      </c>
      <c r="P11" s="26" t="s">
        <v>540</v>
      </c>
      <c r="R11" s="19">
        <v>5588</v>
      </c>
      <c r="S11" s="19" t="s">
        <v>16</v>
      </c>
      <c r="U11" s="26" t="s">
        <v>898</v>
      </c>
      <c r="V11" t="s">
        <v>77</v>
      </c>
      <c r="W11" s="26" t="s">
        <v>117</v>
      </c>
      <c r="X11" s="25">
        <v>0</v>
      </c>
      <c r="Y11" s="26" t="s">
        <v>159</v>
      </c>
      <c r="AA11" s="19" t="s">
        <v>227</v>
      </c>
      <c r="AB11" s="19" t="s">
        <v>227</v>
      </c>
      <c r="AD11" s="19">
        <v>51.534497999999999</v>
      </c>
      <c r="AE11" s="19">
        <v>-8.1227999999999995E-2</v>
      </c>
      <c r="AF11">
        <v>51.533785000000002</v>
      </c>
      <c r="AG11">
        <v>-8.2290278999999994E-2</v>
      </c>
      <c r="AI11" s="19" t="s">
        <v>899</v>
      </c>
      <c r="AJ11" s="19" t="s">
        <v>900</v>
      </c>
    </row>
    <row r="12" spans="1:36" x14ac:dyDescent="0.25">
      <c r="A12" s="19" t="s">
        <v>554</v>
      </c>
      <c r="B12" s="26" t="s">
        <v>332</v>
      </c>
      <c r="C12" s="19" t="s">
        <v>29</v>
      </c>
      <c r="D12" s="19" t="s">
        <v>333</v>
      </c>
      <c r="F12" s="19" t="str">
        <f t="shared" si="0"/>
        <v>E9 6DL</v>
      </c>
      <c r="G12" s="19">
        <f t="shared" si="1"/>
        <v>51.548628999999998</v>
      </c>
      <c r="H12" s="19">
        <f t="shared" si="2"/>
        <v>-4.3458628999999999E-2</v>
      </c>
      <c r="J12" s="19">
        <v>0</v>
      </c>
      <c r="R12" s="19">
        <v>16959</v>
      </c>
      <c r="S12" s="19" t="s">
        <v>7</v>
      </c>
      <c r="U12" s="26" t="s">
        <v>901</v>
      </c>
      <c r="V12" t="s">
        <v>77</v>
      </c>
      <c r="W12"/>
      <c r="X12" s="25">
        <v>0</v>
      </c>
      <c r="Y12" s="26" t="s">
        <v>152</v>
      </c>
      <c r="AB12" s="19" t="s">
        <v>221</v>
      </c>
      <c r="AF12">
        <v>51.548628999999998</v>
      </c>
      <c r="AG12">
        <v>-4.3458628999999999E-2</v>
      </c>
    </row>
    <row r="13" spans="1:36" x14ac:dyDescent="0.25">
      <c r="A13" s="19" t="s">
        <v>489</v>
      </c>
      <c r="B13" s="26" t="s">
        <v>296</v>
      </c>
      <c r="C13" s="19" t="s">
        <v>29</v>
      </c>
      <c r="D13" s="19" t="s">
        <v>8</v>
      </c>
      <c r="F13" s="19" t="str">
        <f t="shared" si="0"/>
        <v>E9 6DL</v>
      </c>
      <c r="G13" s="19">
        <f t="shared" si="1"/>
        <v>51.548828999999998</v>
      </c>
      <c r="H13" s="19">
        <f t="shared" si="2"/>
        <v>-4.2604000000000003E-2</v>
      </c>
      <c r="J13" s="19">
        <v>115</v>
      </c>
      <c r="N13" s="19" t="s">
        <v>494</v>
      </c>
      <c r="O13" s="19" t="s">
        <v>495</v>
      </c>
      <c r="P13" s="26" t="s">
        <v>496</v>
      </c>
      <c r="R13" s="19" t="s">
        <v>77</v>
      </c>
      <c r="S13" s="19" t="s">
        <v>77</v>
      </c>
      <c r="U13"/>
      <c r="V13" t="s">
        <v>77</v>
      </c>
      <c r="W13" t="s">
        <v>77</v>
      </c>
      <c r="X13" s="25" t="s">
        <v>77</v>
      </c>
      <c r="Y13" s="25" t="s">
        <v>77</v>
      </c>
      <c r="AA13" s="19" t="s">
        <v>221</v>
      </c>
      <c r="AB13" s="19" t="s">
        <v>77</v>
      </c>
      <c r="AD13" s="19">
        <v>51.548828999999998</v>
      </c>
      <c r="AE13" s="19">
        <v>-4.2604000000000003E-2</v>
      </c>
      <c r="AF13">
        <v>51.548628999999998</v>
      </c>
      <c r="AG13">
        <v>-4.3458628999999999E-2</v>
      </c>
      <c r="AI13" s="19" t="s">
        <v>879</v>
      </c>
      <c r="AJ13" s="19" t="s">
        <v>880</v>
      </c>
    </row>
    <row r="14" spans="1:36" x14ac:dyDescent="0.25">
      <c r="A14" s="19" t="s">
        <v>548</v>
      </c>
      <c r="B14" s="26" t="s">
        <v>328</v>
      </c>
      <c r="C14" s="19" t="s">
        <v>29</v>
      </c>
      <c r="D14" s="19" t="s">
        <v>329</v>
      </c>
      <c r="F14" s="19" t="str">
        <f t="shared" si="0"/>
        <v>N15 6AA</v>
      </c>
      <c r="G14" s="19">
        <f t="shared" si="1"/>
        <v>51.576473</v>
      </c>
      <c r="H14" s="19">
        <f t="shared" si="2"/>
        <v>-6.9559999999999997E-2</v>
      </c>
      <c r="J14" s="19">
        <v>95</v>
      </c>
      <c r="N14" s="19" t="s">
        <v>552</v>
      </c>
      <c r="O14" s="19" t="s">
        <v>470</v>
      </c>
      <c r="P14" s="26" t="s">
        <v>553</v>
      </c>
      <c r="R14" s="19">
        <v>9666</v>
      </c>
      <c r="S14" s="19" t="s">
        <v>20</v>
      </c>
      <c r="U14" s="26" t="s">
        <v>902</v>
      </c>
      <c r="V14" t="s">
        <v>77</v>
      </c>
      <c r="W14" s="26" t="s">
        <v>110</v>
      </c>
      <c r="X14" s="25">
        <v>0</v>
      </c>
      <c r="Y14" s="26" t="s">
        <v>162</v>
      </c>
      <c r="AA14" s="19" t="s">
        <v>230</v>
      </c>
      <c r="AB14" s="19" t="s">
        <v>230</v>
      </c>
      <c r="AD14" s="19">
        <v>51.576473</v>
      </c>
      <c r="AE14" s="19">
        <v>-6.9559999999999997E-2</v>
      </c>
      <c r="AF14">
        <v>51.576082</v>
      </c>
      <c r="AG14">
        <v>-7.1071856000000003E-2</v>
      </c>
      <c r="AI14" s="19" t="s">
        <v>903</v>
      </c>
      <c r="AJ14" s="19" t="s">
        <v>904</v>
      </c>
    </row>
    <row r="15" spans="1:36" x14ac:dyDescent="0.25">
      <c r="A15" s="19" t="s">
        <v>544</v>
      </c>
      <c r="B15" s="26" t="s">
        <v>326</v>
      </c>
      <c r="C15" s="19" t="s">
        <v>29</v>
      </c>
      <c r="D15" s="19" t="s">
        <v>327</v>
      </c>
      <c r="F15" s="19" t="str">
        <f t="shared" si="0"/>
        <v>E2 8JR</v>
      </c>
      <c r="G15" s="19">
        <f t="shared" si="1"/>
        <v>51.531641999999998</v>
      </c>
      <c r="H15" s="19">
        <f t="shared" si="2"/>
        <v>-7.3274000000000006E-2</v>
      </c>
      <c r="J15" s="19">
        <v>73</v>
      </c>
      <c r="N15" s="19" t="s">
        <v>549</v>
      </c>
      <c r="O15" s="19" t="s">
        <v>470</v>
      </c>
      <c r="P15" s="26" t="s">
        <v>550</v>
      </c>
      <c r="R15" s="19">
        <v>6262</v>
      </c>
      <c r="S15" s="19" t="s">
        <v>14</v>
      </c>
      <c r="U15"/>
      <c r="V15" t="s">
        <v>77</v>
      </c>
      <c r="W15" s="26" t="s">
        <v>116</v>
      </c>
      <c r="X15" s="25">
        <v>0</v>
      </c>
      <c r="Y15" s="26" t="s">
        <v>157</v>
      </c>
      <c r="AA15" s="19" t="s">
        <v>275</v>
      </c>
      <c r="AB15" s="19" t="s">
        <v>275</v>
      </c>
      <c r="AD15" s="19">
        <v>51.531641999999998</v>
      </c>
      <c r="AE15" s="19">
        <v>-7.3274000000000006E-2</v>
      </c>
      <c r="AF15">
        <v>51.531711999999999</v>
      </c>
      <c r="AG15">
        <v>-7.0987219000000004E-2</v>
      </c>
      <c r="AI15" s="19" t="s">
        <v>905</v>
      </c>
      <c r="AJ15" s="19" t="s">
        <v>906</v>
      </c>
    </row>
    <row r="16" spans="1:36" x14ac:dyDescent="0.25">
      <c r="A16" s="19" t="s">
        <v>551</v>
      </c>
      <c r="B16" s="26" t="s">
        <v>330</v>
      </c>
      <c r="C16" s="19" t="s">
        <v>29</v>
      </c>
      <c r="D16" s="19" t="s">
        <v>331</v>
      </c>
      <c r="F16" s="19" t="str">
        <f t="shared" si="0"/>
        <v>E5 8EG</v>
      </c>
      <c r="G16" s="19">
        <f t="shared" si="1"/>
        <v>51.549911000000002</v>
      </c>
      <c r="H16" s="19">
        <f t="shared" si="2"/>
        <v>-6.1197000000000001E-2</v>
      </c>
      <c r="J16" s="19">
        <v>107</v>
      </c>
      <c r="N16" s="19" t="s">
        <v>555</v>
      </c>
      <c r="O16" s="19" t="s">
        <v>470</v>
      </c>
      <c r="P16" s="26" t="s">
        <v>556</v>
      </c>
      <c r="R16" s="19">
        <v>12889</v>
      </c>
      <c r="S16" s="19" t="s">
        <v>1</v>
      </c>
      <c r="U16" s="26" t="s">
        <v>907</v>
      </c>
      <c r="V16" t="s">
        <v>77</v>
      </c>
      <c r="W16" s="26" t="s">
        <v>109</v>
      </c>
      <c r="X16" s="25">
        <v>0</v>
      </c>
      <c r="Y16" s="26" t="s">
        <v>146</v>
      </c>
      <c r="AA16" s="19" t="s">
        <v>272</v>
      </c>
      <c r="AB16" s="19" t="s">
        <v>272</v>
      </c>
      <c r="AD16" s="19">
        <v>51.549911000000002</v>
      </c>
      <c r="AE16" s="19">
        <v>-6.1197000000000001E-2</v>
      </c>
      <c r="AF16">
        <v>51.556716000000002</v>
      </c>
      <c r="AG16">
        <v>-5.6051674000000003E-2</v>
      </c>
      <c r="AI16" s="19" t="s">
        <v>892</v>
      </c>
      <c r="AJ16" s="19" t="s">
        <v>893</v>
      </c>
    </row>
    <row r="17" spans="1:36" x14ac:dyDescent="0.25">
      <c r="A17" s="19" t="s">
        <v>498</v>
      </c>
      <c r="B17" s="26" t="s">
        <v>299</v>
      </c>
      <c r="C17" s="19" t="s">
        <v>29</v>
      </c>
      <c r="D17" s="19" t="s">
        <v>300</v>
      </c>
      <c r="F17" s="19" t="str">
        <f t="shared" si="0"/>
        <v>E9 7DH</v>
      </c>
      <c r="G17" s="19">
        <f t="shared" si="1"/>
        <v>51.540365000000001</v>
      </c>
      <c r="H17" s="19">
        <f t="shared" si="2"/>
        <v>-4.6081999999999998E-2</v>
      </c>
      <c r="J17" s="19">
        <v>166</v>
      </c>
      <c r="N17" s="19" t="s">
        <v>503</v>
      </c>
      <c r="O17" s="19" t="s">
        <v>470</v>
      </c>
      <c r="P17" s="26" t="s">
        <v>504</v>
      </c>
      <c r="R17" s="19">
        <v>14468</v>
      </c>
      <c r="S17" s="19" t="s">
        <v>10</v>
      </c>
      <c r="U17" s="26" t="s">
        <v>911</v>
      </c>
      <c r="V17" t="s">
        <v>77</v>
      </c>
      <c r="W17" s="26" t="s">
        <v>114</v>
      </c>
      <c r="X17" s="25">
        <v>0</v>
      </c>
      <c r="Y17" s="26" t="s">
        <v>154</v>
      </c>
      <c r="AA17" s="19" t="s">
        <v>910</v>
      </c>
      <c r="AB17" s="19" t="s">
        <v>224</v>
      </c>
      <c r="AD17" s="19">
        <v>51.540365000000001</v>
      </c>
      <c r="AE17" s="19">
        <v>-4.6081999999999998E-2</v>
      </c>
      <c r="AF17">
        <v>51.540512</v>
      </c>
      <c r="AG17">
        <v>-4.5248899000000002E-2</v>
      </c>
      <c r="AI17" s="19" t="s">
        <v>912</v>
      </c>
      <c r="AJ17" s="19" t="s">
        <v>913</v>
      </c>
    </row>
    <row r="18" spans="1:36" x14ac:dyDescent="0.25">
      <c r="A18" s="19" t="s">
        <v>541</v>
      </c>
      <c r="B18" s="26" t="s">
        <v>324</v>
      </c>
      <c r="C18" s="19" t="s">
        <v>29</v>
      </c>
      <c r="D18" s="19" t="s">
        <v>325</v>
      </c>
      <c r="F18" s="19" t="str">
        <f t="shared" si="0"/>
        <v>N1 6NP</v>
      </c>
      <c r="G18" s="19">
        <f t="shared" si="1"/>
        <v>51.530459999999998</v>
      </c>
      <c r="H18" s="19">
        <f t="shared" si="2"/>
        <v>-8.3416000000000004E-2</v>
      </c>
      <c r="J18" s="19">
        <v>117</v>
      </c>
      <c r="N18" s="19" t="s">
        <v>545</v>
      </c>
      <c r="O18" s="19" t="s">
        <v>546</v>
      </c>
      <c r="P18" s="26" t="s">
        <v>547</v>
      </c>
      <c r="R18" s="19">
        <v>7665</v>
      </c>
      <c r="S18" s="19" t="s">
        <v>18</v>
      </c>
      <c r="U18" s="26" t="s">
        <v>915</v>
      </c>
      <c r="V18" t="s">
        <v>77</v>
      </c>
      <c r="W18" s="26" t="s">
        <v>117</v>
      </c>
      <c r="X18" s="26" t="s">
        <v>84</v>
      </c>
      <c r="Y18" s="26" t="s">
        <v>160</v>
      </c>
      <c r="AA18" s="19" t="s">
        <v>228</v>
      </c>
      <c r="AB18" s="19" t="s">
        <v>228</v>
      </c>
      <c r="AD18" s="19">
        <v>51.530459999999998</v>
      </c>
      <c r="AE18" s="19">
        <v>-8.3416000000000004E-2</v>
      </c>
      <c r="AF18">
        <v>51.530534000000003</v>
      </c>
      <c r="AG18">
        <v>-8.3623584000000001E-2</v>
      </c>
      <c r="AI18" s="19" t="s">
        <v>916</v>
      </c>
      <c r="AJ18" s="19" t="s">
        <v>917</v>
      </c>
    </row>
    <row r="19" spans="1:36" x14ac:dyDescent="0.25">
      <c r="A19" s="19" t="s">
        <v>529</v>
      </c>
      <c r="B19" s="26" t="s">
        <v>316</v>
      </c>
      <c r="C19" s="19" t="s">
        <v>29</v>
      </c>
      <c r="D19" s="19" t="s">
        <v>317</v>
      </c>
      <c r="F19" s="19" t="str">
        <f t="shared" si="0"/>
        <v>N4 2LW</v>
      </c>
      <c r="G19" s="19">
        <f t="shared" si="1"/>
        <v>51.565582999999997</v>
      </c>
      <c r="H19" s="19">
        <f t="shared" si="2"/>
        <v>-0.10072</v>
      </c>
      <c r="J19" s="19">
        <v>72</v>
      </c>
      <c r="N19" s="19" t="s">
        <v>533</v>
      </c>
      <c r="O19" s="19" t="s">
        <v>470</v>
      </c>
      <c r="P19" s="26" t="s">
        <v>534</v>
      </c>
      <c r="R19" s="19">
        <v>9407</v>
      </c>
      <c r="S19" s="19" t="s">
        <v>0</v>
      </c>
      <c r="U19" s="26" t="s">
        <v>918</v>
      </c>
      <c r="V19" t="s">
        <v>77</v>
      </c>
      <c r="W19"/>
      <c r="X19" s="25">
        <v>0</v>
      </c>
      <c r="Y19" s="26" t="s">
        <v>145</v>
      </c>
      <c r="AA19" s="19" t="s">
        <v>216</v>
      </c>
      <c r="AB19" s="19" t="s">
        <v>216</v>
      </c>
      <c r="AD19" s="19">
        <v>51.565582999999997</v>
      </c>
      <c r="AE19" s="19">
        <v>-0.10072</v>
      </c>
      <c r="AF19">
        <v>51.565778000000002</v>
      </c>
      <c r="AG19">
        <v>-9.9831626000000007E-2</v>
      </c>
      <c r="AI19" s="19" t="s">
        <v>919</v>
      </c>
      <c r="AJ19" s="19" t="s">
        <v>920</v>
      </c>
    </row>
    <row r="20" spans="1:36" x14ac:dyDescent="0.25">
      <c r="A20" s="19" t="s">
        <v>532</v>
      </c>
      <c r="B20" s="26" t="s">
        <v>318</v>
      </c>
      <c r="C20" s="19" t="s">
        <v>29</v>
      </c>
      <c r="D20" s="19" t="s">
        <v>319</v>
      </c>
      <c r="F20" s="19" t="str">
        <f t="shared" si="0"/>
        <v>E1 6JN</v>
      </c>
      <c r="G20" s="19">
        <f t="shared" si="1"/>
        <v>51.526761</v>
      </c>
      <c r="H20" s="19">
        <f t="shared" si="2"/>
        <v>-7.7228000000000005E-2</v>
      </c>
      <c r="J20" s="19">
        <v>72</v>
      </c>
      <c r="N20" s="19" t="s">
        <v>536</v>
      </c>
      <c r="O20" s="19" t="s">
        <v>479</v>
      </c>
      <c r="P20" s="26" t="s">
        <v>537</v>
      </c>
      <c r="R20" s="19">
        <v>7484</v>
      </c>
      <c r="S20" s="19" t="s">
        <v>19</v>
      </c>
      <c r="U20" s="26" t="s">
        <v>79</v>
      </c>
      <c r="V20" t="s">
        <v>77</v>
      </c>
      <c r="W20" s="26" t="s">
        <v>118</v>
      </c>
      <c r="X20" s="26" t="s">
        <v>85</v>
      </c>
      <c r="Y20" s="26" t="s">
        <v>161</v>
      </c>
      <c r="AA20" s="19" t="s">
        <v>229</v>
      </c>
      <c r="AB20" s="19" t="s">
        <v>229</v>
      </c>
      <c r="AD20" s="19">
        <v>51.526761</v>
      </c>
      <c r="AE20" s="19">
        <v>-7.7228000000000005E-2</v>
      </c>
      <c r="AF20">
        <v>51.526308999999998</v>
      </c>
      <c r="AG20">
        <v>-7.7645257999999995E-2</v>
      </c>
      <c r="AI20" s="19" t="s">
        <v>922</v>
      </c>
      <c r="AJ20" s="19" t="s">
        <v>923</v>
      </c>
    </row>
    <row r="21" spans="1:36" x14ac:dyDescent="0.25">
      <c r="A21" s="19" t="s">
        <v>488</v>
      </c>
      <c r="B21" s="26" t="s">
        <v>294</v>
      </c>
      <c r="C21" s="19" t="s">
        <v>29</v>
      </c>
      <c r="D21" s="19" t="s">
        <v>295</v>
      </c>
      <c r="F21" s="19" t="str">
        <f t="shared" si="0"/>
        <v>E8 2LJ</v>
      </c>
      <c r="G21" s="19">
        <f t="shared" si="1"/>
        <v>51.549436</v>
      </c>
      <c r="H21" s="19">
        <f t="shared" si="2"/>
        <v>-7.0424E-2</v>
      </c>
      <c r="J21" s="19">
        <v>128</v>
      </c>
      <c r="N21" s="19" t="s">
        <v>490</v>
      </c>
      <c r="O21" s="19" t="s">
        <v>470</v>
      </c>
      <c r="P21" s="26" t="s">
        <v>491</v>
      </c>
      <c r="R21" s="19">
        <v>13822</v>
      </c>
      <c r="S21" s="19" t="s">
        <v>5</v>
      </c>
      <c r="U21" s="26" t="s">
        <v>78</v>
      </c>
      <c r="V21" t="s">
        <v>77</v>
      </c>
      <c r="W21" s="26" t="s">
        <v>111</v>
      </c>
      <c r="X21" s="25">
        <v>0</v>
      </c>
      <c r="Y21" s="26" t="s">
        <v>150</v>
      </c>
      <c r="AA21" s="19" t="s">
        <v>219</v>
      </c>
      <c r="AB21" s="19" t="s">
        <v>219</v>
      </c>
      <c r="AD21" s="19">
        <v>51.549436</v>
      </c>
      <c r="AE21" s="19">
        <v>-7.0424E-2</v>
      </c>
      <c r="AF21">
        <v>51.548918</v>
      </c>
      <c r="AG21">
        <v>-6.9538325999999998E-2</v>
      </c>
      <c r="AI21" s="19" t="s">
        <v>924</v>
      </c>
      <c r="AJ21" s="19" t="s">
        <v>925</v>
      </c>
    </row>
    <row r="22" spans="1:36" x14ac:dyDescent="0.25">
      <c r="A22" s="19" t="s">
        <v>502</v>
      </c>
      <c r="B22" s="26" t="s">
        <v>301</v>
      </c>
      <c r="C22" s="19" t="s">
        <v>29</v>
      </c>
      <c r="D22" s="19" t="s">
        <v>302</v>
      </c>
      <c r="F22" s="19" t="str">
        <f t="shared" si="0"/>
        <v>E9 5JA</v>
      </c>
      <c r="G22" s="19">
        <f t="shared" si="1"/>
        <v>51.545324000000001</v>
      </c>
      <c r="H22" s="19">
        <f t="shared" si="2"/>
        <v>-3.0726E-2</v>
      </c>
      <c r="J22" s="19">
        <v>71</v>
      </c>
      <c r="N22" s="19" t="s">
        <v>506</v>
      </c>
      <c r="O22" s="19" t="s">
        <v>470</v>
      </c>
      <c r="P22" s="26" t="s">
        <v>507</v>
      </c>
      <c r="R22" s="19">
        <v>7491</v>
      </c>
      <c r="S22" s="19" t="s">
        <v>9</v>
      </c>
      <c r="U22" s="26" t="s">
        <v>926</v>
      </c>
      <c r="V22" t="s">
        <v>77</v>
      </c>
      <c r="W22" s="26" t="s">
        <v>113</v>
      </c>
      <c r="X22" s="25">
        <v>0</v>
      </c>
      <c r="Y22" s="26" t="s">
        <v>153</v>
      </c>
      <c r="AA22" s="19" t="s">
        <v>223</v>
      </c>
      <c r="AB22" s="19" t="s">
        <v>223</v>
      </c>
      <c r="AD22" s="19">
        <v>51.545324000000001</v>
      </c>
      <c r="AE22" s="19">
        <v>-3.0726E-2</v>
      </c>
      <c r="AF22">
        <v>51.545613000000003</v>
      </c>
      <c r="AG22">
        <v>-3.0333784999999999E-2</v>
      </c>
      <c r="AI22" s="19" t="s">
        <v>927</v>
      </c>
      <c r="AJ22" s="19" t="s">
        <v>928</v>
      </c>
    </row>
    <row r="23" spans="1:36" x14ac:dyDescent="0.25">
      <c r="A23" s="19" t="s">
        <v>514</v>
      </c>
      <c r="B23" s="26" t="s">
        <v>307</v>
      </c>
      <c r="C23" s="19" t="s">
        <v>29</v>
      </c>
      <c r="D23" s="19" t="s">
        <v>308</v>
      </c>
      <c r="F23" s="19" t="str">
        <f t="shared" si="0"/>
        <v>N16 9ES</v>
      </c>
      <c r="G23" s="19">
        <f t="shared" si="1"/>
        <v>51.560782000000003</v>
      </c>
      <c r="H23" s="19">
        <f t="shared" si="2"/>
        <v>-8.4449999999999997E-2</v>
      </c>
      <c r="J23" s="19">
        <v>202</v>
      </c>
      <c r="N23" s="19" t="s">
        <v>518</v>
      </c>
      <c r="O23" s="19" t="s">
        <v>470</v>
      </c>
      <c r="P23" s="26" t="s">
        <v>519</v>
      </c>
      <c r="R23" s="19">
        <v>13634</v>
      </c>
      <c r="S23" s="19" t="s">
        <v>22</v>
      </c>
      <c r="U23" s="26" t="s">
        <v>929</v>
      </c>
      <c r="V23" t="s">
        <v>77</v>
      </c>
      <c r="W23" s="26" t="s">
        <v>119</v>
      </c>
      <c r="X23" s="25">
        <v>0</v>
      </c>
      <c r="Y23" s="26" t="s">
        <v>164</v>
      </c>
      <c r="AA23" s="19" t="s">
        <v>231</v>
      </c>
      <c r="AB23" s="19" t="s">
        <v>231</v>
      </c>
      <c r="AD23" s="19">
        <v>51.560782000000003</v>
      </c>
      <c r="AE23" s="19">
        <v>-8.4449999999999997E-2</v>
      </c>
      <c r="AF23">
        <v>51.560996000000003</v>
      </c>
      <c r="AG23">
        <v>-8.3901342000000004E-2</v>
      </c>
      <c r="AI23" s="19" t="s">
        <v>930</v>
      </c>
      <c r="AJ23" s="19" t="s">
        <v>931</v>
      </c>
    </row>
    <row r="24" spans="1:36" x14ac:dyDescent="0.25">
      <c r="A24" s="19" t="s">
        <v>474</v>
      </c>
      <c r="B24" s="26" t="s">
        <v>285</v>
      </c>
      <c r="C24" s="19" t="s">
        <v>29</v>
      </c>
      <c r="D24" s="19" t="s">
        <v>286</v>
      </c>
      <c r="F24" s="19" t="str">
        <f t="shared" si="0"/>
        <v>E5 9EN</v>
      </c>
      <c r="G24" s="19">
        <f t="shared" si="1"/>
        <v>51.563403000000001</v>
      </c>
      <c r="H24" s="19">
        <f t="shared" si="2"/>
        <v>-5.8989E-2</v>
      </c>
      <c r="J24" s="19">
        <v>38</v>
      </c>
      <c r="N24" s="19" t="s">
        <v>478</v>
      </c>
      <c r="O24" s="19" t="s">
        <v>479</v>
      </c>
      <c r="P24" s="26" t="s">
        <v>480</v>
      </c>
      <c r="R24" s="19">
        <v>26681</v>
      </c>
      <c r="S24" s="19" t="s">
        <v>2</v>
      </c>
      <c r="U24" s="26" t="s">
        <v>933</v>
      </c>
      <c r="V24" t="s">
        <v>77</v>
      </c>
      <c r="W24" s="26" t="s">
        <v>109</v>
      </c>
      <c r="X24" s="25">
        <v>0</v>
      </c>
      <c r="Y24" s="26" t="s">
        <v>147</v>
      </c>
      <c r="AA24" s="19" t="s">
        <v>217</v>
      </c>
      <c r="AB24" s="19" t="s">
        <v>217</v>
      </c>
      <c r="AD24" s="19">
        <v>51.563403000000001</v>
      </c>
      <c r="AE24" s="19">
        <v>-5.8989E-2</v>
      </c>
      <c r="AF24">
        <v>51.565201000000002</v>
      </c>
      <c r="AG24">
        <v>-5.4723071999999998E-2</v>
      </c>
      <c r="AI24" s="19" t="s">
        <v>934</v>
      </c>
      <c r="AJ24" s="19" t="s">
        <v>935</v>
      </c>
    </row>
    <row r="25" spans="1:36" x14ac:dyDescent="0.25">
      <c r="A25" s="19" t="s">
        <v>520</v>
      </c>
      <c r="B25" s="26" t="s">
        <v>311</v>
      </c>
      <c r="C25" s="19" t="s">
        <v>29</v>
      </c>
      <c r="D25" s="19" t="s">
        <v>312</v>
      </c>
      <c r="F25" s="19" t="str">
        <f t="shared" si="0"/>
        <v>N16 8DD</v>
      </c>
      <c r="G25" s="19">
        <f t="shared" si="1"/>
        <v>51.552660000000003</v>
      </c>
      <c r="H25" s="19">
        <f t="shared" si="2"/>
        <v>-7.9265000000000002E-2</v>
      </c>
      <c r="J25" s="19">
        <v>51</v>
      </c>
      <c r="N25" s="19" t="s">
        <v>524</v>
      </c>
      <c r="O25" s="19" t="s">
        <v>470</v>
      </c>
      <c r="P25" s="26" t="s">
        <v>525</v>
      </c>
      <c r="R25" s="19">
        <v>10031</v>
      </c>
      <c r="S25" s="19" t="s">
        <v>25</v>
      </c>
      <c r="U25" s="26" t="s">
        <v>937</v>
      </c>
      <c r="V25" t="s">
        <v>77</v>
      </c>
      <c r="W25"/>
      <c r="X25" s="26" t="s">
        <v>87</v>
      </c>
      <c r="Y25" s="26" t="s">
        <v>167</v>
      </c>
      <c r="AA25" s="19" t="s">
        <v>233</v>
      </c>
      <c r="AB25" s="19" t="s">
        <v>233</v>
      </c>
      <c r="AD25" s="19">
        <v>51.552660000000003</v>
      </c>
      <c r="AE25" s="19">
        <v>-7.9265000000000002E-2</v>
      </c>
      <c r="AF25">
        <v>51.552504999999996</v>
      </c>
      <c r="AG25">
        <v>-7.9339420999999993E-2</v>
      </c>
      <c r="AI25" s="19" t="s">
        <v>938</v>
      </c>
      <c r="AJ25" s="19" t="s">
        <v>939</v>
      </c>
    </row>
    <row r="26" spans="1:36" x14ac:dyDescent="0.25">
      <c r="A26" s="19" t="s">
        <v>505</v>
      </c>
      <c r="B26" s="26" t="s">
        <v>303</v>
      </c>
      <c r="C26" s="19" t="s">
        <v>29</v>
      </c>
      <c r="D26" s="19" t="s">
        <v>463</v>
      </c>
      <c r="F26" s="19" t="str">
        <f t="shared" si="0"/>
        <v>E8 3ER</v>
      </c>
      <c r="G26" s="19">
        <f t="shared" si="1"/>
        <v>51.540672000000001</v>
      </c>
      <c r="H26" s="19">
        <f t="shared" si="2"/>
        <v>-6.4066999999999999E-2</v>
      </c>
      <c r="J26" s="19">
        <v>194</v>
      </c>
      <c r="N26" s="19" t="s">
        <v>509</v>
      </c>
      <c r="O26" s="19" t="s">
        <v>470</v>
      </c>
      <c r="P26" s="26" t="s">
        <v>510</v>
      </c>
      <c r="R26" s="19">
        <v>12326</v>
      </c>
      <c r="S26" s="19" t="s">
        <v>11</v>
      </c>
      <c r="U26" s="26" t="s">
        <v>940</v>
      </c>
      <c r="V26" t="s">
        <v>77</v>
      </c>
      <c r="W26" s="26" t="s">
        <v>114</v>
      </c>
      <c r="X26" s="25">
        <v>0</v>
      </c>
      <c r="Y26" s="26" t="s">
        <v>155</v>
      </c>
      <c r="AA26" s="19" t="s">
        <v>225</v>
      </c>
      <c r="AB26" s="19" t="s">
        <v>225</v>
      </c>
      <c r="AD26" s="19">
        <v>51.540672000000001</v>
      </c>
      <c r="AE26" s="19">
        <v>-6.4066999999999999E-2</v>
      </c>
      <c r="AF26">
        <v>51.541362999999997</v>
      </c>
      <c r="AG26">
        <v>-6.4003122999999995E-2</v>
      </c>
      <c r="AI26" s="19" t="s">
        <v>941</v>
      </c>
      <c r="AJ26" s="19" t="s">
        <v>942</v>
      </c>
    </row>
    <row r="27" spans="1:36" x14ac:dyDescent="0.25">
      <c r="A27" s="19" t="s">
        <v>523</v>
      </c>
      <c r="B27" s="26" t="s">
        <v>313</v>
      </c>
      <c r="C27" s="19" t="s">
        <v>29</v>
      </c>
      <c r="D27" s="19" t="s">
        <v>464</v>
      </c>
      <c r="F27" s="19" t="str">
        <f t="shared" si="0"/>
        <v>N16 7ED</v>
      </c>
      <c r="G27" s="19">
        <f t="shared" si="1"/>
        <v>51.562711</v>
      </c>
      <c r="H27" s="19">
        <f t="shared" si="2"/>
        <v>-6.6116999999999995E-2</v>
      </c>
      <c r="J27" s="19">
        <v>103</v>
      </c>
      <c r="N27" s="19" t="s">
        <v>527</v>
      </c>
      <c r="O27" s="19" t="s">
        <v>470</v>
      </c>
      <c r="P27" s="26" t="s">
        <v>528</v>
      </c>
      <c r="R27" s="19">
        <v>12073</v>
      </c>
      <c r="S27" s="19" t="s">
        <v>24</v>
      </c>
      <c r="U27"/>
      <c r="V27" t="s">
        <v>77</v>
      </c>
      <c r="W27" s="26" t="s">
        <v>120</v>
      </c>
      <c r="X27" s="25">
        <v>0</v>
      </c>
      <c r="Y27" s="26" t="s">
        <v>166</v>
      </c>
      <c r="AA27" s="19" t="s">
        <v>278</v>
      </c>
      <c r="AB27" s="19" t="s">
        <v>278</v>
      </c>
      <c r="AD27" s="19">
        <v>51.562711</v>
      </c>
      <c r="AE27" s="19">
        <v>-6.6116999999999995E-2</v>
      </c>
      <c r="AF27">
        <v>51.563149000000003</v>
      </c>
      <c r="AG27">
        <v>-6.6021199000000003E-2</v>
      </c>
      <c r="AI27" s="19" t="s">
        <v>934</v>
      </c>
      <c r="AJ27" s="19" t="s">
        <v>935</v>
      </c>
    </row>
    <row r="28" spans="1:36" x14ac:dyDescent="0.25">
      <c r="A28" s="19" t="s">
        <v>526</v>
      </c>
      <c r="B28" s="26" t="s">
        <v>314</v>
      </c>
      <c r="C28" s="19" t="s">
        <v>29</v>
      </c>
      <c r="D28" s="19" t="s">
        <v>315</v>
      </c>
      <c r="F28" s="19" t="str">
        <f t="shared" si="0"/>
        <v>N4 2TW</v>
      </c>
      <c r="G28" s="19">
        <f t="shared" si="1"/>
        <v>51.571390999999998</v>
      </c>
      <c r="H28" s="19">
        <f t="shared" si="2"/>
        <v>-9.2576000000000006E-2</v>
      </c>
      <c r="J28" s="19">
        <v>285</v>
      </c>
      <c r="N28" s="19" t="s">
        <v>530</v>
      </c>
      <c r="O28" s="19" t="s">
        <v>470</v>
      </c>
      <c r="P28" s="26" t="s">
        <v>531</v>
      </c>
      <c r="R28" s="19">
        <v>6675</v>
      </c>
      <c r="S28" s="19" t="s">
        <v>23</v>
      </c>
      <c r="U28" s="26" t="s">
        <v>943</v>
      </c>
      <c r="V28" t="s">
        <v>77</v>
      </c>
      <c r="W28" s="26" t="s">
        <v>119</v>
      </c>
      <c r="X28" s="25">
        <v>0</v>
      </c>
      <c r="Y28" s="26" t="s">
        <v>165</v>
      </c>
      <c r="AA28" s="19" t="s">
        <v>232</v>
      </c>
      <c r="AB28" s="19" t="s">
        <v>232</v>
      </c>
      <c r="AD28" s="19">
        <v>51.571390999999998</v>
      </c>
      <c r="AE28" s="19">
        <v>-9.2576000000000006E-2</v>
      </c>
      <c r="AF28">
        <v>51.571142999999999</v>
      </c>
      <c r="AG28">
        <v>-9.4066628999999999E-2</v>
      </c>
      <c r="AI28" s="19" t="s">
        <v>944</v>
      </c>
      <c r="AJ28" s="19" t="s">
        <v>945</v>
      </c>
    </row>
    <row r="29" spans="1:36" x14ac:dyDescent="0.25">
      <c r="A29" s="19" t="s">
        <v>508</v>
      </c>
      <c r="B29" s="26" t="s">
        <v>304</v>
      </c>
      <c r="C29" s="19" t="s">
        <v>29</v>
      </c>
      <c r="D29" s="19" t="s">
        <v>13</v>
      </c>
      <c r="F29" s="19" t="str">
        <f t="shared" si="0"/>
        <v>N16 7QB</v>
      </c>
      <c r="G29" s="19">
        <f t="shared" si="1"/>
        <v>51.556928999999997</v>
      </c>
      <c r="H29" s="19">
        <f t="shared" si="2"/>
        <v>-7.4008000000000004E-2</v>
      </c>
      <c r="J29" s="19">
        <v>93</v>
      </c>
      <c r="N29" s="19" t="s">
        <v>512</v>
      </c>
      <c r="O29" s="19" t="s">
        <v>470</v>
      </c>
      <c r="P29" s="26" t="s">
        <v>513</v>
      </c>
      <c r="R29" s="19">
        <v>8446</v>
      </c>
      <c r="S29" s="19" t="s">
        <v>12</v>
      </c>
      <c r="U29" s="26" t="s">
        <v>947</v>
      </c>
      <c r="V29" t="s">
        <v>77</v>
      </c>
      <c r="W29" s="26" t="s">
        <v>115</v>
      </c>
      <c r="X29" s="25">
        <v>0</v>
      </c>
      <c r="Y29" s="26" t="s">
        <v>156</v>
      </c>
      <c r="AA29" s="19" t="s">
        <v>946</v>
      </c>
      <c r="AB29" s="19" t="s">
        <v>226</v>
      </c>
      <c r="AD29" s="19">
        <v>51.556928999999997</v>
      </c>
      <c r="AE29" s="19">
        <v>-7.4008000000000004E-2</v>
      </c>
      <c r="AF29">
        <v>51.557048000000002</v>
      </c>
      <c r="AG29">
        <v>-7.3969093999999999E-2</v>
      </c>
      <c r="AI29" s="19" t="s">
        <v>948</v>
      </c>
      <c r="AJ29" s="19" t="s">
        <v>949</v>
      </c>
    </row>
    <row r="30" spans="1:36" x14ac:dyDescent="0.25">
      <c r="A30" s="19" t="s">
        <v>511</v>
      </c>
      <c r="B30" s="26" t="s">
        <v>305</v>
      </c>
      <c r="C30" s="19" t="s">
        <v>29</v>
      </c>
      <c r="D30" s="19" t="s">
        <v>306</v>
      </c>
      <c r="F30" s="19" t="str">
        <f t="shared" si="0"/>
        <v>N1 4DA</v>
      </c>
      <c r="G30" s="19">
        <f t="shared" si="1"/>
        <v>51.540849999999999</v>
      </c>
      <c r="H30" s="19">
        <f t="shared" si="2"/>
        <v>-8.0357999999999999E-2</v>
      </c>
      <c r="J30" s="19">
        <v>178</v>
      </c>
      <c r="N30" s="19" t="s">
        <v>515</v>
      </c>
      <c r="O30" s="19" t="s">
        <v>470</v>
      </c>
      <c r="P30" s="26" t="s">
        <v>516</v>
      </c>
      <c r="R30" s="19">
        <v>8485</v>
      </c>
      <c r="S30" s="19" t="s">
        <v>6</v>
      </c>
      <c r="U30" s="26" t="s">
        <v>951</v>
      </c>
      <c r="V30" t="s">
        <v>77</v>
      </c>
      <c r="W30" s="26" t="s">
        <v>112</v>
      </c>
      <c r="X30" s="25">
        <v>0</v>
      </c>
      <c r="Y30" s="26" t="s">
        <v>151</v>
      </c>
      <c r="AA30" s="19" t="s">
        <v>220</v>
      </c>
      <c r="AB30" s="19" t="s">
        <v>220</v>
      </c>
      <c r="AD30" s="19">
        <v>51.540849999999999</v>
      </c>
      <c r="AE30" s="19">
        <v>-8.0357999999999999E-2</v>
      </c>
      <c r="AF30">
        <v>51.540774999999996</v>
      </c>
      <c r="AG30">
        <v>-8.0208288000000003E-2</v>
      </c>
      <c r="AI30" s="19" t="s">
        <v>952</v>
      </c>
      <c r="AJ30" s="19" t="s">
        <v>953</v>
      </c>
    </row>
    <row r="31" spans="1:36" x14ac:dyDescent="0.25">
      <c r="A31" s="19" t="s">
        <v>477</v>
      </c>
      <c r="B31" s="26" t="s">
        <v>287</v>
      </c>
      <c r="C31" s="19" t="s">
        <v>29</v>
      </c>
      <c r="D31" s="19" t="s">
        <v>288</v>
      </c>
      <c r="F31" s="19" t="str">
        <f t="shared" si="0"/>
        <v>Street, N16</v>
      </c>
      <c r="G31" s="19">
        <f t="shared" si="1"/>
        <v>51.569840999999997</v>
      </c>
      <c r="H31" s="19">
        <f t="shared" si="2"/>
        <v>-6.4587000000000006E-2</v>
      </c>
      <c r="J31" s="19">
        <v>80</v>
      </c>
      <c r="N31" s="19" t="s">
        <v>482</v>
      </c>
      <c r="O31" s="19" t="s">
        <v>470</v>
      </c>
      <c r="P31" s="26" t="s">
        <v>483</v>
      </c>
      <c r="R31" s="19">
        <v>26681</v>
      </c>
      <c r="S31" s="19" t="s">
        <v>3</v>
      </c>
      <c r="U31" s="26" t="s">
        <v>955</v>
      </c>
      <c r="V31" t="s">
        <v>77</v>
      </c>
      <c r="W31" s="26" t="s">
        <v>110</v>
      </c>
      <c r="X31" s="25">
        <v>0</v>
      </c>
      <c r="Y31" s="26" t="s">
        <v>148</v>
      </c>
      <c r="AA31" s="19" t="s">
        <v>954</v>
      </c>
      <c r="AB31" s="19" t="s">
        <v>218</v>
      </c>
      <c r="AD31" s="19">
        <v>51.569840999999997</v>
      </c>
      <c r="AE31" s="19">
        <v>-6.4587000000000006E-2</v>
      </c>
      <c r="AF31"/>
      <c r="AG31"/>
      <c r="AI31" s="19" t="s">
        <v>956</v>
      </c>
      <c r="AJ31" s="19" t="s">
        <v>957</v>
      </c>
    </row>
    <row r="32" spans="1:36" x14ac:dyDescent="0.25">
      <c r="A32" s="19" t="s">
        <v>617</v>
      </c>
      <c r="B32" s="26" t="s">
        <v>347</v>
      </c>
      <c r="C32" s="19" t="s">
        <v>71</v>
      </c>
      <c r="D32" s="19" t="s">
        <v>618</v>
      </c>
      <c r="F32" s="19" t="str">
        <f t="shared" si="0"/>
        <v>N1 0DH</v>
      </c>
      <c r="G32" s="19">
        <f t="shared" si="1"/>
        <v>51.535257999999999</v>
      </c>
      <c r="H32" s="19">
        <f t="shared" si="2"/>
        <v>-0.116601</v>
      </c>
      <c r="J32" s="19">
        <v>21</v>
      </c>
      <c r="N32" s="19" t="s">
        <v>622</v>
      </c>
      <c r="O32" s="19" t="s">
        <v>546</v>
      </c>
      <c r="P32" s="26" t="s">
        <v>623</v>
      </c>
      <c r="R32" s="19" t="s">
        <v>77</v>
      </c>
      <c r="S32" s="19" t="s">
        <v>77</v>
      </c>
      <c r="U32" s="26" t="s">
        <v>960</v>
      </c>
      <c r="V32" s="20" t="s">
        <v>82</v>
      </c>
      <c r="W32" t="s">
        <v>77</v>
      </c>
      <c r="X32" s="25" t="s">
        <v>77</v>
      </c>
      <c r="Y32" s="25" t="s">
        <v>77</v>
      </c>
      <c r="AA32" s="19" t="s">
        <v>959</v>
      </c>
      <c r="AB32" s="19" t="s">
        <v>77</v>
      </c>
      <c r="AD32" s="19">
        <v>51.535257999999999</v>
      </c>
      <c r="AE32" s="19">
        <v>-0.116601</v>
      </c>
      <c r="AF32">
        <v>51.539318000000002</v>
      </c>
      <c r="AG32">
        <v>-0.12190113</v>
      </c>
      <c r="AI32" s="19" t="s">
        <v>961</v>
      </c>
      <c r="AJ32" s="19" t="s">
        <v>962</v>
      </c>
    </row>
    <row r="33" spans="1:36" x14ac:dyDescent="0.25">
      <c r="A33" s="19" t="s">
        <v>627</v>
      </c>
      <c r="B33" s="26" t="s">
        <v>351</v>
      </c>
      <c r="C33" s="19" t="s">
        <v>71</v>
      </c>
      <c r="D33" s="19" t="s">
        <v>352</v>
      </c>
      <c r="F33" s="19" t="str">
        <f t="shared" si="0"/>
        <v>N5 1SA</v>
      </c>
      <c r="G33" s="19">
        <f t="shared" si="1"/>
        <v>51.552526</v>
      </c>
      <c r="H33" s="19">
        <f t="shared" si="2"/>
        <v>-9.8726999999999995E-2</v>
      </c>
      <c r="J33" s="19">
        <v>272</v>
      </c>
      <c r="N33" s="19" t="s">
        <v>631</v>
      </c>
      <c r="O33" s="19" t="s">
        <v>546</v>
      </c>
      <c r="P33" s="26" t="s">
        <v>632</v>
      </c>
      <c r="R33" s="19">
        <v>9111</v>
      </c>
      <c r="S33" s="19" t="s">
        <v>58</v>
      </c>
      <c r="U33" s="26" t="s">
        <v>963</v>
      </c>
      <c r="V33" t="s">
        <v>77</v>
      </c>
      <c r="W33" s="26" t="s">
        <v>125</v>
      </c>
      <c r="X33" s="26" t="s">
        <v>91</v>
      </c>
      <c r="Y33" s="26" t="s">
        <v>173</v>
      </c>
      <c r="AA33" s="19" t="s">
        <v>241</v>
      </c>
      <c r="AB33" s="19" t="s">
        <v>241</v>
      </c>
      <c r="AD33" s="19">
        <v>51.552526</v>
      </c>
      <c r="AE33" s="19">
        <v>-9.8726999999999995E-2</v>
      </c>
      <c r="AF33">
        <v>51.552225</v>
      </c>
      <c r="AG33">
        <v>-9.8607849999999997E-2</v>
      </c>
      <c r="AI33" s="19" t="s">
        <v>964</v>
      </c>
      <c r="AJ33" s="19" t="s">
        <v>965</v>
      </c>
    </row>
    <row r="34" spans="1:36" x14ac:dyDescent="0.25">
      <c r="A34" s="19" t="s">
        <v>677</v>
      </c>
      <c r="B34" s="26" t="s">
        <v>385</v>
      </c>
      <c r="C34" s="19" t="s">
        <v>71</v>
      </c>
      <c r="D34" s="19" t="s">
        <v>386</v>
      </c>
      <c r="F34" s="19" t="str">
        <f t="shared" si="0"/>
        <v>N7 6DU</v>
      </c>
      <c r="G34" s="19" t="str">
        <f t="shared" si="1"/>
        <v/>
      </c>
      <c r="H34" s="19" t="str">
        <f t="shared" si="2"/>
        <v/>
      </c>
      <c r="J34" s="19">
        <v>0</v>
      </c>
      <c r="R34" s="19">
        <v>25345</v>
      </c>
      <c r="S34" s="19" t="s">
        <v>69</v>
      </c>
      <c r="U34"/>
      <c r="V34" s="26" t="s">
        <v>83</v>
      </c>
      <c r="W34" s="26" t="s">
        <v>131</v>
      </c>
      <c r="X34" s="25">
        <v>0</v>
      </c>
      <c r="Y34" s="26" t="s">
        <v>183</v>
      </c>
      <c r="AA34" s="19" t="s">
        <v>250</v>
      </c>
      <c r="AB34" s="19" t="s">
        <v>250</v>
      </c>
      <c r="AD34" s="19">
        <v>0</v>
      </c>
      <c r="AE34" s="19">
        <v>0</v>
      </c>
      <c r="AF34">
        <v>51.559497</v>
      </c>
      <c r="AG34">
        <v>-0.11456349</v>
      </c>
    </row>
    <row r="35" spans="1:36" x14ac:dyDescent="0.25">
      <c r="A35" s="19" t="s">
        <v>648</v>
      </c>
      <c r="B35" s="26" t="s">
        <v>364</v>
      </c>
      <c r="C35" s="19" t="s">
        <v>71</v>
      </c>
      <c r="D35" s="19" t="s">
        <v>365</v>
      </c>
      <c r="F35" s="19" t="str">
        <f t="shared" si="0"/>
        <v>N7 8AB</v>
      </c>
      <c r="G35" s="19">
        <f t="shared" si="1"/>
        <v>51.547870000000003</v>
      </c>
      <c r="H35" s="19">
        <f t="shared" si="2"/>
        <v>-0.10632</v>
      </c>
      <c r="J35" s="19">
        <v>306</v>
      </c>
      <c r="N35" s="19" t="s">
        <v>652</v>
      </c>
      <c r="O35" s="19" t="s">
        <v>470</v>
      </c>
      <c r="P35" s="26" t="s">
        <v>653</v>
      </c>
      <c r="R35" s="19" t="s">
        <v>77</v>
      </c>
      <c r="S35" s="19" t="s">
        <v>77</v>
      </c>
      <c r="U35" s="26" t="s">
        <v>969</v>
      </c>
      <c r="V35" t="s">
        <v>77</v>
      </c>
      <c r="W35" t="s">
        <v>77</v>
      </c>
      <c r="X35" s="25" t="s">
        <v>77</v>
      </c>
      <c r="Y35" s="25" t="s">
        <v>77</v>
      </c>
      <c r="AA35" s="19" t="s">
        <v>244</v>
      </c>
      <c r="AB35" s="19" t="s">
        <v>77</v>
      </c>
      <c r="AD35" s="19">
        <v>51.547870000000003</v>
      </c>
      <c r="AE35" s="19">
        <v>-0.10632</v>
      </c>
      <c r="AF35">
        <v>51.547403000000003</v>
      </c>
      <c r="AG35">
        <v>-0.11350584</v>
      </c>
      <c r="AI35" s="19" t="s">
        <v>970</v>
      </c>
      <c r="AJ35" s="19" t="s">
        <v>971</v>
      </c>
    </row>
    <row r="36" spans="1:36" x14ac:dyDescent="0.25">
      <c r="A36" s="19" t="s">
        <v>651</v>
      </c>
      <c r="B36" s="26" t="s">
        <v>366</v>
      </c>
      <c r="C36" s="19" t="s">
        <v>71</v>
      </c>
      <c r="D36" s="19" t="s">
        <v>367</v>
      </c>
      <c r="F36" s="19" t="str">
        <f t="shared" si="0"/>
        <v/>
      </c>
      <c r="G36" s="19" t="str">
        <f t="shared" si="1"/>
        <v/>
      </c>
      <c r="H36" s="19" t="str">
        <f t="shared" si="2"/>
        <v/>
      </c>
      <c r="J36" s="19">
        <v>0</v>
      </c>
      <c r="R36" s="19" t="s">
        <v>77</v>
      </c>
      <c r="S36" s="19" t="s">
        <v>77</v>
      </c>
      <c r="U36" s="26" t="s">
        <v>972</v>
      </c>
      <c r="V36" t="s">
        <v>77</v>
      </c>
      <c r="W36" t="s">
        <v>77</v>
      </c>
      <c r="X36" s="25" t="s">
        <v>77</v>
      </c>
      <c r="Y36" s="25" t="s">
        <v>77</v>
      </c>
      <c r="AB36" s="19" t="s">
        <v>77</v>
      </c>
      <c r="AF36"/>
      <c r="AG36"/>
    </row>
    <row r="37" spans="1:36" x14ac:dyDescent="0.25">
      <c r="A37" s="19" t="s">
        <v>670</v>
      </c>
      <c r="B37" s="26" t="s">
        <v>379</v>
      </c>
      <c r="C37" s="19" t="s">
        <v>71</v>
      </c>
      <c r="D37" s="19" t="s">
        <v>380</v>
      </c>
      <c r="F37" s="19" t="str">
        <f t="shared" si="0"/>
        <v>EC1R 4QE</v>
      </c>
      <c r="G37" s="19">
        <f t="shared" si="1"/>
        <v>51.525483000000001</v>
      </c>
      <c r="H37" s="19">
        <f t="shared" si="2"/>
        <v>-0.10921400000000001</v>
      </c>
      <c r="J37" s="19">
        <v>90</v>
      </c>
      <c r="N37" s="19" t="s">
        <v>674</v>
      </c>
      <c r="O37" s="19" t="s">
        <v>470</v>
      </c>
      <c r="P37" s="26" t="s">
        <v>675</v>
      </c>
      <c r="R37" s="19">
        <v>6856</v>
      </c>
      <c r="S37" s="19" t="s">
        <v>53</v>
      </c>
      <c r="U37" s="26" t="s">
        <v>973</v>
      </c>
      <c r="V37" t="s">
        <v>77</v>
      </c>
      <c r="W37" s="26" t="s">
        <v>122</v>
      </c>
      <c r="X37" s="26" t="s">
        <v>88</v>
      </c>
      <c r="Y37" s="26" t="s">
        <v>169</v>
      </c>
      <c r="AA37" s="19" t="s">
        <v>461</v>
      </c>
      <c r="AB37" s="19" t="s">
        <v>461</v>
      </c>
      <c r="AD37" s="19">
        <v>51.525483000000001</v>
      </c>
      <c r="AE37" s="19">
        <v>-0.10921400000000001</v>
      </c>
      <c r="AF37">
        <v>51.525861999999996</v>
      </c>
      <c r="AG37">
        <v>-0.10884609000000001</v>
      </c>
      <c r="AI37" s="19" t="s">
        <v>974</v>
      </c>
      <c r="AJ37" s="19" t="s">
        <v>975</v>
      </c>
    </row>
    <row r="38" spans="1:36" x14ac:dyDescent="0.25">
      <c r="A38" s="19" t="s">
        <v>617</v>
      </c>
      <c r="B38" s="26" t="s">
        <v>346</v>
      </c>
      <c r="C38" s="19" t="s">
        <v>71</v>
      </c>
      <c r="D38" s="19" t="s">
        <v>616</v>
      </c>
      <c r="F38" s="19" t="str">
        <f t="shared" si="0"/>
        <v>N1 1BQ</v>
      </c>
      <c r="G38" s="19">
        <f t="shared" si="1"/>
        <v>51.541003000000003</v>
      </c>
      <c r="H38" s="19">
        <f t="shared" si="2"/>
        <v>-0.115216</v>
      </c>
      <c r="J38" s="19">
        <v>103</v>
      </c>
      <c r="N38" s="19" t="s">
        <v>619</v>
      </c>
      <c r="O38" s="19" t="s">
        <v>620</v>
      </c>
      <c r="P38" s="26" t="s">
        <v>621</v>
      </c>
      <c r="R38" s="19" t="s">
        <v>77</v>
      </c>
      <c r="S38" s="19" t="s">
        <v>77</v>
      </c>
      <c r="U38" s="26" t="s">
        <v>976</v>
      </c>
      <c r="V38" t="s">
        <v>77</v>
      </c>
      <c r="W38" t="s">
        <v>77</v>
      </c>
      <c r="X38" s="25" t="s">
        <v>77</v>
      </c>
      <c r="Y38" s="25" t="s">
        <v>77</v>
      </c>
      <c r="AA38" s="19" t="s">
        <v>234</v>
      </c>
      <c r="AB38" s="19" t="s">
        <v>77</v>
      </c>
      <c r="AD38" s="19">
        <v>51.541003000000003</v>
      </c>
      <c r="AE38" s="19">
        <v>-0.115216</v>
      </c>
      <c r="AF38">
        <v>51.540033999999999</v>
      </c>
      <c r="AG38">
        <v>-0.11441622</v>
      </c>
      <c r="AI38" s="19" t="s">
        <v>961</v>
      </c>
      <c r="AJ38" s="19" t="s">
        <v>962</v>
      </c>
    </row>
    <row r="39" spans="1:36" x14ac:dyDescent="0.25">
      <c r="A39" s="19" t="s">
        <v>610</v>
      </c>
      <c r="B39" s="26" t="s">
        <v>342</v>
      </c>
      <c r="C39" s="19" t="s">
        <v>71</v>
      </c>
      <c r="D39" s="19" t="s">
        <v>343</v>
      </c>
      <c r="F39" s="19" t="str">
        <f t="shared" si="0"/>
        <v>N19 3TN</v>
      </c>
      <c r="G39" s="19">
        <f t="shared" si="1"/>
        <v>51.569477999999997</v>
      </c>
      <c r="H39" s="19">
        <f t="shared" si="2"/>
        <v>-0.135682</v>
      </c>
      <c r="J39" s="19">
        <v>44</v>
      </c>
      <c r="N39" s="19" t="s">
        <v>614</v>
      </c>
      <c r="O39" s="19" t="s">
        <v>470</v>
      </c>
      <c r="P39" s="26" t="s">
        <v>615</v>
      </c>
      <c r="R39" s="19">
        <v>6069</v>
      </c>
      <c r="S39" s="19" t="s">
        <v>62</v>
      </c>
      <c r="U39" s="26" t="s">
        <v>977</v>
      </c>
      <c r="V39" t="s">
        <v>77</v>
      </c>
      <c r="W39"/>
      <c r="X39" s="25">
        <v>0</v>
      </c>
      <c r="Y39" s="26" t="s">
        <v>177</v>
      </c>
      <c r="AA39" s="19" t="s">
        <v>246</v>
      </c>
      <c r="AB39" s="19" t="s">
        <v>246</v>
      </c>
      <c r="AD39" s="19">
        <v>51.569477999999997</v>
      </c>
      <c r="AE39" s="19">
        <v>-0.135682</v>
      </c>
      <c r="AF39">
        <v>51.570506000000002</v>
      </c>
      <c r="AG39">
        <v>-0.13495963</v>
      </c>
      <c r="AI39" s="19" t="s">
        <v>978</v>
      </c>
      <c r="AJ39" s="19" t="s">
        <v>979</v>
      </c>
    </row>
    <row r="40" spans="1:36" x14ac:dyDescent="0.25">
      <c r="A40" s="19" t="s">
        <v>721</v>
      </c>
      <c r="B40" s="26" t="s">
        <v>722</v>
      </c>
      <c r="C40" s="19" t="s">
        <v>71</v>
      </c>
      <c r="D40" s="19" t="s">
        <v>720</v>
      </c>
      <c r="F40" s="19" t="str">
        <f t="shared" si="0"/>
        <v/>
      </c>
      <c r="G40" s="19" t="str">
        <f t="shared" si="1"/>
        <v/>
      </c>
      <c r="H40" s="19" t="str">
        <f t="shared" si="2"/>
        <v/>
      </c>
      <c r="J40" s="19">
        <v>0</v>
      </c>
      <c r="N40" s="19" t="s">
        <v>726</v>
      </c>
      <c r="O40" s="19" t="s">
        <v>572</v>
      </c>
      <c r="P40" s="26" t="s">
        <v>727</v>
      </c>
      <c r="R40" s="19" t="s">
        <v>77</v>
      </c>
      <c r="S40" s="19" t="s">
        <v>77</v>
      </c>
      <c r="U40" s="26" t="s">
        <v>980</v>
      </c>
      <c r="V40" t="s">
        <v>77</v>
      </c>
      <c r="W40" t="s">
        <v>77</v>
      </c>
      <c r="X40" s="25" t="s">
        <v>77</v>
      </c>
      <c r="Y40" s="25" t="s">
        <v>77</v>
      </c>
      <c r="AB40" s="19" t="s">
        <v>77</v>
      </c>
      <c r="AF40"/>
      <c r="AG40"/>
    </row>
    <row r="41" spans="1:36" x14ac:dyDescent="0.25">
      <c r="A41" s="19" t="s">
        <v>624</v>
      </c>
      <c r="B41" s="26" t="s">
        <v>349</v>
      </c>
      <c r="C41" s="19" t="s">
        <v>71</v>
      </c>
      <c r="D41" s="19" t="s">
        <v>350</v>
      </c>
      <c r="F41" s="19" t="str">
        <f t="shared" si="0"/>
        <v>N5 2DR</v>
      </c>
      <c r="G41" s="19">
        <f t="shared" si="1"/>
        <v>51.554687000000001</v>
      </c>
      <c r="H41" s="19">
        <f t="shared" si="2"/>
        <v>-9.2225000000000001E-2</v>
      </c>
      <c r="J41" s="19">
        <v>124</v>
      </c>
      <c r="N41" s="19" t="s">
        <v>628</v>
      </c>
      <c r="O41" s="19" t="s">
        <v>470</v>
      </c>
      <c r="P41" s="26" t="s">
        <v>629</v>
      </c>
      <c r="R41" s="19">
        <v>8377</v>
      </c>
      <c r="S41" s="19" t="s">
        <v>59</v>
      </c>
      <c r="U41" s="26" t="s">
        <v>981</v>
      </c>
      <c r="V41" t="s">
        <v>77</v>
      </c>
      <c r="W41" s="26" t="s">
        <v>126</v>
      </c>
      <c r="X41" s="25">
        <v>0</v>
      </c>
      <c r="Y41" s="26" t="s">
        <v>174</v>
      </c>
      <c r="AA41" s="19" t="s">
        <v>242</v>
      </c>
      <c r="AB41" s="19" t="s">
        <v>242</v>
      </c>
      <c r="AD41" s="19">
        <v>51.554687000000001</v>
      </c>
      <c r="AE41" s="19">
        <v>-9.2225000000000001E-2</v>
      </c>
      <c r="AF41">
        <v>51.555284</v>
      </c>
      <c r="AG41">
        <v>-9.2075385999999995E-2</v>
      </c>
      <c r="AI41" s="19" t="s">
        <v>982</v>
      </c>
      <c r="AJ41" s="19" t="s">
        <v>983</v>
      </c>
    </row>
    <row r="42" spans="1:36" x14ac:dyDescent="0.25">
      <c r="A42" s="19" t="s">
        <v>676</v>
      </c>
      <c r="B42" s="26" t="s">
        <v>383</v>
      </c>
      <c r="C42" s="19" t="s">
        <v>71</v>
      </c>
      <c r="D42" s="19" t="s">
        <v>384</v>
      </c>
      <c r="F42" s="19" t="str">
        <f t="shared" si="0"/>
        <v>EC1V 8DA</v>
      </c>
      <c r="G42" s="19">
        <f t="shared" si="1"/>
        <v>51.527724999999997</v>
      </c>
      <c r="H42" s="19">
        <f t="shared" si="2"/>
        <v>-9.7731999999999999E-2</v>
      </c>
      <c r="J42" s="19">
        <v>83</v>
      </c>
      <c r="N42" s="19" t="s">
        <v>678</v>
      </c>
      <c r="O42" s="19" t="s">
        <v>470</v>
      </c>
      <c r="P42" s="26" t="s">
        <v>679</v>
      </c>
      <c r="R42" s="19">
        <v>6941</v>
      </c>
      <c r="S42" s="19" t="s">
        <v>56</v>
      </c>
      <c r="U42" s="26" t="s">
        <v>984</v>
      </c>
      <c r="V42" t="s">
        <v>77</v>
      </c>
      <c r="W42" s="26" t="s">
        <v>123</v>
      </c>
      <c r="X42" s="26" t="s">
        <v>90</v>
      </c>
      <c r="Y42" s="26" t="s">
        <v>171</v>
      </c>
      <c r="AA42" s="19" t="s">
        <v>239</v>
      </c>
      <c r="AB42" s="19" t="s">
        <v>239</v>
      </c>
      <c r="AD42" s="19">
        <v>51.527724999999997</v>
      </c>
      <c r="AE42" s="19">
        <v>-9.7731999999999999E-2</v>
      </c>
      <c r="AF42">
        <v>51.527822</v>
      </c>
      <c r="AG42">
        <v>-9.7649624000000004E-2</v>
      </c>
      <c r="AI42" s="19" t="s">
        <v>985</v>
      </c>
      <c r="AJ42" s="19" t="s">
        <v>986</v>
      </c>
    </row>
    <row r="43" spans="1:36" x14ac:dyDescent="0.25">
      <c r="A43" s="19" t="s">
        <v>630</v>
      </c>
      <c r="B43" s="26" t="s">
        <v>353</v>
      </c>
      <c r="C43" s="19" t="s">
        <v>71</v>
      </c>
      <c r="D43" s="19" t="s">
        <v>465</v>
      </c>
      <c r="F43" s="19" t="str">
        <f t="shared" si="0"/>
        <v>N7 0ND</v>
      </c>
      <c r="G43" s="19">
        <f t="shared" si="1"/>
        <v>51.556821999999997</v>
      </c>
      <c r="H43" s="19">
        <f t="shared" si="2"/>
        <v>-0.12617100000000001</v>
      </c>
      <c r="J43" s="19">
        <v>44</v>
      </c>
      <c r="N43" s="19" t="s">
        <v>634</v>
      </c>
      <c r="O43" s="19" t="s">
        <v>479</v>
      </c>
      <c r="P43" s="26" t="s">
        <v>635</v>
      </c>
      <c r="R43" s="19">
        <v>12628</v>
      </c>
      <c r="S43" s="19" t="s">
        <v>70</v>
      </c>
      <c r="U43" s="26" t="s">
        <v>987</v>
      </c>
      <c r="V43" t="s">
        <v>77</v>
      </c>
      <c r="W43" s="26" t="s">
        <v>132</v>
      </c>
      <c r="X43" s="25">
        <v>0</v>
      </c>
      <c r="Y43" s="26" t="s">
        <v>184</v>
      </c>
      <c r="AA43" s="19" t="s">
        <v>251</v>
      </c>
      <c r="AB43" s="19" t="s">
        <v>251</v>
      </c>
      <c r="AD43" s="19">
        <v>51.556821999999997</v>
      </c>
      <c r="AE43" s="19">
        <v>-0.12617100000000001</v>
      </c>
      <c r="AF43">
        <v>51.556232999999999</v>
      </c>
      <c r="AG43">
        <v>-0.12525805000000001</v>
      </c>
      <c r="AI43" s="19" t="s">
        <v>988</v>
      </c>
      <c r="AJ43" s="19" t="s">
        <v>989</v>
      </c>
    </row>
    <row r="44" spans="1:36" x14ac:dyDescent="0.25">
      <c r="A44" s="19" t="s">
        <v>667</v>
      </c>
      <c r="B44" s="26" t="s">
        <v>377</v>
      </c>
      <c r="C44" s="19" t="s">
        <v>71</v>
      </c>
      <c r="D44" s="19" t="s">
        <v>378</v>
      </c>
      <c r="F44" s="19" t="str">
        <f t="shared" si="0"/>
        <v>EC1R 0EA</v>
      </c>
      <c r="G44" s="19">
        <f t="shared" si="1"/>
        <v>51.523574000000004</v>
      </c>
      <c r="H44" s="19">
        <f t="shared" si="2"/>
        <v>-0.105679</v>
      </c>
      <c r="J44" s="19">
        <v>162</v>
      </c>
      <c r="N44" s="19" t="s">
        <v>671</v>
      </c>
      <c r="O44" s="19" t="s">
        <v>479</v>
      </c>
      <c r="P44" s="26" t="s">
        <v>672</v>
      </c>
      <c r="R44" s="19">
        <v>6856</v>
      </c>
      <c r="S44" s="19" t="s">
        <v>54</v>
      </c>
      <c r="U44" s="26" t="s">
        <v>990</v>
      </c>
      <c r="V44" t="s">
        <v>77</v>
      </c>
      <c r="W44" s="26" t="s">
        <v>122</v>
      </c>
      <c r="X44" s="26" t="s">
        <v>89</v>
      </c>
      <c r="Y44" s="26" t="s">
        <v>170</v>
      </c>
      <c r="AA44" s="19" t="s">
        <v>237</v>
      </c>
      <c r="AB44" s="19" t="s">
        <v>238</v>
      </c>
      <c r="AD44" s="19">
        <v>51.523574000000004</v>
      </c>
      <c r="AE44" s="19">
        <v>-0.105679</v>
      </c>
      <c r="AF44">
        <v>51.523352000000003</v>
      </c>
      <c r="AG44">
        <v>-0.10543275000000001</v>
      </c>
      <c r="AI44" s="19" t="s">
        <v>991</v>
      </c>
      <c r="AJ44" s="19" t="s">
        <v>992</v>
      </c>
    </row>
    <row r="45" spans="1:36" x14ac:dyDescent="0.25">
      <c r="A45" s="19" t="s">
        <v>633</v>
      </c>
      <c r="B45" s="26" t="s">
        <v>354</v>
      </c>
      <c r="C45" s="19" t="s">
        <v>71</v>
      </c>
      <c r="D45" s="19" t="s">
        <v>355</v>
      </c>
      <c r="F45" s="19" t="str">
        <f t="shared" si="0"/>
        <v>N1 8PF</v>
      </c>
      <c r="G45" s="19">
        <f t="shared" si="1"/>
        <v>51.536527</v>
      </c>
      <c r="H45" s="19">
        <f t="shared" si="2"/>
        <v>-9.6514000000000003E-2</v>
      </c>
      <c r="J45" s="19">
        <v>109</v>
      </c>
      <c r="N45" s="19" t="s">
        <v>637</v>
      </c>
      <c r="O45" s="19" t="s">
        <v>470</v>
      </c>
      <c r="P45" s="26" t="s">
        <v>638</v>
      </c>
      <c r="R45" s="19">
        <v>10339</v>
      </c>
      <c r="S45" s="19" t="s">
        <v>65</v>
      </c>
      <c r="U45" s="26" t="s">
        <v>993</v>
      </c>
      <c r="V45" t="s">
        <v>77</v>
      </c>
      <c r="W45" s="26" t="s">
        <v>129</v>
      </c>
      <c r="X45" s="26" t="s">
        <v>92</v>
      </c>
      <c r="Y45" s="26" t="s">
        <v>179</v>
      </c>
      <c r="AA45" s="19" t="s">
        <v>269</v>
      </c>
      <c r="AB45" s="19" t="s">
        <v>269</v>
      </c>
      <c r="AD45" s="19">
        <v>51.536527</v>
      </c>
      <c r="AE45" s="19">
        <v>-9.6514000000000003E-2</v>
      </c>
      <c r="AF45">
        <v>51.536580000000001</v>
      </c>
      <c r="AG45">
        <v>-9.6534630999999996E-2</v>
      </c>
      <c r="AI45" s="19" t="s">
        <v>994</v>
      </c>
      <c r="AJ45" s="19" t="s">
        <v>995</v>
      </c>
    </row>
    <row r="46" spans="1:36" x14ac:dyDescent="0.25">
      <c r="A46" s="19" t="s">
        <v>654</v>
      </c>
      <c r="B46" s="26" t="s">
        <v>368</v>
      </c>
      <c r="C46" s="19" t="s">
        <v>71</v>
      </c>
      <c r="D46" s="19" t="s">
        <v>64</v>
      </c>
      <c r="F46" s="19" t="str">
        <f t="shared" si="0"/>
        <v>N19 5RR</v>
      </c>
      <c r="G46" s="19">
        <f t="shared" si="1"/>
        <v>51.561656999999997</v>
      </c>
      <c r="H46" s="19">
        <f t="shared" si="2"/>
        <v>-0.13132099999999999</v>
      </c>
      <c r="J46" s="19">
        <v>306</v>
      </c>
      <c r="N46" s="19" t="s">
        <v>656</v>
      </c>
      <c r="O46" s="19" t="s">
        <v>470</v>
      </c>
      <c r="P46" s="26" t="s">
        <v>657</v>
      </c>
      <c r="R46" s="19">
        <v>10719</v>
      </c>
      <c r="S46" s="19" t="s">
        <v>63</v>
      </c>
      <c r="U46" s="26" t="s">
        <v>996</v>
      </c>
      <c r="V46" t="s">
        <v>77</v>
      </c>
      <c r="W46" s="26" t="s">
        <v>128</v>
      </c>
      <c r="X46" s="25">
        <v>0</v>
      </c>
      <c r="Y46" s="26" t="s">
        <v>178</v>
      </c>
      <c r="AA46" s="19" t="s">
        <v>279</v>
      </c>
      <c r="AB46" s="19" t="s">
        <v>279</v>
      </c>
      <c r="AD46" s="19">
        <v>51.561656999999997</v>
      </c>
      <c r="AE46" s="19">
        <v>-0.13132099999999999</v>
      </c>
      <c r="AF46">
        <v>51.562646999999998</v>
      </c>
      <c r="AG46">
        <v>-0.13163098000000001</v>
      </c>
      <c r="AI46" s="19" t="s">
        <v>988</v>
      </c>
      <c r="AJ46" s="19" t="s">
        <v>989</v>
      </c>
    </row>
    <row r="47" spans="1:36" x14ac:dyDescent="0.25">
      <c r="A47" s="19" t="s">
        <v>636</v>
      </c>
      <c r="B47" s="26" t="s">
        <v>356</v>
      </c>
      <c r="C47" s="19" t="s">
        <v>71</v>
      </c>
      <c r="D47" s="19" t="s">
        <v>357</v>
      </c>
      <c r="F47" s="19" t="str">
        <f t="shared" si="0"/>
        <v>N1 4PL</v>
      </c>
      <c r="G47" s="19">
        <f t="shared" si="1"/>
        <v>51.549097000000003</v>
      </c>
      <c r="H47" s="19">
        <f t="shared" si="2"/>
        <v>-8.0931000000000003E-2</v>
      </c>
      <c r="J47" s="19">
        <v>74</v>
      </c>
      <c r="N47" s="19" t="s">
        <v>640</v>
      </c>
      <c r="O47" s="19" t="s">
        <v>470</v>
      </c>
      <c r="P47" s="26" t="s">
        <v>641</v>
      </c>
      <c r="R47" s="19">
        <v>14995</v>
      </c>
      <c r="S47" s="19" t="s">
        <v>67</v>
      </c>
      <c r="U47" s="26" t="s">
        <v>999</v>
      </c>
      <c r="V47" t="s">
        <v>77</v>
      </c>
      <c r="W47"/>
      <c r="X47" s="25">
        <v>0</v>
      </c>
      <c r="Y47" s="26" t="s">
        <v>181</v>
      </c>
      <c r="AA47" s="19" t="s">
        <v>282</v>
      </c>
      <c r="AB47" s="19" t="s">
        <v>282</v>
      </c>
      <c r="AD47" s="19">
        <v>51.549097000000003</v>
      </c>
      <c r="AE47" s="19">
        <v>-8.0931000000000003E-2</v>
      </c>
      <c r="AF47">
        <v>51.548955999999997</v>
      </c>
      <c r="AG47">
        <v>-8.1724529000000004E-2</v>
      </c>
      <c r="AI47" s="19" t="s">
        <v>1000</v>
      </c>
      <c r="AJ47" s="19" t="s">
        <v>1001</v>
      </c>
    </row>
    <row r="48" spans="1:36" x14ac:dyDescent="0.25">
      <c r="A48" s="19" t="s">
        <v>639</v>
      </c>
      <c r="B48" s="26" t="s">
        <v>358</v>
      </c>
      <c r="C48" s="19" t="s">
        <v>71</v>
      </c>
      <c r="D48" s="19" t="s">
        <v>359</v>
      </c>
      <c r="F48" s="19" t="str">
        <f t="shared" si="0"/>
        <v>N7 9JE</v>
      </c>
      <c r="G48" s="19">
        <f t="shared" si="1"/>
        <v>51.552456999999997</v>
      </c>
      <c r="H48" s="19">
        <f t="shared" si="2"/>
        <v>-0.121323</v>
      </c>
      <c r="J48" s="19">
        <v>268</v>
      </c>
      <c r="N48" s="19" t="s">
        <v>643</v>
      </c>
      <c r="O48" s="19" t="s">
        <v>470</v>
      </c>
      <c r="P48" s="26" t="s">
        <v>644</v>
      </c>
      <c r="R48" s="19">
        <v>13877</v>
      </c>
      <c r="S48" s="19" t="s">
        <v>60</v>
      </c>
      <c r="U48" s="26" t="s">
        <v>1002</v>
      </c>
      <c r="V48" t="s">
        <v>77</v>
      </c>
      <c r="W48"/>
      <c r="X48" s="25">
        <v>0</v>
      </c>
      <c r="Y48" s="26" t="s">
        <v>175</v>
      </c>
      <c r="AA48" s="19" t="s">
        <v>243</v>
      </c>
      <c r="AB48" s="19" t="s">
        <v>243</v>
      </c>
      <c r="AD48" s="19">
        <v>51.552456999999997</v>
      </c>
      <c r="AE48" s="19">
        <v>-0.121323</v>
      </c>
      <c r="AF48">
        <v>51.551972999999997</v>
      </c>
      <c r="AG48">
        <v>-0.12093279999999999</v>
      </c>
      <c r="AI48" s="19" t="s">
        <v>1003</v>
      </c>
      <c r="AJ48" s="19" t="s">
        <v>1004</v>
      </c>
    </row>
    <row r="49" spans="1:36" x14ac:dyDescent="0.25">
      <c r="A49" s="19" t="s">
        <v>673</v>
      </c>
      <c r="B49" s="26" t="s">
        <v>381</v>
      </c>
      <c r="C49" s="19" t="s">
        <v>71</v>
      </c>
      <c r="D49" s="19" t="s">
        <v>382</v>
      </c>
      <c r="F49" s="19" t="str">
        <f t="shared" si="0"/>
        <v>EC1R 1XX</v>
      </c>
      <c r="G49" s="19">
        <f t="shared" si="1"/>
        <v>51.530047000000003</v>
      </c>
      <c r="H49" s="19">
        <f t="shared" si="2"/>
        <v>-0.108996</v>
      </c>
      <c r="J49" s="19">
        <v>72</v>
      </c>
      <c r="N49" s="19" t="s">
        <v>674</v>
      </c>
      <c r="O49" s="19" t="s">
        <v>470</v>
      </c>
      <c r="P49" s="26" t="s">
        <v>675</v>
      </c>
      <c r="R49" s="19" t="s">
        <v>77</v>
      </c>
      <c r="S49" s="19" t="s">
        <v>77</v>
      </c>
      <c r="U49" s="26" t="s">
        <v>1006</v>
      </c>
      <c r="V49" t="s">
        <v>77</v>
      </c>
      <c r="W49" t="s">
        <v>77</v>
      </c>
      <c r="X49" s="25" t="s">
        <v>77</v>
      </c>
      <c r="Y49" s="25" t="s">
        <v>77</v>
      </c>
      <c r="AA49" s="19" t="s">
        <v>238</v>
      </c>
      <c r="AB49" s="19" t="s">
        <v>77</v>
      </c>
      <c r="AD49" s="19">
        <v>51.530047000000003</v>
      </c>
      <c r="AE49" s="19">
        <v>-0.108996</v>
      </c>
      <c r="AF49">
        <v>51.530245000000001</v>
      </c>
      <c r="AG49">
        <v>-0.10960161</v>
      </c>
      <c r="AI49" s="19" t="s">
        <v>1007</v>
      </c>
      <c r="AJ49" s="19" t="s">
        <v>1008</v>
      </c>
    </row>
    <row r="50" spans="1:36" x14ac:dyDescent="0.25">
      <c r="A50" s="19" t="s">
        <v>642</v>
      </c>
      <c r="B50" s="26" t="s">
        <v>360</v>
      </c>
      <c r="C50" s="19" t="s">
        <v>71</v>
      </c>
      <c r="D50" s="19" t="s">
        <v>361</v>
      </c>
      <c r="F50" s="19" t="str">
        <f t="shared" si="0"/>
        <v>N4 3LD</v>
      </c>
      <c r="G50" s="19">
        <f t="shared" si="1"/>
        <v>51.565185999999997</v>
      </c>
      <c r="H50" s="19">
        <f t="shared" si="2"/>
        <v>-0.115699</v>
      </c>
      <c r="J50" s="19">
        <v>232</v>
      </c>
      <c r="N50" s="19" t="s">
        <v>646</v>
      </c>
      <c r="O50" s="19" t="s">
        <v>470</v>
      </c>
      <c r="P50" s="26" t="s">
        <v>647</v>
      </c>
      <c r="R50" s="19">
        <v>25345</v>
      </c>
      <c r="S50" s="19" t="s">
        <v>69</v>
      </c>
      <c r="U50" s="26" t="s">
        <v>1009</v>
      </c>
      <c r="V50" s="26" t="s">
        <v>83</v>
      </c>
      <c r="W50" s="26" t="s">
        <v>131</v>
      </c>
      <c r="X50" s="25">
        <v>0</v>
      </c>
      <c r="Y50" s="26" t="s">
        <v>183</v>
      </c>
      <c r="AA50" s="19" t="s">
        <v>249</v>
      </c>
      <c r="AB50" s="19" t="s">
        <v>249</v>
      </c>
      <c r="AD50" s="19">
        <v>51.565185999999997</v>
      </c>
      <c r="AE50" s="19">
        <v>-0.115699</v>
      </c>
      <c r="AF50">
        <v>51.565784000000001</v>
      </c>
      <c r="AG50">
        <v>-0.11353868</v>
      </c>
      <c r="AI50" s="19" t="s">
        <v>1010</v>
      </c>
      <c r="AJ50" s="19" t="s">
        <v>1011</v>
      </c>
    </row>
    <row r="51" spans="1:36" x14ac:dyDescent="0.25">
      <c r="A51" s="19" t="s">
        <v>645</v>
      </c>
      <c r="B51" s="26" t="s">
        <v>362</v>
      </c>
      <c r="C51" s="19" t="s">
        <v>71</v>
      </c>
      <c r="D51" s="19" t="s">
        <v>363</v>
      </c>
      <c r="F51" s="19" t="str">
        <f t="shared" si="0"/>
        <v>N19 3AD</v>
      </c>
      <c r="G51" s="19">
        <f t="shared" si="1"/>
        <v>51.571334999999998</v>
      </c>
      <c r="H51" s="19">
        <f t="shared" si="2"/>
        <v>-0.122738</v>
      </c>
      <c r="J51" s="19">
        <v>81</v>
      </c>
      <c r="N51" s="19" t="s">
        <v>649</v>
      </c>
      <c r="O51" s="19" t="s">
        <v>470</v>
      </c>
      <c r="P51" s="26" t="s">
        <v>650</v>
      </c>
      <c r="R51" s="19">
        <v>9307</v>
      </c>
      <c r="S51" s="19" t="s">
        <v>61</v>
      </c>
      <c r="U51" s="26" t="s">
        <v>1013</v>
      </c>
      <c r="V51" t="s">
        <v>77</v>
      </c>
      <c r="W51" s="26" t="s">
        <v>127</v>
      </c>
      <c r="X51" s="25">
        <v>0</v>
      </c>
      <c r="Y51" s="26" t="s">
        <v>176</v>
      </c>
      <c r="AA51" s="19" t="s">
        <v>245</v>
      </c>
      <c r="AB51" s="19" t="s">
        <v>245</v>
      </c>
      <c r="AD51" s="19">
        <v>51.571334999999998</v>
      </c>
      <c r="AE51" s="19">
        <v>-0.122738</v>
      </c>
      <c r="AF51">
        <v>51.571128999999999</v>
      </c>
      <c r="AG51">
        <v>-0.12328881</v>
      </c>
      <c r="AI51" s="19" t="s">
        <v>1014</v>
      </c>
      <c r="AJ51" s="19" t="s">
        <v>1015</v>
      </c>
    </row>
    <row r="52" spans="1:36" x14ac:dyDescent="0.25">
      <c r="A52" s="19" t="s">
        <v>609</v>
      </c>
      <c r="B52" s="26" t="s">
        <v>340</v>
      </c>
      <c r="C52" s="19" t="s">
        <v>71</v>
      </c>
      <c r="D52" s="19" t="s">
        <v>341</v>
      </c>
      <c r="F52" s="19" t="str">
        <f t="shared" si="0"/>
        <v>N1 2TX</v>
      </c>
      <c r="G52" s="19">
        <f t="shared" si="1"/>
        <v>51.538358000000002</v>
      </c>
      <c r="H52" s="19">
        <f t="shared" si="2"/>
        <v>-0.101831</v>
      </c>
      <c r="J52" s="19">
        <v>207</v>
      </c>
      <c r="N52" s="19" t="s">
        <v>611</v>
      </c>
      <c r="O52" s="19" t="s">
        <v>546</v>
      </c>
      <c r="P52" s="26" t="s">
        <v>612</v>
      </c>
      <c r="R52" s="19">
        <v>6128</v>
      </c>
      <c r="S52" s="19" t="s">
        <v>66</v>
      </c>
      <c r="U52" s="26" t="s">
        <v>1016</v>
      </c>
      <c r="V52" t="s">
        <v>77</v>
      </c>
      <c r="W52" s="26" t="s">
        <v>129</v>
      </c>
      <c r="X52" s="26" t="s">
        <v>93</v>
      </c>
      <c r="Y52" s="26" t="s">
        <v>180</v>
      </c>
      <c r="AA52" s="19" t="s">
        <v>247</v>
      </c>
      <c r="AB52" s="19" t="s">
        <v>247</v>
      </c>
      <c r="AD52" s="19">
        <v>51.538358000000002</v>
      </c>
      <c r="AE52" s="19">
        <v>-0.101831</v>
      </c>
      <c r="AF52">
        <v>51.538373999999997</v>
      </c>
      <c r="AG52">
        <v>-0.10180962</v>
      </c>
      <c r="AI52" s="19" t="s">
        <v>1017</v>
      </c>
      <c r="AJ52" s="19" t="s">
        <v>1018</v>
      </c>
    </row>
    <row r="53" spans="1:36" x14ac:dyDescent="0.25">
      <c r="A53" s="19" t="s">
        <v>710</v>
      </c>
      <c r="B53" s="26" t="s">
        <v>394</v>
      </c>
      <c r="C53" s="19" t="s">
        <v>71</v>
      </c>
      <c r="D53" s="19" t="s">
        <v>395</v>
      </c>
      <c r="F53" s="19" t="str">
        <f t="shared" si="0"/>
        <v/>
      </c>
      <c r="G53" s="19" t="str">
        <f t="shared" si="1"/>
        <v/>
      </c>
      <c r="H53" s="19" t="str">
        <f t="shared" si="2"/>
        <v/>
      </c>
      <c r="J53" s="19">
        <v>0</v>
      </c>
      <c r="N53" s="19" t="s">
        <v>714</v>
      </c>
      <c r="O53" s="19" t="s">
        <v>572</v>
      </c>
      <c r="P53" s="26" t="s">
        <v>715</v>
      </c>
      <c r="R53" s="19" t="s">
        <v>77</v>
      </c>
      <c r="S53" s="19" t="s">
        <v>77</v>
      </c>
      <c r="U53" s="26" t="s">
        <v>1019</v>
      </c>
      <c r="V53" t="s">
        <v>77</v>
      </c>
      <c r="W53" t="s">
        <v>77</v>
      </c>
      <c r="X53" s="25" t="s">
        <v>77</v>
      </c>
      <c r="Y53" s="25" t="s">
        <v>77</v>
      </c>
      <c r="AB53" s="19" t="s">
        <v>77</v>
      </c>
      <c r="AF53"/>
      <c r="AG53"/>
    </row>
    <row r="54" spans="1:36" x14ac:dyDescent="0.25">
      <c r="A54" s="19" t="s">
        <v>655</v>
      </c>
      <c r="B54" s="26" t="s">
        <v>369</v>
      </c>
      <c r="C54" s="19" t="s">
        <v>71</v>
      </c>
      <c r="D54" s="19" t="s">
        <v>370</v>
      </c>
      <c r="F54" s="19" t="str">
        <f t="shared" si="0"/>
        <v>N4 3DQ</v>
      </c>
      <c r="G54" s="19" t="str">
        <f t="shared" si="1"/>
        <v/>
      </c>
      <c r="H54" s="19" t="str">
        <f t="shared" si="2"/>
        <v/>
      </c>
      <c r="J54" s="19">
        <v>0</v>
      </c>
      <c r="N54" s="19" t="s">
        <v>659</v>
      </c>
      <c r="O54" s="19" t="s">
        <v>470</v>
      </c>
      <c r="P54" s="26" t="s">
        <v>660</v>
      </c>
      <c r="R54" s="19">
        <v>25345</v>
      </c>
      <c r="S54" s="19" t="s">
        <v>69</v>
      </c>
      <c r="U54"/>
      <c r="V54" s="26" t="s">
        <v>83</v>
      </c>
      <c r="W54" s="26" t="s">
        <v>131</v>
      </c>
      <c r="X54" s="25">
        <v>0</v>
      </c>
      <c r="Y54" s="26" t="s">
        <v>183</v>
      </c>
      <c r="AA54" s="19" t="s">
        <v>462</v>
      </c>
      <c r="AB54" s="19" t="s">
        <v>462</v>
      </c>
      <c r="AD54" s="19">
        <v>0</v>
      </c>
      <c r="AE54" s="19">
        <v>0</v>
      </c>
      <c r="AF54">
        <v>51.570076999999998</v>
      </c>
      <c r="AG54">
        <v>-0.11657886000000001</v>
      </c>
    </row>
    <row r="55" spans="1:36" x14ac:dyDescent="0.25">
      <c r="A55" s="19" t="s">
        <v>658</v>
      </c>
      <c r="B55" s="26" t="s">
        <v>371</v>
      </c>
      <c r="C55" s="19" t="s">
        <v>71</v>
      </c>
      <c r="D55" s="19" t="s">
        <v>372</v>
      </c>
      <c r="F55" s="19" t="str">
        <f t="shared" si="0"/>
        <v>N1 9UL</v>
      </c>
      <c r="G55" s="19">
        <f t="shared" si="1"/>
        <v>51.533361999999997</v>
      </c>
      <c r="H55" s="19">
        <f t="shared" si="2"/>
        <v>-0.11196200000000001</v>
      </c>
      <c r="J55" s="19">
        <v>70</v>
      </c>
      <c r="N55" s="19" t="s">
        <v>662</v>
      </c>
      <c r="O55" s="19" t="s">
        <v>470</v>
      </c>
      <c r="P55" s="26" t="s">
        <v>663</v>
      </c>
      <c r="R55" s="19">
        <v>5972</v>
      </c>
      <c r="S55" s="19" t="s">
        <v>68</v>
      </c>
      <c r="U55" s="26" t="s">
        <v>1020</v>
      </c>
      <c r="V55" t="s">
        <v>77</v>
      </c>
      <c r="W55" s="26" t="s">
        <v>130</v>
      </c>
      <c r="X55" s="25">
        <v>0</v>
      </c>
      <c r="Y55" s="26" t="s">
        <v>182</v>
      </c>
      <c r="AA55" s="19" t="s">
        <v>248</v>
      </c>
      <c r="AB55" s="19" t="s">
        <v>248</v>
      </c>
      <c r="AD55" s="19">
        <v>51.533361999999997</v>
      </c>
      <c r="AE55" s="19">
        <v>-0.11196200000000001</v>
      </c>
      <c r="AF55">
        <v>51.533591999999999</v>
      </c>
      <c r="AG55">
        <v>-0.11191412000000001</v>
      </c>
      <c r="AI55" s="19" t="s">
        <v>1021</v>
      </c>
      <c r="AJ55" s="19" t="s">
        <v>1022</v>
      </c>
    </row>
    <row r="56" spans="1:36" x14ac:dyDescent="0.25">
      <c r="A56" s="19" t="s">
        <v>661</v>
      </c>
      <c r="B56" s="26" t="s">
        <v>373</v>
      </c>
      <c r="C56" s="19" t="s">
        <v>71</v>
      </c>
      <c r="D56" s="19" t="s">
        <v>374</v>
      </c>
      <c r="F56" s="19" t="str">
        <f t="shared" si="0"/>
        <v>N1 2DF</v>
      </c>
      <c r="G56" s="19">
        <f t="shared" si="1"/>
        <v>51.540906999999997</v>
      </c>
      <c r="H56" s="19">
        <f t="shared" si="2"/>
        <v>-9.7067000000000001E-2</v>
      </c>
      <c r="J56" s="19">
        <v>136</v>
      </c>
      <c r="N56" s="19" t="s">
        <v>665</v>
      </c>
      <c r="O56" s="19" t="s">
        <v>470</v>
      </c>
      <c r="P56" s="26" t="s">
        <v>666</v>
      </c>
      <c r="R56" s="19">
        <v>8039</v>
      </c>
      <c r="S56" s="19" t="s">
        <v>52</v>
      </c>
      <c r="U56" s="26" t="s">
        <v>1023</v>
      </c>
      <c r="V56" t="s">
        <v>77</v>
      </c>
      <c r="W56" s="26" t="s">
        <v>121</v>
      </c>
      <c r="X56" s="25">
        <v>0</v>
      </c>
      <c r="Y56" s="26" t="s">
        <v>168</v>
      </c>
      <c r="AA56" s="19" t="s">
        <v>236</v>
      </c>
      <c r="AB56" s="19" t="s">
        <v>236</v>
      </c>
      <c r="AD56" s="19">
        <v>51.540906999999997</v>
      </c>
      <c r="AE56" s="19">
        <v>-9.7067000000000001E-2</v>
      </c>
      <c r="AF56">
        <v>51.540891000000002</v>
      </c>
      <c r="AG56">
        <v>-9.6758531999999994E-2</v>
      </c>
      <c r="AI56" s="19" t="s">
        <v>1024</v>
      </c>
      <c r="AJ56" s="19" t="s">
        <v>1025</v>
      </c>
    </row>
    <row r="57" spans="1:36" x14ac:dyDescent="0.25">
      <c r="A57" s="19" t="s">
        <v>664</v>
      </c>
      <c r="B57" s="26" t="s">
        <v>375</v>
      </c>
      <c r="C57" s="19" t="s">
        <v>71</v>
      </c>
      <c r="D57" s="19" t="s">
        <v>376</v>
      </c>
      <c r="F57" s="19" t="str">
        <f t="shared" si="0"/>
        <v>N4 2QP</v>
      </c>
      <c r="G57" s="19">
        <f t="shared" si="1"/>
        <v>51.559874000000001</v>
      </c>
      <c r="H57" s="19">
        <f t="shared" si="2"/>
        <v>-0.103849</v>
      </c>
      <c r="J57" s="19">
        <v>155</v>
      </c>
      <c r="N57" s="19" t="s">
        <v>1116</v>
      </c>
      <c r="O57" s="19" t="s">
        <v>1118</v>
      </c>
      <c r="P57" s="26" t="s">
        <v>1117</v>
      </c>
      <c r="R57" s="19">
        <v>8196</v>
      </c>
      <c r="S57" s="19" t="s">
        <v>57</v>
      </c>
      <c r="U57" s="26" t="s">
        <v>1026</v>
      </c>
      <c r="V57" t="s">
        <v>77</v>
      </c>
      <c r="W57" s="26" t="s">
        <v>124</v>
      </c>
      <c r="X57" s="25">
        <v>0</v>
      </c>
      <c r="Y57" s="26" t="s">
        <v>172</v>
      </c>
      <c r="AA57" s="19" t="s">
        <v>240</v>
      </c>
      <c r="AB57" s="19" t="s">
        <v>240</v>
      </c>
      <c r="AD57" s="19">
        <v>51.559874000000001</v>
      </c>
      <c r="AE57" s="19">
        <v>-0.103849</v>
      </c>
      <c r="AF57">
        <v>51.559401999999999</v>
      </c>
      <c r="AG57">
        <v>-0.10366083</v>
      </c>
      <c r="AI57" s="19" t="s">
        <v>1027</v>
      </c>
      <c r="AJ57" s="19" t="s">
        <v>1028</v>
      </c>
    </row>
    <row r="58" spans="1:36" x14ac:dyDescent="0.25">
      <c r="A58" s="19" t="s">
        <v>613</v>
      </c>
      <c r="B58" s="26" t="s">
        <v>344</v>
      </c>
      <c r="C58" s="19" t="s">
        <v>71</v>
      </c>
      <c r="D58" s="19" t="s">
        <v>345</v>
      </c>
      <c r="F58" s="19" t="str">
        <f t="shared" si="0"/>
        <v/>
      </c>
      <c r="G58" s="19" t="str">
        <f t="shared" si="1"/>
        <v/>
      </c>
      <c r="H58" s="19" t="str">
        <f t="shared" si="2"/>
        <v/>
      </c>
      <c r="J58" s="19">
        <v>0</v>
      </c>
      <c r="R58" s="19" t="s">
        <v>77</v>
      </c>
      <c r="S58" s="19" t="s">
        <v>77</v>
      </c>
      <c r="U58"/>
      <c r="V58" t="s">
        <v>77</v>
      </c>
      <c r="W58" t="s">
        <v>77</v>
      </c>
      <c r="X58" s="25" t="s">
        <v>77</v>
      </c>
      <c r="Y58" s="25" t="s">
        <v>77</v>
      </c>
      <c r="AB58" s="19" t="s">
        <v>77</v>
      </c>
      <c r="AF58"/>
      <c r="AG58"/>
    </row>
    <row r="59" spans="1:36" x14ac:dyDescent="0.25">
      <c r="A59" s="19" t="s">
        <v>685</v>
      </c>
      <c r="B59" s="26" t="s">
        <v>392</v>
      </c>
      <c r="C59" s="19" t="s">
        <v>71</v>
      </c>
      <c r="D59" s="19" t="s">
        <v>393</v>
      </c>
      <c r="F59" s="19" t="str">
        <f t="shared" si="0"/>
        <v/>
      </c>
      <c r="G59" s="19" t="str">
        <f t="shared" si="1"/>
        <v/>
      </c>
      <c r="H59" s="19" t="str">
        <f t="shared" si="2"/>
        <v/>
      </c>
      <c r="J59" s="19">
        <v>0</v>
      </c>
      <c r="N59" s="19" t="s">
        <v>692</v>
      </c>
      <c r="O59" s="19" t="s">
        <v>693</v>
      </c>
      <c r="P59" s="26" t="s">
        <v>694</v>
      </c>
      <c r="R59" s="19" t="s">
        <v>77</v>
      </c>
      <c r="S59" s="19" t="s">
        <v>77</v>
      </c>
      <c r="U59" s="26" t="s">
        <v>1029</v>
      </c>
      <c r="V59" t="s">
        <v>77</v>
      </c>
      <c r="W59" t="s">
        <v>77</v>
      </c>
      <c r="X59" s="25" t="s">
        <v>77</v>
      </c>
      <c r="Y59" s="25" t="s">
        <v>77</v>
      </c>
      <c r="AB59" s="19" t="s">
        <v>77</v>
      </c>
      <c r="AF59"/>
      <c r="AG59"/>
    </row>
    <row r="60" spans="1:36" x14ac:dyDescent="0.25">
      <c r="A60" s="19" t="s">
        <v>617</v>
      </c>
      <c r="B60" s="26" t="s">
        <v>348</v>
      </c>
      <c r="C60" s="19" t="s">
        <v>71</v>
      </c>
      <c r="D60" s="19" t="s">
        <v>51</v>
      </c>
      <c r="F60" s="19" t="str">
        <f t="shared" si="0"/>
        <v>N1 0ES</v>
      </c>
      <c r="G60" s="19">
        <f t="shared" si="1"/>
        <v>51.535938000000002</v>
      </c>
      <c r="H60" s="19">
        <f t="shared" si="2"/>
        <v>-0.110871</v>
      </c>
      <c r="J60" s="19">
        <v>66</v>
      </c>
      <c r="N60" s="19" t="s">
        <v>625</v>
      </c>
      <c r="O60" s="19" t="s">
        <v>560</v>
      </c>
      <c r="P60" s="26" t="s">
        <v>626</v>
      </c>
      <c r="R60" s="19" t="s">
        <v>77</v>
      </c>
      <c r="S60" s="19" t="s">
        <v>77</v>
      </c>
      <c r="U60" s="26" t="s">
        <v>1030</v>
      </c>
      <c r="V60" s="20" t="s">
        <v>82</v>
      </c>
      <c r="W60" t="s">
        <v>77</v>
      </c>
      <c r="X60" s="25" t="s">
        <v>77</v>
      </c>
      <c r="Y60" s="25" t="s">
        <v>77</v>
      </c>
      <c r="AA60" s="19" t="s">
        <v>235</v>
      </c>
      <c r="AB60" s="19" t="s">
        <v>77</v>
      </c>
      <c r="AD60" s="19">
        <v>51.535938000000002</v>
      </c>
      <c r="AE60" s="19">
        <v>-0.110871</v>
      </c>
      <c r="AF60">
        <v>51.536521</v>
      </c>
      <c r="AG60">
        <v>-0.11063936000000001</v>
      </c>
      <c r="AI60" s="19" t="s">
        <v>961</v>
      </c>
      <c r="AJ60" s="19" t="s">
        <v>962</v>
      </c>
    </row>
    <row r="61" spans="1:36" x14ac:dyDescent="0.25">
      <c r="A61" s="19" t="s">
        <v>682</v>
      </c>
      <c r="B61" s="26" t="s">
        <v>390</v>
      </c>
      <c r="C61" s="19" t="s">
        <v>71</v>
      </c>
      <c r="D61" s="19" t="s">
        <v>391</v>
      </c>
      <c r="F61" s="19" t="str">
        <f t="shared" si="0"/>
        <v/>
      </c>
      <c r="G61" s="19" t="str">
        <f t="shared" si="1"/>
        <v/>
      </c>
      <c r="H61" s="19" t="str">
        <f t="shared" si="2"/>
        <v/>
      </c>
      <c r="J61" s="19">
        <v>0</v>
      </c>
      <c r="N61" s="19" t="s">
        <v>686</v>
      </c>
      <c r="O61" s="19" t="s">
        <v>687</v>
      </c>
      <c r="P61" s="26" t="s">
        <v>688</v>
      </c>
      <c r="R61" s="19" t="s">
        <v>77</v>
      </c>
      <c r="S61" s="19" t="s">
        <v>77</v>
      </c>
      <c r="U61"/>
      <c r="V61" t="s">
        <v>77</v>
      </c>
      <c r="W61" t="s">
        <v>77</v>
      </c>
      <c r="X61" s="25" t="s">
        <v>77</v>
      </c>
      <c r="Y61" s="25" t="s">
        <v>77</v>
      </c>
      <c r="AB61" s="19" t="s">
        <v>77</v>
      </c>
      <c r="AF61"/>
      <c r="AG61"/>
    </row>
    <row r="62" spans="1:36" x14ac:dyDescent="0.25">
      <c r="A62" s="19" t="s">
        <v>681</v>
      </c>
      <c r="B62" s="26" t="s">
        <v>389</v>
      </c>
      <c r="C62" s="19" t="s">
        <v>71</v>
      </c>
      <c r="D62" s="19" t="s">
        <v>55</v>
      </c>
      <c r="F62" s="19" t="str">
        <f t="shared" si="0"/>
        <v>EC1R 1XX</v>
      </c>
      <c r="G62" s="19">
        <f t="shared" si="1"/>
        <v>51.530245000000001</v>
      </c>
      <c r="H62" s="19">
        <f t="shared" si="2"/>
        <v>-0.10960161</v>
      </c>
      <c r="J62" s="19">
        <v>0</v>
      </c>
      <c r="N62" s="19" t="s">
        <v>683</v>
      </c>
      <c r="O62" s="19" t="s">
        <v>560</v>
      </c>
      <c r="P62" s="26" t="s">
        <v>684</v>
      </c>
      <c r="R62" s="19">
        <v>6856</v>
      </c>
      <c r="S62" s="19" t="s">
        <v>54</v>
      </c>
      <c r="U62" s="26" t="s">
        <v>1031</v>
      </c>
      <c r="V62" t="s">
        <v>77</v>
      </c>
      <c r="W62" s="26" t="s">
        <v>122</v>
      </c>
      <c r="X62" s="25">
        <v>0</v>
      </c>
      <c r="Y62" s="26" t="s">
        <v>170</v>
      </c>
      <c r="AB62" s="19" t="s">
        <v>238</v>
      </c>
      <c r="AF62">
        <v>51.530245000000001</v>
      </c>
      <c r="AG62">
        <v>-0.10960161</v>
      </c>
    </row>
    <row r="63" spans="1:36" x14ac:dyDescent="0.25">
      <c r="A63" s="19" t="s">
        <v>768</v>
      </c>
      <c r="B63" s="26" t="s">
        <v>425</v>
      </c>
      <c r="C63" s="19" t="s">
        <v>50</v>
      </c>
      <c r="D63" s="19" t="s">
        <v>426</v>
      </c>
      <c r="F63" s="19" t="str">
        <f t="shared" si="0"/>
        <v>E3 3PN</v>
      </c>
      <c r="G63" s="19">
        <f t="shared" si="1"/>
        <v>51.520814000000001</v>
      </c>
      <c r="H63" s="19">
        <f t="shared" si="2"/>
        <v>-2.0428000000000002E-2</v>
      </c>
      <c r="J63" s="19">
        <v>161</v>
      </c>
      <c r="N63" s="19" t="s">
        <v>772</v>
      </c>
      <c r="O63" s="19" t="s">
        <v>470</v>
      </c>
      <c r="P63" s="26" t="s">
        <v>773</v>
      </c>
      <c r="R63" s="19">
        <v>6196</v>
      </c>
      <c r="S63" s="19" t="s">
        <v>37</v>
      </c>
      <c r="U63" s="26" t="s">
        <v>1033</v>
      </c>
      <c r="V63" t="s">
        <v>77</v>
      </c>
      <c r="W63" s="26" t="s">
        <v>136</v>
      </c>
      <c r="X63" s="26" t="s">
        <v>100</v>
      </c>
      <c r="Y63" s="26" t="s">
        <v>191</v>
      </c>
      <c r="AA63" s="19" t="s">
        <v>1032</v>
      </c>
      <c r="AB63" s="19" t="s">
        <v>255</v>
      </c>
      <c r="AD63" s="19">
        <v>51.520814000000001</v>
      </c>
      <c r="AE63" s="19">
        <v>-2.0428000000000002E-2</v>
      </c>
      <c r="AF63">
        <v>51.520327000000002</v>
      </c>
      <c r="AG63">
        <v>-2.022498E-2</v>
      </c>
      <c r="AI63" s="19" t="s">
        <v>1034</v>
      </c>
      <c r="AJ63" s="19" t="s">
        <v>1035</v>
      </c>
    </row>
    <row r="64" spans="1:36" x14ac:dyDescent="0.25">
      <c r="A64" s="19" t="s">
        <v>756</v>
      </c>
      <c r="B64" s="26" t="s">
        <v>417</v>
      </c>
      <c r="C64" s="19" t="s">
        <v>50</v>
      </c>
      <c r="D64" s="19" t="s">
        <v>755</v>
      </c>
      <c r="F64" s="19" t="str">
        <f t="shared" si="0"/>
        <v>E14 0EY</v>
      </c>
      <c r="G64" s="19">
        <f t="shared" si="1"/>
        <v>51.510539000000001</v>
      </c>
      <c r="H64" s="19">
        <f t="shared" si="2"/>
        <v>-1.1906E-2</v>
      </c>
      <c r="J64" s="19">
        <v>344</v>
      </c>
      <c r="N64" s="19" t="s">
        <v>758</v>
      </c>
      <c r="O64" s="19" t="s">
        <v>546</v>
      </c>
      <c r="P64" s="26" t="s">
        <v>759</v>
      </c>
      <c r="R64" s="19" t="s">
        <v>77</v>
      </c>
      <c r="S64" s="19" t="s">
        <v>77</v>
      </c>
      <c r="U64" s="26" t="s">
        <v>1036</v>
      </c>
      <c r="V64" t="s">
        <v>77</v>
      </c>
      <c r="W64" t="s">
        <v>77</v>
      </c>
      <c r="X64" s="25" t="s">
        <v>77</v>
      </c>
      <c r="Y64" s="25" t="s">
        <v>77</v>
      </c>
      <c r="AA64" s="19" t="s">
        <v>262</v>
      </c>
      <c r="AB64" s="19" t="s">
        <v>77</v>
      </c>
      <c r="AD64" s="19">
        <v>51.510539000000001</v>
      </c>
      <c r="AE64" s="19">
        <v>-1.1906E-2</v>
      </c>
      <c r="AF64">
        <v>51.510477000000002</v>
      </c>
      <c r="AG64">
        <v>-1.2624882E-2</v>
      </c>
      <c r="AI64" s="19" t="s">
        <v>1037</v>
      </c>
      <c r="AJ64" s="19" t="s">
        <v>1038</v>
      </c>
    </row>
    <row r="65" spans="1:36" x14ac:dyDescent="0.25">
      <c r="A65" s="19" t="s">
        <v>760</v>
      </c>
      <c r="B65" s="26" t="s">
        <v>419</v>
      </c>
      <c r="C65" s="19" t="s">
        <v>50</v>
      </c>
      <c r="D65" s="19" t="s">
        <v>420</v>
      </c>
      <c r="F65" s="19" t="str">
        <f t="shared" si="0"/>
        <v>E14 8LH</v>
      </c>
      <c r="G65" s="19">
        <f t="shared" si="1"/>
        <v>51.489075</v>
      </c>
      <c r="H65" s="19">
        <f t="shared" si="2"/>
        <v>-6.3109999999999998E-3</v>
      </c>
      <c r="J65" s="19">
        <v>151</v>
      </c>
      <c r="N65" s="19" t="s">
        <v>765</v>
      </c>
      <c r="O65" s="19" t="s">
        <v>470</v>
      </c>
      <c r="P65" s="26" t="s">
        <v>766</v>
      </c>
      <c r="R65" s="19" t="s">
        <v>77</v>
      </c>
      <c r="S65" s="19" t="s">
        <v>77</v>
      </c>
      <c r="U65" s="26" t="s">
        <v>1040</v>
      </c>
      <c r="V65" t="s">
        <v>77</v>
      </c>
      <c r="W65" t="s">
        <v>77</v>
      </c>
      <c r="X65" s="25" t="s">
        <v>77</v>
      </c>
      <c r="Y65" s="25" t="s">
        <v>77</v>
      </c>
      <c r="AA65" s="19" t="s">
        <v>257</v>
      </c>
      <c r="AB65" s="19" t="s">
        <v>77</v>
      </c>
      <c r="AD65" s="19">
        <v>51.489075</v>
      </c>
      <c r="AE65" s="19">
        <v>-6.3109999999999998E-3</v>
      </c>
      <c r="AF65">
        <v>51.499136</v>
      </c>
      <c r="AG65">
        <v>-2.3736838999999999E-2</v>
      </c>
      <c r="AI65" s="19" t="s">
        <v>1041</v>
      </c>
      <c r="AJ65" s="19" t="s">
        <v>1042</v>
      </c>
    </row>
    <row r="66" spans="1:36" x14ac:dyDescent="0.25">
      <c r="A66" s="19" t="s">
        <v>764</v>
      </c>
      <c r="B66" s="26" t="s">
        <v>421</v>
      </c>
      <c r="C66" s="19" t="s">
        <v>50</v>
      </c>
      <c r="D66" s="19" t="s">
        <v>422</v>
      </c>
      <c r="F66" s="19" t="str">
        <f t="shared" si="0"/>
        <v>E14 3BN</v>
      </c>
      <c r="G66" s="19">
        <f t="shared" si="1"/>
        <v>51.489075</v>
      </c>
      <c r="H66" s="19">
        <f t="shared" si="2"/>
        <v>-6.3109999999999998E-3</v>
      </c>
      <c r="J66" s="19">
        <v>99</v>
      </c>
      <c r="N66" s="19" t="s">
        <v>765</v>
      </c>
      <c r="O66" s="19" t="s">
        <v>470</v>
      </c>
      <c r="P66" s="26" t="s">
        <v>766</v>
      </c>
      <c r="R66" s="19">
        <v>32052</v>
      </c>
      <c r="S66" s="19" t="s">
        <v>38</v>
      </c>
      <c r="U66" s="26" t="s">
        <v>1044</v>
      </c>
      <c r="V66" t="s">
        <v>77</v>
      </c>
      <c r="W66" s="26" t="s">
        <v>137</v>
      </c>
      <c r="X66" s="25">
        <v>0</v>
      </c>
      <c r="Y66" s="26" t="s">
        <v>192</v>
      </c>
      <c r="AA66" s="19" t="s">
        <v>256</v>
      </c>
      <c r="AB66" s="19" t="s">
        <v>256</v>
      </c>
      <c r="AD66" s="19">
        <v>51.489075</v>
      </c>
      <c r="AE66" s="19">
        <v>-6.3109999999999998E-3</v>
      </c>
      <c r="AF66">
        <v>51.489291000000001</v>
      </c>
      <c r="AG66">
        <v>-6.3439621000000003E-3</v>
      </c>
      <c r="AI66" s="19" t="s">
        <v>1041</v>
      </c>
      <c r="AJ66" s="19" t="s">
        <v>1042</v>
      </c>
    </row>
    <row r="67" spans="1:36" x14ac:dyDescent="0.25">
      <c r="A67" s="19" t="s">
        <v>799</v>
      </c>
      <c r="B67" s="26" t="s">
        <v>444</v>
      </c>
      <c r="C67" s="19" t="s">
        <v>50</v>
      </c>
      <c r="D67" s="19" t="s">
        <v>445</v>
      </c>
      <c r="F67" s="19" t="str">
        <f t="shared" ref="F67:F89" si="3">SUBSTITUTE(IF("" &lt;&gt; AA67, AA67, AB67), ")", "")</f>
        <v>E1 6LY</v>
      </c>
      <c r="G67" s="19">
        <f t="shared" ref="G67:G89" si="4">IF(0 = IF("" = AD67, AF67, AD67), "", IF("" = AD67, AF67, AD67))</f>
        <v>51.519103999999999</v>
      </c>
      <c r="H67" s="19">
        <f t="shared" ref="H67:H89" si="5">IF(0 = IF("" = AE67, AG67, AE67), "", IF("" = AE67, AG67, AE67))</f>
        <v>-7.4070999999999998E-2</v>
      </c>
      <c r="J67" s="19">
        <v>207</v>
      </c>
      <c r="N67" s="19" t="s">
        <v>803</v>
      </c>
      <c r="O67" s="19" t="s">
        <v>470</v>
      </c>
      <c r="P67" s="26" t="s">
        <v>804</v>
      </c>
      <c r="R67" s="19">
        <v>12526</v>
      </c>
      <c r="S67" s="19" t="s">
        <v>44</v>
      </c>
      <c r="U67" s="26" t="s">
        <v>1045</v>
      </c>
      <c r="V67" t="s">
        <v>77</v>
      </c>
      <c r="W67" s="26" t="s">
        <v>142</v>
      </c>
      <c r="X67" s="26" t="s">
        <v>105</v>
      </c>
      <c r="Y67" s="26" t="s">
        <v>197</v>
      </c>
      <c r="AA67" s="19" t="s">
        <v>265</v>
      </c>
      <c r="AB67" s="19" t="s">
        <v>265</v>
      </c>
      <c r="AD67" s="19">
        <v>51.519103999999999</v>
      </c>
      <c r="AE67" s="19">
        <v>-7.4070999999999998E-2</v>
      </c>
      <c r="AF67">
        <v>51.519075999999998</v>
      </c>
      <c r="AG67">
        <v>-7.3683262999999999E-2</v>
      </c>
      <c r="AI67" s="19" t="s">
        <v>1046</v>
      </c>
      <c r="AJ67" s="19" t="s">
        <v>1047</v>
      </c>
    </row>
    <row r="68" spans="1:36" x14ac:dyDescent="0.25">
      <c r="A68" s="19" t="s">
        <v>809</v>
      </c>
      <c r="B68" s="26" t="s">
        <v>448</v>
      </c>
      <c r="C68" s="19" t="s">
        <v>50</v>
      </c>
      <c r="D68" s="19" t="s">
        <v>449</v>
      </c>
      <c r="F68" s="19" t="str">
        <f t="shared" si="3"/>
        <v/>
      </c>
      <c r="G68" s="19" t="str">
        <f t="shared" si="4"/>
        <v/>
      </c>
      <c r="H68" s="19" t="str">
        <f t="shared" si="5"/>
        <v/>
      </c>
      <c r="J68" s="19">
        <v>0</v>
      </c>
      <c r="N68" s="19" t="s">
        <v>765</v>
      </c>
      <c r="O68" s="19" t="s">
        <v>693</v>
      </c>
      <c r="P68" s="26" t="s">
        <v>766</v>
      </c>
      <c r="R68" s="19" t="s">
        <v>77</v>
      </c>
      <c r="S68" s="19" t="s">
        <v>77</v>
      </c>
      <c r="U68"/>
      <c r="V68" t="s">
        <v>77</v>
      </c>
      <c r="W68" t="s">
        <v>77</v>
      </c>
      <c r="X68" s="25" t="s">
        <v>77</v>
      </c>
      <c r="Y68" s="25" t="s">
        <v>77</v>
      </c>
      <c r="AB68" s="19" t="s">
        <v>77</v>
      </c>
      <c r="AF68"/>
      <c r="AG68"/>
    </row>
    <row r="69" spans="1:36" x14ac:dyDescent="0.25">
      <c r="A69" s="19" t="s">
        <v>856</v>
      </c>
      <c r="B69" s="26" t="s">
        <v>452</v>
      </c>
      <c r="C69" s="19" t="s">
        <v>50</v>
      </c>
      <c r="D69" s="19" t="s">
        <v>855</v>
      </c>
      <c r="F69" s="19" t="str">
        <f t="shared" si="3"/>
        <v/>
      </c>
      <c r="G69" s="19" t="str">
        <f t="shared" si="4"/>
        <v/>
      </c>
      <c r="H69" s="19" t="str">
        <f t="shared" si="5"/>
        <v/>
      </c>
      <c r="J69" s="19">
        <v>0</v>
      </c>
      <c r="N69" s="19" t="s">
        <v>860</v>
      </c>
      <c r="O69" s="19" t="s">
        <v>861</v>
      </c>
      <c r="P69" s="26" t="s">
        <v>862</v>
      </c>
      <c r="R69" s="19" t="s">
        <v>77</v>
      </c>
      <c r="S69" s="19" t="s">
        <v>77</v>
      </c>
      <c r="U69"/>
      <c r="V69" t="s">
        <v>77</v>
      </c>
      <c r="W69" t="s">
        <v>77</v>
      </c>
      <c r="X69" s="25" t="s">
        <v>77</v>
      </c>
      <c r="Y69" s="25" t="s">
        <v>77</v>
      </c>
      <c r="AB69" s="19" t="s">
        <v>77</v>
      </c>
      <c r="AF69"/>
      <c r="AG69"/>
    </row>
    <row r="70" spans="1:36" x14ac:dyDescent="0.25">
      <c r="A70" s="19" t="s">
        <v>752</v>
      </c>
      <c r="B70" s="26" t="s">
        <v>415</v>
      </c>
      <c r="C70" s="19" t="s">
        <v>50</v>
      </c>
      <c r="D70" s="19" t="s">
        <v>416</v>
      </c>
      <c r="F70" s="19" t="str">
        <f t="shared" si="3"/>
        <v/>
      </c>
      <c r="G70" s="19" t="str">
        <f t="shared" si="4"/>
        <v/>
      </c>
      <c r="H70" s="19" t="str">
        <f t="shared" si="5"/>
        <v/>
      </c>
      <c r="J70" s="19">
        <v>0</v>
      </c>
      <c r="R70" s="19" t="s">
        <v>77</v>
      </c>
      <c r="S70" s="19" t="s">
        <v>77</v>
      </c>
      <c r="U70"/>
      <c r="V70" t="s">
        <v>77</v>
      </c>
      <c r="W70" t="s">
        <v>77</v>
      </c>
      <c r="X70" s="25" t="s">
        <v>77</v>
      </c>
      <c r="Y70" s="25" t="s">
        <v>77</v>
      </c>
      <c r="AB70" s="19" t="s">
        <v>77</v>
      </c>
      <c r="AF70"/>
      <c r="AG70"/>
    </row>
    <row r="71" spans="1:36" x14ac:dyDescent="0.25">
      <c r="A71" s="19" t="s">
        <v>777</v>
      </c>
      <c r="B71" s="26" t="s">
        <v>430</v>
      </c>
      <c r="C71" s="19" t="s">
        <v>50</v>
      </c>
      <c r="D71" s="19" t="s">
        <v>431</v>
      </c>
      <c r="F71" s="19" t="str">
        <f t="shared" si="3"/>
        <v>E14 7HA</v>
      </c>
      <c r="G71" s="19">
        <f t="shared" si="4"/>
        <v>51.512027000000003</v>
      </c>
      <c r="H71" s="19">
        <f t="shared" si="5"/>
        <v>-3.1134999999999999E-2</v>
      </c>
      <c r="J71" s="19">
        <v>109</v>
      </c>
      <c r="N71" s="19" t="s">
        <v>781</v>
      </c>
      <c r="O71" s="19" t="s">
        <v>470</v>
      </c>
      <c r="P71" s="26" t="s">
        <v>782</v>
      </c>
      <c r="R71" s="19" t="s">
        <v>77</v>
      </c>
      <c r="S71" s="19" t="s">
        <v>77</v>
      </c>
      <c r="U71" s="26" t="s">
        <v>1051</v>
      </c>
      <c r="V71" t="s">
        <v>77</v>
      </c>
      <c r="W71" t="s">
        <v>77</v>
      </c>
      <c r="X71" s="25" t="s">
        <v>77</v>
      </c>
      <c r="Y71" s="25" t="s">
        <v>77</v>
      </c>
      <c r="AA71" s="19" t="s">
        <v>258</v>
      </c>
      <c r="AB71" s="19" t="s">
        <v>77</v>
      </c>
      <c r="AD71" s="19">
        <v>51.512027000000003</v>
      </c>
      <c r="AE71" s="19">
        <v>-3.1134999999999999E-2</v>
      </c>
      <c r="AF71">
        <v>51.51144</v>
      </c>
      <c r="AG71">
        <v>-2.8652011000000002E-2</v>
      </c>
      <c r="AI71" s="19" t="s">
        <v>1052</v>
      </c>
      <c r="AJ71" s="19" t="s">
        <v>1053</v>
      </c>
    </row>
    <row r="72" spans="1:36" x14ac:dyDescent="0.25">
      <c r="A72" s="19" t="s">
        <v>780</v>
      </c>
      <c r="B72" s="26" t="s">
        <v>432</v>
      </c>
      <c r="C72" s="19" t="s">
        <v>50</v>
      </c>
      <c r="D72" s="19" t="s">
        <v>40</v>
      </c>
      <c r="F72" s="19" t="str">
        <f t="shared" si="3"/>
        <v>E14 7HP</v>
      </c>
      <c r="G72" s="19" t="str">
        <f t="shared" si="4"/>
        <v/>
      </c>
      <c r="H72" s="19" t="str">
        <f t="shared" si="5"/>
        <v/>
      </c>
      <c r="J72" s="19">
        <v>0</v>
      </c>
      <c r="R72" s="19">
        <v>13115</v>
      </c>
      <c r="S72" s="19" t="s">
        <v>39</v>
      </c>
      <c r="U72"/>
      <c r="V72" t="s">
        <v>77</v>
      </c>
      <c r="W72" s="26" t="s">
        <v>138</v>
      </c>
      <c r="X72" s="26" t="s">
        <v>101</v>
      </c>
      <c r="Y72" s="26" t="s">
        <v>193</v>
      </c>
      <c r="AA72" s="19" t="s">
        <v>1054</v>
      </c>
      <c r="AB72" s="19" t="s">
        <v>258</v>
      </c>
      <c r="AD72" s="19">
        <v>0</v>
      </c>
      <c r="AE72" s="19">
        <v>0</v>
      </c>
      <c r="AF72">
        <v>51.511521000000002</v>
      </c>
      <c r="AG72">
        <v>-3.1357896000000003E-2</v>
      </c>
    </row>
    <row r="73" spans="1:36" x14ac:dyDescent="0.25">
      <c r="A73" s="19" t="s">
        <v>740</v>
      </c>
      <c r="B73" s="26" t="s">
        <v>408</v>
      </c>
      <c r="C73" s="19" t="s">
        <v>50</v>
      </c>
      <c r="D73" s="19" t="s">
        <v>409</v>
      </c>
      <c r="F73" s="19" t="str">
        <f t="shared" si="3"/>
        <v>E3 5TG</v>
      </c>
      <c r="G73" s="19">
        <f t="shared" si="4"/>
        <v>51.531134000000002</v>
      </c>
      <c r="H73" s="19">
        <f t="shared" si="5"/>
        <v>-3.9996999999999998E-2</v>
      </c>
      <c r="J73" s="19">
        <v>104</v>
      </c>
      <c r="N73" s="19" t="s">
        <v>744</v>
      </c>
      <c r="O73" s="19" t="s">
        <v>470</v>
      </c>
      <c r="P73" s="26" t="s">
        <v>745</v>
      </c>
      <c r="R73" s="19">
        <v>3649</v>
      </c>
      <c r="S73" s="19" t="s">
        <v>30</v>
      </c>
      <c r="U73" s="26" t="s">
        <v>1055</v>
      </c>
      <c r="V73" t="s">
        <v>77</v>
      </c>
      <c r="W73" s="26" t="s">
        <v>133</v>
      </c>
      <c r="X73" s="26" t="s">
        <v>94</v>
      </c>
      <c r="Y73" s="26" t="s">
        <v>185</v>
      </c>
      <c r="AA73" s="19" t="s">
        <v>270</v>
      </c>
      <c r="AB73" s="19" t="s">
        <v>270</v>
      </c>
      <c r="AD73" s="19">
        <v>51.531134000000002</v>
      </c>
      <c r="AE73" s="19">
        <v>-3.9996999999999998E-2</v>
      </c>
      <c r="AF73">
        <v>51.531364000000004</v>
      </c>
      <c r="AG73">
        <v>-4.0248490999999997E-2</v>
      </c>
      <c r="AI73" s="19" t="s">
        <v>1056</v>
      </c>
      <c r="AJ73" s="19" t="s">
        <v>1057</v>
      </c>
    </row>
    <row r="74" spans="1:36" x14ac:dyDescent="0.25">
      <c r="A74" s="19" t="s">
        <v>793</v>
      </c>
      <c r="B74" s="26" t="s">
        <v>441</v>
      </c>
      <c r="C74" s="19" t="s">
        <v>50</v>
      </c>
      <c r="D74" s="19" t="s">
        <v>466</v>
      </c>
      <c r="F74" s="19" t="str">
        <f t="shared" si="3"/>
        <v>E1 0NR</v>
      </c>
      <c r="G74" s="19">
        <f t="shared" si="4"/>
        <v>51.516798000000001</v>
      </c>
      <c r="H74" s="19">
        <f t="shared" si="5"/>
        <v>-4.1729000000000002E-2</v>
      </c>
      <c r="J74" s="19">
        <v>107</v>
      </c>
      <c r="N74" s="19" t="s">
        <v>797</v>
      </c>
      <c r="O74" s="19" t="s">
        <v>470</v>
      </c>
      <c r="P74" s="26" t="s">
        <v>798</v>
      </c>
      <c r="R74" s="19">
        <v>28415</v>
      </c>
      <c r="S74" s="19" t="s">
        <v>49</v>
      </c>
      <c r="U74" s="26" t="s">
        <v>1058</v>
      </c>
      <c r="V74" t="s">
        <v>77</v>
      </c>
      <c r="W74" s="26" t="s">
        <v>144</v>
      </c>
      <c r="X74" s="25">
        <v>0</v>
      </c>
      <c r="Y74" s="26" t="s">
        <v>201</v>
      </c>
      <c r="AA74" s="19" t="s">
        <v>268</v>
      </c>
      <c r="AB74" s="19" t="s">
        <v>268</v>
      </c>
      <c r="AD74" s="19">
        <v>51.516798000000001</v>
      </c>
      <c r="AE74" s="19">
        <v>-4.1729000000000002E-2</v>
      </c>
      <c r="AF74">
        <v>51.516883</v>
      </c>
      <c r="AG74">
        <v>-4.1691713999999998E-2</v>
      </c>
      <c r="AI74" s="19" t="s">
        <v>1059</v>
      </c>
      <c r="AJ74" s="19" t="s">
        <v>1060</v>
      </c>
    </row>
    <row r="75" spans="1:36" x14ac:dyDescent="0.25">
      <c r="A75" s="19" t="s">
        <v>783</v>
      </c>
      <c r="B75" s="26" t="s">
        <v>433</v>
      </c>
      <c r="C75" s="19" t="s">
        <v>50</v>
      </c>
      <c r="D75" s="19" t="s">
        <v>434</v>
      </c>
      <c r="F75" s="19" t="str">
        <f t="shared" si="3"/>
        <v>E1 0BH</v>
      </c>
      <c r="G75" s="19">
        <f t="shared" si="4"/>
        <v>51.509993999999999</v>
      </c>
      <c r="H75" s="19">
        <f t="shared" si="5"/>
        <v>-5.9872000000000002E-2</v>
      </c>
      <c r="J75" s="19">
        <v>51</v>
      </c>
      <c r="N75" s="19" t="s">
        <v>785</v>
      </c>
      <c r="O75" s="19" t="s">
        <v>470</v>
      </c>
      <c r="P75" s="26" t="s">
        <v>786</v>
      </c>
      <c r="R75" s="19">
        <v>12241</v>
      </c>
      <c r="S75" s="19" t="s">
        <v>46</v>
      </c>
      <c r="U75" s="26" t="s">
        <v>1062</v>
      </c>
      <c r="V75" t="s">
        <v>77</v>
      </c>
      <c r="W75"/>
      <c r="X75" s="26" t="s">
        <v>106</v>
      </c>
      <c r="Y75" s="26" t="s">
        <v>199</v>
      </c>
      <c r="AA75" s="19" t="s">
        <v>1061</v>
      </c>
      <c r="AB75" s="19" t="s">
        <v>267</v>
      </c>
      <c r="AD75" s="19">
        <v>51.509993999999999</v>
      </c>
      <c r="AE75" s="19">
        <v>-5.9872000000000002E-2</v>
      </c>
      <c r="AF75">
        <v>51.510415999999999</v>
      </c>
      <c r="AG75">
        <v>-6.0559639999999998E-2</v>
      </c>
      <c r="AI75" s="19" t="s">
        <v>1063</v>
      </c>
      <c r="AJ75" s="19" t="s">
        <v>1064</v>
      </c>
    </row>
    <row r="76" spans="1:36" x14ac:dyDescent="0.25">
      <c r="A76" s="19" t="s">
        <v>743</v>
      </c>
      <c r="B76" s="26" t="s">
        <v>410</v>
      </c>
      <c r="C76" s="19" t="s">
        <v>50</v>
      </c>
      <c r="D76" s="19" t="s">
        <v>411</v>
      </c>
      <c r="F76" s="19" t="str">
        <f t="shared" si="3"/>
        <v>E2 9JD</v>
      </c>
      <c r="G76" s="19">
        <f t="shared" si="4"/>
        <v>51.531753999999999</v>
      </c>
      <c r="H76" s="19">
        <f t="shared" si="5"/>
        <v>-4.8053999999999999E-2</v>
      </c>
      <c r="J76" s="19">
        <v>42</v>
      </c>
      <c r="N76" s="19" t="s">
        <v>747</v>
      </c>
      <c r="O76" s="19" t="s">
        <v>470</v>
      </c>
      <c r="P76" s="26" t="s">
        <v>748</v>
      </c>
      <c r="R76" s="19">
        <v>5641</v>
      </c>
      <c r="S76" s="19" t="s">
        <v>31</v>
      </c>
      <c r="U76" s="26" t="s">
        <v>1065</v>
      </c>
      <c r="V76" t="s">
        <v>77</v>
      </c>
      <c r="W76" s="26" t="s">
        <v>133</v>
      </c>
      <c r="X76" s="26" t="s">
        <v>95</v>
      </c>
      <c r="Y76" s="26" t="s">
        <v>186</v>
      </c>
      <c r="AA76" s="19" t="s">
        <v>252</v>
      </c>
      <c r="AB76" s="19" t="s">
        <v>252</v>
      </c>
      <c r="AD76" s="19">
        <v>51.531753999999999</v>
      </c>
      <c r="AE76" s="19">
        <v>-4.8053999999999999E-2</v>
      </c>
      <c r="AF76">
        <v>51.531272000000001</v>
      </c>
      <c r="AG76">
        <v>-4.7663258E-2</v>
      </c>
      <c r="AI76" s="19" t="s">
        <v>1066</v>
      </c>
      <c r="AJ76" s="19" t="s">
        <v>1067</v>
      </c>
    </row>
    <row r="77" spans="1:36" x14ac:dyDescent="0.25">
      <c r="A77" s="19" t="s">
        <v>746</v>
      </c>
      <c r="B77" s="26" t="s">
        <v>412</v>
      </c>
      <c r="C77" s="19" t="s">
        <v>50</v>
      </c>
      <c r="D77" s="19" t="s">
        <v>48</v>
      </c>
      <c r="F77" s="19" t="str">
        <f t="shared" si="3"/>
        <v>E2 9PA</v>
      </c>
      <c r="G77" s="19">
        <f t="shared" si="4"/>
        <v>51.527596000000003</v>
      </c>
      <c r="H77" s="19">
        <f t="shared" si="5"/>
        <v>-5.5146000000000001E-2</v>
      </c>
      <c r="J77" s="19">
        <v>92</v>
      </c>
      <c r="N77" s="19" t="s">
        <v>750</v>
      </c>
      <c r="O77" s="19" t="s">
        <v>495</v>
      </c>
      <c r="P77" s="26" t="s">
        <v>751</v>
      </c>
      <c r="R77" s="19">
        <v>21869</v>
      </c>
      <c r="S77" s="19" t="s">
        <v>47</v>
      </c>
      <c r="U77" s="26" t="s">
        <v>1068</v>
      </c>
      <c r="V77" t="s">
        <v>77</v>
      </c>
      <c r="W77" s="26" t="s">
        <v>107</v>
      </c>
      <c r="X77" s="26" t="s">
        <v>107</v>
      </c>
      <c r="Y77" s="26" t="s">
        <v>200</v>
      </c>
      <c r="AA77" s="19" t="s">
        <v>281</v>
      </c>
      <c r="AB77" s="19" t="s">
        <v>281</v>
      </c>
      <c r="AD77" s="19">
        <v>51.527596000000003</v>
      </c>
      <c r="AE77" s="19">
        <v>-5.5146000000000001E-2</v>
      </c>
      <c r="AF77">
        <v>51.527659</v>
      </c>
      <c r="AG77">
        <v>-5.4838771000000001E-2</v>
      </c>
      <c r="AI77" s="19" t="s">
        <v>1069</v>
      </c>
      <c r="AJ77" s="19" t="s">
        <v>1070</v>
      </c>
    </row>
    <row r="78" spans="1:36" x14ac:dyDescent="0.25">
      <c r="A78" s="19" t="s">
        <v>767</v>
      </c>
      <c r="B78" s="26" t="s">
        <v>423</v>
      </c>
      <c r="C78" s="19" t="s">
        <v>50</v>
      </c>
      <c r="D78" s="19" t="s">
        <v>424</v>
      </c>
      <c r="F78" s="19" t="str">
        <f t="shared" si="3"/>
        <v>E14 8LH</v>
      </c>
      <c r="G78" s="19">
        <f t="shared" si="4"/>
        <v>51.499704000000001</v>
      </c>
      <c r="H78" s="19">
        <f t="shared" si="5"/>
        <v>-2.3281E-2</v>
      </c>
      <c r="J78" s="19">
        <v>40</v>
      </c>
      <c r="N78" s="19" t="s">
        <v>769</v>
      </c>
      <c r="O78" s="19" t="s">
        <v>560</v>
      </c>
      <c r="P78" s="26" t="s">
        <v>770</v>
      </c>
      <c r="R78" s="19">
        <v>32052</v>
      </c>
      <c r="S78" s="19" t="s">
        <v>38</v>
      </c>
      <c r="U78" s="26" t="s">
        <v>81</v>
      </c>
      <c r="V78" t="s">
        <v>77</v>
      </c>
      <c r="W78" s="26" t="s">
        <v>137</v>
      </c>
      <c r="X78" s="25">
        <v>0</v>
      </c>
      <c r="Y78" s="26" t="s">
        <v>192</v>
      </c>
      <c r="AA78" s="19" t="s">
        <v>257</v>
      </c>
      <c r="AB78" s="19" t="s">
        <v>257</v>
      </c>
      <c r="AD78" s="19">
        <v>51.499704000000001</v>
      </c>
      <c r="AE78" s="19">
        <v>-2.3281E-2</v>
      </c>
      <c r="AF78">
        <v>51.499136</v>
      </c>
      <c r="AG78">
        <v>-2.3736838999999999E-2</v>
      </c>
      <c r="AI78" s="19" t="s">
        <v>1041</v>
      </c>
      <c r="AJ78" s="19" t="s">
        <v>1042</v>
      </c>
    </row>
    <row r="79" spans="1:36" x14ac:dyDescent="0.25">
      <c r="A79" s="19" t="s">
        <v>864</v>
      </c>
      <c r="B79" s="26" t="s">
        <v>454</v>
      </c>
      <c r="C79" s="19" t="s">
        <v>50</v>
      </c>
      <c r="D79" s="19" t="s">
        <v>863</v>
      </c>
      <c r="F79" s="19" t="str">
        <f t="shared" si="3"/>
        <v/>
      </c>
      <c r="G79" s="19" t="str">
        <f t="shared" si="4"/>
        <v/>
      </c>
      <c r="H79" s="19" t="str">
        <f t="shared" si="5"/>
        <v/>
      </c>
      <c r="J79" s="19">
        <v>0</v>
      </c>
      <c r="N79" s="19" t="s">
        <v>744</v>
      </c>
      <c r="O79" s="19" t="s">
        <v>693</v>
      </c>
      <c r="P79" s="26" t="s">
        <v>745</v>
      </c>
      <c r="R79" s="19" t="s">
        <v>77</v>
      </c>
      <c r="S79" s="19" t="s">
        <v>77</v>
      </c>
      <c r="U79"/>
      <c r="V79" t="s">
        <v>77</v>
      </c>
      <c r="W79" t="s">
        <v>77</v>
      </c>
      <c r="X79" s="25" t="s">
        <v>77</v>
      </c>
      <c r="Y79" s="25" t="s">
        <v>77</v>
      </c>
      <c r="AB79" s="19" t="s">
        <v>77</v>
      </c>
      <c r="AF79"/>
      <c r="AG79"/>
    </row>
    <row r="80" spans="1:36" x14ac:dyDescent="0.25">
      <c r="A80" s="19" t="s">
        <v>771</v>
      </c>
      <c r="B80" s="26" t="s">
        <v>427</v>
      </c>
      <c r="C80" s="19" t="s">
        <v>50</v>
      </c>
      <c r="D80" s="19" t="s">
        <v>35</v>
      </c>
      <c r="F80" s="19" t="str">
        <f t="shared" si="3"/>
        <v>E3 3AH</v>
      </c>
      <c r="G80" s="19">
        <f t="shared" si="4"/>
        <v>51.52861</v>
      </c>
      <c r="H80" s="19">
        <f t="shared" si="5"/>
        <v>-1.7305999999999998E-2</v>
      </c>
      <c r="J80" s="19">
        <v>90</v>
      </c>
      <c r="N80" s="19" t="s">
        <v>775</v>
      </c>
      <c r="O80" s="19" t="s">
        <v>470</v>
      </c>
      <c r="P80" s="26" t="s">
        <v>776</v>
      </c>
      <c r="R80" s="19">
        <v>23145</v>
      </c>
      <c r="S80" s="19" t="s">
        <v>34</v>
      </c>
      <c r="U80" s="26" t="s">
        <v>1071</v>
      </c>
      <c r="V80" t="s">
        <v>77</v>
      </c>
      <c r="W80" s="26" t="s">
        <v>134</v>
      </c>
      <c r="X80" s="26" t="s">
        <v>98</v>
      </c>
      <c r="Y80" s="26" t="s">
        <v>189</v>
      </c>
      <c r="AA80" s="19" t="s">
        <v>280</v>
      </c>
      <c r="AB80" s="19" t="s">
        <v>280</v>
      </c>
      <c r="AD80" s="19">
        <v>51.52861</v>
      </c>
      <c r="AE80" s="19">
        <v>-1.7305999999999998E-2</v>
      </c>
      <c r="AF80">
        <v>51.528162999999999</v>
      </c>
      <c r="AG80">
        <v>-1.8342409E-2</v>
      </c>
      <c r="AI80" s="19" t="s">
        <v>1072</v>
      </c>
      <c r="AJ80" s="19" t="s">
        <v>1073</v>
      </c>
    </row>
    <row r="81" spans="1:36" x14ac:dyDescent="0.25">
      <c r="A81" s="19" t="s">
        <v>784</v>
      </c>
      <c r="B81" s="26" t="s">
        <v>435</v>
      </c>
      <c r="C81" s="19" t="s">
        <v>50</v>
      </c>
      <c r="D81" s="19" t="s">
        <v>436</v>
      </c>
      <c r="F81" s="19" t="str">
        <f t="shared" si="3"/>
        <v>E1 0BQ</v>
      </c>
      <c r="G81" s="19">
        <f t="shared" si="4"/>
        <v>51.511172999999999</v>
      </c>
      <c r="H81" s="19">
        <f t="shared" si="5"/>
        <v>-5.0639999999999998E-2</v>
      </c>
      <c r="J81" s="19">
        <v>60</v>
      </c>
      <c r="N81" s="19" t="s">
        <v>788</v>
      </c>
      <c r="O81" s="19" t="s">
        <v>470</v>
      </c>
      <c r="P81" s="26" t="s">
        <v>789</v>
      </c>
      <c r="R81" s="19">
        <v>5686</v>
      </c>
      <c r="S81" s="19" t="s">
        <v>45</v>
      </c>
      <c r="U81" s="26" t="s">
        <v>1074</v>
      </c>
      <c r="V81" t="s">
        <v>77</v>
      </c>
      <c r="W81" s="26" t="s">
        <v>143</v>
      </c>
      <c r="X81" s="25">
        <v>0</v>
      </c>
      <c r="Y81" s="26" t="s">
        <v>198</v>
      </c>
      <c r="AA81" s="19" t="s">
        <v>266</v>
      </c>
      <c r="AB81" s="19" t="s">
        <v>266</v>
      </c>
      <c r="AD81" s="19">
        <v>51.511172999999999</v>
      </c>
      <c r="AE81" s="19">
        <v>-5.0639999999999998E-2</v>
      </c>
      <c r="AF81">
        <v>51.510215000000002</v>
      </c>
      <c r="AG81">
        <v>-5.4933388E-2</v>
      </c>
      <c r="AI81" s="19" t="s">
        <v>1075</v>
      </c>
      <c r="AJ81" s="19" t="s">
        <v>1076</v>
      </c>
    </row>
    <row r="82" spans="1:36" x14ac:dyDescent="0.25">
      <c r="A82" s="19" t="s">
        <v>736</v>
      </c>
      <c r="B82" s="26" t="s">
        <v>406</v>
      </c>
      <c r="C82" s="19" t="s">
        <v>50</v>
      </c>
      <c r="D82" s="19" t="s">
        <v>407</v>
      </c>
      <c r="F82" s="19" t="str">
        <f t="shared" si="3"/>
        <v>E2 6DT</v>
      </c>
      <c r="G82" s="19">
        <f t="shared" si="4"/>
        <v>51.525100999999999</v>
      </c>
      <c r="H82" s="19">
        <f t="shared" si="5"/>
        <v>-6.7163E-2</v>
      </c>
      <c r="J82" s="19">
        <v>63</v>
      </c>
      <c r="N82" s="19" t="s">
        <v>741</v>
      </c>
      <c r="O82" s="19" t="s">
        <v>470</v>
      </c>
      <c r="P82" s="26" t="s">
        <v>742</v>
      </c>
      <c r="R82" s="19">
        <v>12272</v>
      </c>
      <c r="S82" s="19" t="s">
        <v>32</v>
      </c>
      <c r="U82" s="26" t="s">
        <v>80</v>
      </c>
      <c r="V82" t="s">
        <v>77</v>
      </c>
      <c r="W82" s="26" t="s">
        <v>133</v>
      </c>
      <c r="X82" s="26" t="s">
        <v>96</v>
      </c>
      <c r="Y82" s="26" t="s">
        <v>187</v>
      </c>
      <c r="AA82" s="19" t="s">
        <v>271</v>
      </c>
      <c r="AB82" s="19" t="s">
        <v>271</v>
      </c>
      <c r="AD82" s="19">
        <v>51.525100999999999</v>
      </c>
      <c r="AE82" s="19">
        <v>-6.7163E-2</v>
      </c>
      <c r="AF82">
        <v>51.525098999999997</v>
      </c>
      <c r="AG82">
        <v>-6.8095186000000002E-2</v>
      </c>
      <c r="AI82" s="19" t="s">
        <v>1077</v>
      </c>
      <c r="AJ82" s="19" t="s">
        <v>1078</v>
      </c>
    </row>
    <row r="83" spans="1:36" x14ac:dyDescent="0.25">
      <c r="A83" s="19" t="s">
        <v>756</v>
      </c>
      <c r="B83" s="26" t="s">
        <v>418</v>
      </c>
      <c r="C83" s="19" t="s">
        <v>50</v>
      </c>
      <c r="D83" s="19" t="s">
        <v>757</v>
      </c>
      <c r="F83" s="19" t="str">
        <f t="shared" si="3"/>
        <v>E14 0PT</v>
      </c>
      <c r="G83" s="19" t="str">
        <f t="shared" si="4"/>
        <v/>
      </c>
      <c r="H83" s="19" t="str">
        <f t="shared" si="5"/>
        <v/>
      </c>
      <c r="J83" s="19">
        <v>344</v>
      </c>
      <c r="N83" s="19" t="s">
        <v>761</v>
      </c>
      <c r="O83" s="19" t="s">
        <v>762</v>
      </c>
      <c r="P83" s="26" t="s">
        <v>763</v>
      </c>
      <c r="R83" s="19" t="s">
        <v>77</v>
      </c>
      <c r="S83" s="19" t="s">
        <v>77</v>
      </c>
      <c r="U83" s="26" t="s">
        <v>1079</v>
      </c>
      <c r="V83" t="s">
        <v>77</v>
      </c>
      <c r="W83" t="s">
        <v>77</v>
      </c>
      <c r="X83" s="25" t="s">
        <v>77</v>
      </c>
      <c r="Y83" s="25" t="s">
        <v>77</v>
      </c>
      <c r="AA83" s="19" t="s">
        <v>263</v>
      </c>
      <c r="AB83" s="19" t="s">
        <v>77</v>
      </c>
      <c r="AD83" s="19">
        <v>0</v>
      </c>
      <c r="AE83" s="19">
        <v>0</v>
      </c>
      <c r="AF83">
        <v>51.514231000000002</v>
      </c>
      <c r="AG83">
        <v>-4.9524992999999996E-3</v>
      </c>
    </row>
    <row r="84" spans="1:36" x14ac:dyDescent="0.25">
      <c r="A84" s="19" t="s">
        <v>774</v>
      </c>
      <c r="B84" s="26" t="s">
        <v>428</v>
      </c>
      <c r="C84" s="19" t="s">
        <v>50</v>
      </c>
      <c r="D84" s="19" t="s">
        <v>429</v>
      </c>
      <c r="F84" s="19" t="str">
        <f t="shared" si="3"/>
        <v>E9 5HT</v>
      </c>
      <c r="G84" s="19">
        <f t="shared" si="4"/>
        <v>51.532620000000001</v>
      </c>
      <c r="H84" s="19">
        <f t="shared" si="5"/>
        <v>-3.0810000000000001E-2</v>
      </c>
      <c r="J84" s="19">
        <v>129</v>
      </c>
      <c r="N84" s="19" t="s">
        <v>778</v>
      </c>
      <c r="O84" s="19" t="s">
        <v>470</v>
      </c>
      <c r="P84" s="26" t="s">
        <v>779</v>
      </c>
      <c r="R84" s="19">
        <v>15551</v>
      </c>
      <c r="S84" s="19" t="s">
        <v>42</v>
      </c>
      <c r="U84" s="26" t="s">
        <v>1081</v>
      </c>
      <c r="V84" t="s">
        <v>77</v>
      </c>
      <c r="W84" s="26" t="s">
        <v>140</v>
      </c>
      <c r="X84" s="26" t="s">
        <v>103</v>
      </c>
      <c r="Y84" s="26" t="s">
        <v>195</v>
      </c>
      <c r="AA84" s="19" t="s">
        <v>1080</v>
      </c>
      <c r="AB84" s="19" t="s">
        <v>261</v>
      </c>
      <c r="AD84" s="19">
        <v>51.532620000000001</v>
      </c>
      <c r="AE84" s="19">
        <v>-3.0810000000000001E-2</v>
      </c>
      <c r="AF84">
        <v>51.539682999999997</v>
      </c>
      <c r="AG84">
        <v>-2.8498850999999999E-2</v>
      </c>
      <c r="AI84" s="19" t="s">
        <v>1082</v>
      </c>
      <c r="AJ84" s="19" t="s">
        <v>1083</v>
      </c>
    </row>
    <row r="85" spans="1:36" x14ac:dyDescent="0.25">
      <c r="A85" s="19" t="s">
        <v>796</v>
      </c>
      <c r="B85" s="26" t="s">
        <v>442</v>
      </c>
      <c r="C85" s="19" t="s">
        <v>50</v>
      </c>
      <c r="D85" s="19" t="s">
        <v>443</v>
      </c>
      <c r="F85" s="19" t="str">
        <f t="shared" si="3"/>
        <v>E3 4AR</v>
      </c>
      <c r="G85" s="19">
        <f t="shared" si="4"/>
        <v>51.517783000000001</v>
      </c>
      <c r="H85" s="19">
        <f t="shared" si="5"/>
        <v>-2.9182E-2</v>
      </c>
      <c r="J85" s="19">
        <v>79</v>
      </c>
      <c r="N85" s="19" t="s">
        <v>800</v>
      </c>
      <c r="O85" s="19" t="s">
        <v>470</v>
      </c>
      <c r="P85" s="26" t="s">
        <v>801</v>
      </c>
      <c r="R85" s="19">
        <v>6912</v>
      </c>
      <c r="S85" s="19" t="s">
        <v>36</v>
      </c>
      <c r="U85" s="26" t="s">
        <v>1084</v>
      </c>
      <c r="V85" t="s">
        <v>77</v>
      </c>
      <c r="W85" s="26" t="s">
        <v>135</v>
      </c>
      <c r="X85" s="26" t="s">
        <v>99</v>
      </c>
      <c r="Y85" s="26" t="s">
        <v>190</v>
      </c>
      <c r="AA85" s="19" t="s">
        <v>254</v>
      </c>
      <c r="AB85" s="19" t="s">
        <v>254</v>
      </c>
      <c r="AD85" s="19">
        <v>51.517783000000001</v>
      </c>
      <c r="AE85" s="19">
        <v>-2.9182E-2</v>
      </c>
      <c r="AF85">
        <v>51.517195000000001</v>
      </c>
      <c r="AG85">
        <v>-2.9153035000000001E-2</v>
      </c>
      <c r="AI85" s="19" t="s">
        <v>1085</v>
      </c>
      <c r="AJ85" s="19" t="s">
        <v>1086</v>
      </c>
    </row>
    <row r="86" spans="1:36" x14ac:dyDescent="0.25">
      <c r="A86" s="19" t="s">
        <v>790</v>
      </c>
      <c r="B86" s="26" t="s">
        <v>439</v>
      </c>
      <c r="C86" s="19" t="s">
        <v>50</v>
      </c>
      <c r="D86" s="19" t="s">
        <v>440</v>
      </c>
      <c r="F86" s="19" t="str">
        <f t="shared" si="3"/>
        <v>E1W 3DH</v>
      </c>
      <c r="G86" s="19">
        <f t="shared" si="4"/>
        <v>51.509422000000001</v>
      </c>
      <c r="H86" s="19">
        <f t="shared" si="5"/>
        <v>-5.2067000000000002E-2</v>
      </c>
      <c r="J86" s="19">
        <v>244</v>
      </c>
      <c r="N86" s="19" t="s">
        <v>794</v>
      </c>
      <c r="O86" s="19" t="s">
        <v>470</v>
      </c>
      <c r="P86" s="26" t="s">
        <v>795</v>
      </c>
      <c r="R86" s="19">
        <v>6088</v>
      </c>
      <c r="S86" s="19" t="s">
        <v>43</v>
      </c>
      <c r="U86" s="26" t="s">
        <v>1087</v>
      </c>
      <c r="V86" t="s">
        <v>77</v>
      </c>
      <c r="W86" s="26" t="s">
        <v>141</v>
      </c>
      <c r="X86" s="26" t="s">
        <v>104</v>
      </c>
      <c r="Y86" s="26" t="s">
        <v>196</v>
      </c>
      <c r="AA86" s="19" t="s">
        <v>264</v>
      </c>
      <c r="AB86" s="19" t="s">
        <v>264</v>
      </c>
      <c r="AD86" s="19">
        <v>51.509422000000001</v>
      </c>
      <c r="AE86" s="19">
        <v>-5.2067000000000002E-2</v>
      </c>
      <c r="AF86">
        <v>51.509518</v>
      </c>
      <c r="AG86">
        <v>-5.3046399000000001E-2</v>
      </c>
      <c r="AI86" s="19" t="s">
        <v>1088</v>
      </c>
      <c r="AJ86" s="19" t="s">
        <v>1089</v>
      </c>
    </row>
    <row r="87" spans="1:36" x14ac:dyDescent="0.25">
      <c r="A87" s="19" t="s">
        <v>749</v>
      </c>
      <c r="B87" s="26" t="s">
        <v>413</v>
      </c>
      <c r="C87" s="19" t="s">
        <v>50</v>
      </c>
      <c r="D87" s="19" t="s">
        <v>414</v>
      </c>
      <c r="F87" s="19" t="str">
        <f t="shared" si="3"/>
        <v>E2 7AE</v>
      </c>
      <c r="G87" s="19">
        <f t="shared" si="4"/>
        <v>51.530372999999997</v>
      </c>
      <c r="H87" s="19">
        <f t="shared" si="5"/>
        <v>-6.4758999999999997E-2</v>
      </c>
      <c r="J87" s="19">
        <v>119</v>
      </c>
      <c r="N87" s="19" t="s">
        <v>753</v>
      </c>
      <c r="O87" s="19" t="s">
        <v>470</v>
      </c>
      <c r="P87" s="26" t="s">
        <v>754</v>
      </c>
      <c r="R87" s="19">
        <v>9069</v>
      </c>
      <c r="S87" s="19" t="s">
        <v>33</v>
      </c>
      <c r="U87" s="26" t="s">
        <v>1092</v>
      </c>
      <c r="V87" t="s">
        <v>77</v>
      </c>
      <c r="W87" s="26" t="s">
        <v>133</v>
      </c>
      <c r="X87" s="26" t="s">
        <v>97</v>
      </c>
      <c r="Y87" s="26" t="s">
        <v>188</v>
      </c>
      <c r="AA87" s="19" t="s">
        <v>253</v>
      </c>
      <c r="AB87" s="19" t="s">
        <v>253</v>
      </c>
      <c r="AD87" s="19">
        <v>51.530372999999997</v>
      </c>
      <c r="AE87" s="19">
        <v>-6.4758999999999997E-2</v>
      </c>
      <c r="AF87">
        <v>51.529953999999996</v>
      </c>
      <c r="AG87">
        <v>-6.4213211000000006E-2</v>
      </c>
      <c r="AI87" s="19" t="s">
        <v>1093</v>
      </c>
      <c r="AJ87" s="19" t="s">
        <v>1094</v>
      </c>
    </row>
    <row r="88" spans="1:36" x14ac:dyDescent="0.25">
      <c r="A88" s="19" t="s">
        <v>787</v>
      </c>
      <c r="B88" s="26" t="s">
        <v>437</v>
      </c>
      <c r="C88" s="19" t="s">
        <v>50</v>
      </c>
      <c r="D88" s="19" t="s">
        <v>438</v>
      </c>
      <c r="F88" s="19" t="str">
        <f t="shared" si="3"/>
        <v>E1W 2RW</v>
      </c>
      <c r="G88" s="19">
        <f t="shared" si="4"/>
        <v>51.506166999999998</v>
      </c>
      <c r="H88" s="19">
        <f t="shared" si="5"/>
        <v>-5.8075000000000002E-2</v>
      </c>
      <c r="J88" s="19">
        <v>104</v>
      </c>
      <c r="N88" s="19" t="s">
        <v>791</v>
      </c>
      <c r="O88" s="19" t="s">
        <v>470</v>
      </c>
      <c r="P88" s="26" t="s">
        <v>792</v>
      </c>
      <c r="R88" s="19">
        <v>8933</v>
      </c>
      <c r="S88" s="19" t="s">
        <v>41</v>
      </c>
      <c r="U88" s="26" t="s">
        <v>1095</v>
      </c>
      <c r="V88" t="s">
        <v>77</v>
      </c>
      <c r="W88" s="26" t="s">
        <v>139</v>
      </c>
      <c r="X88" s="26" t="s">
        <v>102</v>
      </c>
      <c r="Y88" s="26" t="s">
        <v>194</v>
      </c>
      <c r="AA88" s="19" t="s">
        <v>260</v>
      </c>
      <c r="AB88" s="19" t="s">
        <v>260</v>
      </c>
      <c r="AD88" s="19">
        <v>51.506166999999998</v>
      </c>
      <c r="AE88" s="19">
        <v>-5.8075000000000002E-2</v>
      </c>
      <c r="AF88">
        <v>51.505381</v>
      </c>
      <c r="AG88">
        <v>-5.7905906E-2</v>
      </c>
      <c r="AI88" s="19" t="s">
        <v>1096</v>
      </c>
      <c r="AJ88" s="19" t="s">
        <v>1097</v>
      </c>
    </row>
    <row r="89" spans="1:36" x14ac:dyDescent="0.25">
      <c r="A89" s="19" t="s">
        <v>802</v>
      </c>
      <c r="B89" s="26" t="s">
        <v>446</v>
      </c>
      <c r="C89" s="19" t="s">
        <v>50</v>
      </c>
      <c r="D89" s="19" t="s">
        <v>467</v>
      </c>
      <c r="F89" s="19" t="str">
        <f t="shared" si="3"/>
        <v>E14 4AL</v>
      </c>
      <c r="G89" s="19">
        <f t="shared" si="4"/>
        <v>51.507644999999997</v>
      </c>
      <c r="H89" s="19">
        <f t="shared" si="5"/>
        <v>-2.3844205E-2</v>
      </c>
      <c r="J89" s="19">
        <v>0</v>
      </c>
      <c r="N89" s="19" t="s">
        <v>807</v>
      </c>
      <c r="O89" s="19" t="s">
        <v>560</v>
      </c>
      <c r="P89" s="26" t="s">
        <v>808</v>
      </c>
      <c r="R89" s="19">
        <v>13115</v>
      </c>
      <c r="S89" s="19" t="s">
        <v>39</v>
      </c>
      <c r="U89" s="26" t="s">
        <v>1098</v>
      </c>
      <c r="V89" t="s">
        <v>77</v>
      </c>
      <c r="W89" s="26" t="s">
        <v>138</v>
      </c>
      <c r="X89" s="25">
        <v>0</v>
      </c>
      <c r="Y89" s="26" t="s">
        <v>193</v>
      </c>
      <c r="AB89" s="19" t="s">
        <v>259</v>
      </c>
      <c r="AF89">
        <v>51.507644999999997</v>
      </c>
      <c r="AG89">
        <v>-2.3844205E-2</v>
      </c>
    </row>
  </sheetData>
  <autoFilter ref="A1:AJ1"/>
  <conditionalFormatting sqref="AI1:XFD1048576 F1:H1048576 A1:D1048576 J1:AG1048576">
    <cfRule type="expression" dxfId="3" priority="4">
      <formula>_xlfn.ISFORMULA(A1)</formula>
    </cfRule>
  </conditionalFormatting>
  <conditionalFormatting sqref="AH1:AH1048576">
    <cfRule type="expression" dxfId="2" priority="3">
      <formula>_xlfn.ISFORMULA(AH1)</formula>
    </cfRule>
  </conditionalFormatting>
  <conditionalFormatting sqref="E1:E1048576">
    <cfRule type="expression" dxfId="1" priority="2">
      <formula>_xlfn.ISFORMULA(E1)</formula>
    </cfRule>
  </conditionalFormatting>
  <conditionalFormatting sqref="I1:I1048576">
    <cfRule type="expression" dxfId="0" priority="1">
      <formula>_xlfn.ISFORMULA(I1)</formula>
    </cfRule>
  </conditionalFormatting>
  <hyperlinks>
    <hyperlink ref="B9" r:id="rId1"/>
    <hyperlink ref="B2" r:id="rId2"/>
    <hyperlink ref="B3" r:id="rId3"/>
    <hyperlink ref="B4" r:id="rId4"/>
    <hyperlink ref="B5" r:id="rId5"/>
    <hyperlink ref="B6" r:id="rId6"/>
    <hyperlink ref="B7" r:id="rId7"/>
    <hyperlink ref="B8" r:id="rId8"/>
    <hyperlink ref="B10" r:id="rId9"/>
    <hyperlink ref="B11" r:id="rId10"/>
    <hyperlink ref="B12" r:id="rId11"/>
    <hyperlink ref="B13" r:id="rId12"/>
    <hyperlink ref="B14" r:id="rId13"/>
    <hyperlink ref="B15" r:id="rId14"/>
    <hyperlink ref="B16" r:id="rId15"/>
    <hyperlink ref="B17" r:id="rId16"/>
    <hyperlink ref="B18" r:id="rId17"/>
    <hyperlink ref="B19" r:id="rId18"/>
    <hyperlink ref="B20" r:id="rId19"/>
    <hyperlink ref="B21" r:id="rId20"/>
    <hyperlink ref="B22" r:id="rId21"/>
    <hyperlink ref="B23" r:id="rId22"/>
    <hyperlink ref="B24" r:id="rId23"/>
    <hyperlink ref="B25" r:id="rId24"/>
    <hyperlink ref="B26" r:id="rId25"/>
    <hyperlink ref="B27" r:id="rId26"/>
    <hyperlink ref="B28" r:id="rId27"/>
    <hyperlink ref="B29" r:id="rId28"/>
    <hyperlink ref="B30" r:id="rId29"/>
    <hyperlink ref="B31" r:id="rId30"/>
    <hyperlink ref="B32" r:id="rId31"/>
    <hyperlink ref="B33" r:id="rId32"/>
    <hyperlink ref="B34" r:id="rId33"/>
    <hyperlink ref="B35" r:id="rId34"/>
    <hyperlink ref="B36" r:id="rId35"/>
    <hyperlink ref="B37" r:id="rId36"/>
    <hyperlink ref="B38" r:id="rId37"/>
    <hyperlink ref="B39" r:id="rId38"/>
    <hyperlink ref="B40" r:id="rId39"/>
    <hyperlink ref="B41" r:id="rId40"/>
    <hyperlink ref="B42" r:id="rId41"/>
    <hyperlink ref="B43" r:id="rId42"/>
    <hyperlink ref="B44" r:id="rId43"/>
    <hyperlink ref="B45" r:id="rId44"/>
    <hyperlink ref="B46" r:id="rId45"/>
    <hyperlink ref="B47" r:id="rId46"/>
    <hyperlink ref="B48" r:id="rId47"/>
    <hyperlink ref="B49" r:id="rId48"/>
    <hyperlink ref="B50" r:id="rId49"/>
    <hyperlink ref="B51" r:id="rId50"/>
    <hyperlink ref="B52" r:id="rId51"/>
    <hyperlink ref="B53" r:id="rId52"/>
    <hyperlink ref="B54" r:id="rId53"/>
    <hyperlink ref="B55" r:id="rId54"/>
    <hyperlink ref="B56" r:id="rId55"/>
    <hyperlink ref="B57" r:id="rId56"/>
    <hyperlink ref="B58" r:id="rId57"/>
    <hyperlink ref="B59" r:id="rId58"/>
    <hyperlink ref="B60" r:id="rId59"/>
    <hyperlink ref="B61" r:id="rId60"/>
    <hyperlink ref="B62" r:id="rId61"/>
    <hyperlink ref="B63" r:id="rId62"/>
    <hyperlink ref="B64" r:id="rId63"/>
    <hyperlink ref="B65" r:id="rId64"/>
    <hyperlink ref="B66" r:id="rId65"/>
    <hyperlink ref="B67" r:id="rId66"/>
    <hyperlink ref="B68" r:id="rId67"/>
    <hyperlink ref="B69" r:id="rId68"/>
    <hyperlink ref="B70" r:id="rId69"/>
    <hyperlink ref="B71" r:id="rId70"/>
    <hyperlink ref="B72" r:id="rId71"/>
    <hyperlink ref="B73" r:id="rId72"/>
    <hyperlink ref="B74" r:id="rId73"/>
    <hyperlink ref="B75" r:id="rId74"/>
    <hyperlink ref="B76" r:id="rId75"/>
    <hyperlink ref="B77" r:id="rId76"/>
    <hyperlink ref="B78" r:id="rId77"/>
    <hyperlink ref="B79" r:id="rId78"/>
    <hyperlink ref="B80" r:id="rId79"/>
    <hyperlink ref="B81" r:id="rId80"/>
    <hyperlink ref="B82" r:id="rId81"/>
    <hyperlink ref="B83" r:id="rId82"/>
    <hyperlink ref="B84" r:id="rId83"/>
    <hyperlink ref="B85" r:id="rId84"/>
    <hyperlink ref="B86" r:id="rId85"/>
    <hyperlink ref="B87" r:id="rId86"/>
    <hyperlink ref="B88" r:id="rId87"/>
    <hyperlink ref="B89" r:id="rId88"/>
    <hyperlink ref="U3" r:id="rId89" display="https://http/www.hackneymarshteam.org.uk"/>
    <hyperlink ref="U4" r:id="rId90" display="http://www.hackneymarshteam.org.uk/"/>
    <hyperlink ref="U5" r:id="rId91" display="https://www.gracechurchhackney.org.uk/"/>
    <hyperlink ref="U9" r:id="rId92" display="https://hackney.church/"/>
    <hyperlink ref="U10" r:id="rId93" display="http://www.standrewsn16.org/"/>
    <hyperlink ref="U11" r:id="rId94" display="http://www.hoxtonchurch.org.uk/"/>
    <hyperlink ref="U12" r:id="rId95" display="https://saintbarnabasdalston.org.uk/"/>
    <hyperlink ref="U14" r:id="rId96" display="https://www.holybart.com/"/>
    <hyperlink ref="U16" r:id="rId97" display="https://www.stjamesclapton.co.uk/"/>
    <hyperlink ref="U17" r:id="rId98" display="http://www.sjoj.co.uk/"/>
    <hyperlink ref="U18" r:id="rId99" display="https://www.stjohnshoxton.org.uk/"/>
    <hyperlink ref="U19" r:id="rId100" display="https://www.sjebp.com/"/>
    <hyperlink ref="U20" r:id="rId101"/>
    <hyperlink ref="U21" r:id="rId102"/>
    <hyperlink ref="U22" r:id="rId103" display="http://www.stmaryofeton.org.uk/"/>
    <hyperlink ref="U23" r:id="rId104" display="https://www.stmaryn16.org/"/>
    <hyperlink ref="U24" r:id="rId105"/>
    <hyperlink ref="U25" r:id="rId106" display="https://www.stmchurch.co.uk/"/>
    <hyperlink ref="U26" r:id="rId107" display="https://www.stmichaelslondonfields.org.uk/"/>
    <hyperlink ref="U28" r:id="rId108" display="http://www.stolaveschurch.co.uk/"/>
    <hyperlink ref="U29" r:id="rId109" display="http://stpaulswesthackney.org/"/>
    <hyperlink ref="U30" r:id="rId110" display="http://www.stpeterdebeauvoir.org.uk/"/>
    <hyperlink ref="U31" r:id="rId111" display="https://www.saintthomasclapton.org/"/>
    <hyperlink ref="U32" r:id="rId112" display="http://www.allsaintsislington.org/"/>
    <hyperlink ref="U33" r:id="rId113" display="http://www.christchurchhighbury.com/"/>
    <hyperlink ref="U35" r:id="rId114" display="http://www.hopechurchislington.org/"/>
    <hyperlink ref="U36" r:id="rId115" display="https://nagsheadcc.com/"/>
    <hyperlink ref="U37" r:id="rId116" display="http://www.holyredeemerclerkenwell.com/"/>
    <hyperlink ref="U38" r:id="rId117" display="https://www.standrewsislington.com/"/>
    <hyperlink ref="U39" r:id="rId118" display="http://www.standrewsn19.org/"/>
    <hyperlink ref="U40" r:id="rId119"/>
    <hyperlink ref="U41" r:id="rId120" display="http://www.staugustine.org.uk/"/>
    <hyperlink ref="U42" r:id="rId121" display="https://www.stclementfinsbury.org/"/>
    <hyperlink ref="U43" r:id="rId122" display="http://www.stgeorgestufnellpark.org/"/>
    <hyperlink ref="U44" r:id="rId123"/>
    <hyperlink ref="U45" r:id="rId124" display="https://www.stjamesislington.org/"/>
    <hyperlink ref="U46" r:id="rId125" display="http://www.stjohnsupperholloway.church/"/>
    <hyperlink ref="U47" r:id="rId126" display="http://www.sjsp.org.uk/"/>
    <hyperlink ref="U48" r:id="rId127" display="http://www.saintlukeschurch.org.uk/"/>
    <hyperlink ref="U49" r:id="rId128" display="https://www.stmarks-clerkenwell.co.uk/"/>
    <hyperlink ref="U50" r:id="rId129" display="https://www.tollingtonparish.org.uk/"/>
    <hyperlink ref="U51" r:id="rId130" display="http://www.stmaryshornseyrise.org.uk/"/>
    <hyperlink ref="U52" r:id="rId131" display="https://www.stmaryislington.org/"/>
    <hyperlink ref="U53" r:id="rId132" display="http://www.smmacademy.org/"/>
    <hyperlink ref="U55" r:id="rId133" display="https://www.saint-silas.org.uk/"/>
    <hyperlink ref="U56" r:id="rId134" display="http://www.ststephenscanonbury.org.uk/"/>
    <hyperlink ref="U57" r:id="rId135" display="https://www.stthomaschurch.co.uk/"/>
    <hyperlink ref="U59" r:id="rId136" display="http://www.thecharterhouse.org/"/>
    <hyperlink ref="U60" r:id="rId137" display="http://www.churchonthecorner.org.uk/"/>
    <hyperlink ref="U62" r:id="rId138" display="https://www.trinityislington.org/"/>
    <hyperlink ref="U63" r:id="rId139" display="http://www.allhallowsbow.org.uk/"/>
    <hyperlink ref="U64" r:id="rId140" display="http://www.parishofpoplar.org/"/>
    <hyperlink ref="U65" r:id="rId141" display="http://www.parishiod.org.uk/"/>
    <hyperlink ref="U66" r:id="rId142" display="https://www.parishiod.org.uk/"/>
    <hyperlink ref="U67" r:id="rId143" display="http://www.ccspits.org/"/>
    <hyperlink ref="U71" r:id="rId144" display="http://www.stanneslimehouse.org/"/>
    <hyperlink ref="U73" r:id="rId145" display="http://www.stbarnabasbethnalgreen.org/"/>
    <hyperlink ref="U74" r:id="rId146" display="http://www.stdunstanstepney.com/"/>
    <hyperlink ref="U75" r:id="rId147" display="http://www.stgeorgeintheeast.org/"/>
    <hyperlink ref="U76" r:id="rId148" display="http://stjamesthelessbg.org.uk/"/>
    <hyperlink ref="U77" r:id="rId149" display="https://www.stjohnonbethnalgreen.org/"/>
    <hyperlink ref="U78" r:id="rId150"/>
    <hyperlink ref="U80" r:id="rId151"/>
    <hyperlink ref="U81" r:id="rId152" display="http://stmaryscablest.blogspot.com/"/>
    <hyperlink ref="U82" r:id="rId153"/>
    <hyperlink ref="U83" r:id="rId154" display="http://stnicholaspoplar.org/"/>
    <hyperlink ref="U84" r:id="rId155" display="http://www.stpauloldford.com/"/>
    <hyperlink ref="U85" r:id="rId156" display="http://www.stpaulsbowcommon.org.uk/"/>
    <hyperlink ref="U86" r:id="rId157" display="http://sps.church/"/>
    <hyperlink ref="U87" r:id="rId158" display="https://www.stpetersbethnalgreen.org/"/>
    <hyperlink ref="U88" r:id="rId159" display="http://www.stpeterslondondocks.org.uk/"/>
    <hyperlink ref="U89" r:id="rId160" display="https://www.stpetersbarge.org/"/>
    <hyperlink ref="V50" r:id="rId161" display="=IFERROR(VLOOKUP($C50, DataFromWikipedia!A:T, 17, FALSE), &quot;&quot;)"/>
    <hyperlink ref="V54" r:id="rId162" display="=IFERROR(VLOOKUP($C54, DataFromWikipedia!A:T, 17, FALSE), &quot;&quot;)"/>
    <hyperlink ref="W5" r:id="rId163"/>
    <hyperlink ref="W6" r:id="rId164"/>
    <hyperlink ref="W7" r:id="rId165"/>
    <hyperlink ref="W8" r:id="rId166"/>
    <hyperlink ref="W10" r:id="rId167"/>
    <hyperlink ref="W11" r:id="rId168"/>
    <hyperlink ref="W14" r:id="rId169"/>
    <hyperlink ref="W15" r:id="rId170"/>
    <hyperlink ref="W16" r:id="rId171"/>
    <hyperlink ref="W17" r:id="rId172"/>
    <hyperlink ref="W18" r:id="rId173"/>
    <hyperlink ref="W20" r:id="rId174"/>
    <hyperlink ref="W21" r:id="rId175"/>
    <hyperlink ref="W22" r:id="rId176"/>
    <hyperlink ref="W23" r:id="rId177"/>
    <hyperlink ref="W24" r:id="rId178"/>
    <hyperlink ref="W26" r:id="rId179"/>
    <hyperlink ref="W27" r:id="rId180"/>
    <hyperlink ref="W28" r:id="rId181"/>
    <hyperlink ref="W29" r:id="rId182"/>
    <hyperlink ref="W30" r:id="rId183"/>
    <hyperlink ref="W31" r:id="rId184"/>
    <hyperlink ref="W33" r:id="rId185"/>
    <hyperlink ref="W34" r:id="rId186"/>
    <hyperlink ref="W37" r:id="rId187"/>
    <hyperlink ref="W41" r:id="rId188"/>
    <hyperlink ref="W42" r:id="rId189"/>
    <hyperlink ref="W43" r:id="rId190"/>
    <hyperlink ref="W44" r:id="rId191"/>
    <hyperlink ref="W45" r:id="rId192"/>
    <hyperlink ref="W46" r:id="rId193"/>
    <hyperlink ref="W50" r:id="rId194"/>
    <hyperlink ref="W51" r:id="rId195"/>
    <hyperlink ref="W52" r:id="rId196"/>
    <hyperlink ref="W54" r:id="rId197"/>
    <hyperlink ref="W55" r:id="rId198"/>
    <hyperlink ref="W56" r:id="rId199"/>
    <hyperlink ref="W57" r:id="rId200"/>
    <hyperlink ref="W62" r:id="rId201"/>
    <hyperlink ref="W63" r:id="rId202"/>
    <hyperlink ref="W66" r:id="rId203"/>
    <hyperlink ref="W67" r:id="rId204"/>
    <hyperlink ref="W72" r:id="rId205"/>
    <hyperlink ref="W73" r:id="rId206"/>
    <hyperlink ref="W74" r:id="rId207"/>
    <hyperlink ref="W76" r:id="rId208"/>
    <hyperlink ref="W77" r:id="rId209"/>
    <hyperlink ref="W78" r:id="rId210"/>
    <hyperlink ref="W80" r:id="rId211"/>
    <hyperlink ref="W81" r:id="rId212"/>
    <hyperlink ref="W82" r:id="rId213"/>
    <hyperlink ref="W84" r:id="rId214"/>
    <hyperlink ref="W85" r:id="rId215"/>
    <hyperlink ref="W86" r:id="rId216"/>
    <hyperlink ref="W87" r:id="rId217"/>
    <hyperlink ref="W88" r:id="rId218"/>
    <hyperlink ref="W89" r:id="rId219"/>
    <hyperlink ref="X10" r:id="rId220"/>
    <hyperlink ref="X18" r:id="rId221"/>
    <hyperlink ref="X20" r:id="rId222"/>
    <hyperlink ref="X25" r:id="rId223"/>
    <hyperlink ref="X33" r:id="rId224"/>
    <hyperlink ref="X37" r:id="rId225"/>
    <hyperlink ref="X42" r:id="rId226"/>
    <hyperlink ref="X44" r:id="rId227"/>
    <hyperlink ref="X45" r:id="rId228"/>
    <hyperlink ref="X52" r:id="rId229"/>
    <hyperlink ref="X63" r:id="rId230"/>
    <hyperlink ref="X67" r:id="rId231"/>
    <hyperlink ref="X72" r:id="rId232"/>
    <hyperlink ref="X73" r:id="rId233"/>
    <hyperlink ref="X75" r:id="rId234"/>
    <hyperlink ref="X76" r:id="rId235"/>
    <hyperlink ref="X77" r:id="rId236"/>
    <hyperlink ref="X80" r:id="rId237"/>
    <hyperlink ref="X82" r:id="rId238"/>
    <hyperlink ref="X84" r:id="rId239"/>
    <hyperlink ref="X85" r:id="rId240"/>
    <hyperlink ref="X86" r:id="rId241"/>
    <hyperlink ref="X87" r:id="rId242"/>
    <hyperlink ref="X88" r:id="rId243"/>
    <hyperlink ref="P4" r:id="rId244"/>
    <hyperlink ref="P5" r:id="rId245"/>
    <hyperlink ref="P7" r:id="rId246"/>
    <hyperlink ref="P8" r:id="rId247"/>
    <hyperlink ref="P9" r:id="rId248"/>
    <hyperlink ref="P10" r:id="rId249"/>
    <hyperlink ref="P11" r:id="rId250"/>
    <hyperlink ref="P13" r:id="rId251"/>
    <hyperlink ref="P14" r:id="rId252"/>
    <hyperlink ref="P15" r:id="rId253"/>
    <hyperlink ref="P16" r:id="rId254"/>
    <hyperlink ref="P17" r:id="rId255"/>
    <hyperlink ref="P18" r:id="rId256"/>
    <hyperlink ref="P19" r:id="rId257"/>
    <hyperlink ref="P20" r:id="rId258"/>
    <hyperlink ref="P21" r:id="rId259"/>
    <hyperlink ref="P22" r:id="rId260"/>
    <hyperlink ref="P23" r:id="rId261"/>
    <hyperlink ref="P24" r:id="rId262"/>
    <hyperlink ref="P25" r:id="rId263"/>
    <hyperlink ref="P26" r:id="rId264"/>
    <hyperlink ref="P27" r:id="rId265"/>
    <hyperlink ref="P28" r:id="rId266"/>
    <hyperlink ref="P29" r:id="rId267"/>
    <hyperlink ref="P30" r:id="rId268"/>
    <hyperlink ref="P31" r:id="rId269"/>
    <hyperlink ref="P32" r:id="rId270"/>
    <hyperlink ref="P33" r:id="rId271"/>
    <hyperlink ref="P35" r:id="rId272"/>
    <hyperlink ref="P37" r:id="rId273"/>
    <hyperlink ref="P38" r:id="rId274"/>
    <hyperlink ref="P39" r:id="rId275"/>
    <hyperlink ref="P40" r:id="rId276"/>
    <hyperlink ref="P41" r:id="rId277"/>
    <hyperlink ref="P42" r:id="rId278"/>
    <hyperlink ref="P43" r:id="rId279"/>
    <hyperlink ref="P44" r:id="rId280"/>
    <hyperlink ref="P45" r:id="rId281"/>
    <hyperlink ref="P46" r:id="rId282"/>
    <hyperlink ref="P47" r:id="rId283"/>
    <hyperlink ref="P48" r:id="rId284"/>
    <hyperlink ref="P49" r:id="rId285"/>
    <hyperlink ref="P50" r:id="rId286"/>
    <hyperlink ref="P51" r:id="rId287"/>
    <hyperlink ref="P52" r:id="rId288"/>
    <hyperlink ref="P53" r:id="rId289"/>
    <hyperlink ref="P54" r:id="rId290"/>
    <hyperlink ref="P55" r:id="rId291"/>
    <hyperlink ref="P56" r:id="rId292"/>
    <hyperlink ref="P57" r:id="rId293" display="https://www.london.anglican.org/directory/stephen-coles/"/>
    <hyperlink ref="P59" r:id="rId294"/>
    <hyperlink ref="P60" r:id="rId295"/>
    <hyperlink ref="P61" r:id="rId296"/>
    <hyperlink ref="P62" r:id="rId297"/>
    <hyperlink ref="P63" r:id="rId298"/>
    <hyperlink ref="P64" r:id="rId299"/>
    <hyperlink ref="P65" r:id="rId300"/>
    <hyperlink ref="P66" r:id="rId301"/>
    <hyperlink ref="P67" r:id="rId302"/>
    <hyperlink ref="P68" r:id="rId303"/>
    <hyperlink ref="P69" r:id="rId304"/>
    <hyperlink ref="P71" r:id="rId305"/>
    <hyperlink ref="P73" r:id="rId306"/>
    <hyperlink ref="P74" r:id="rId307"/>
    <hyperlink ref="P75" r:id="rId308"/>
    <hyperlink ref="P76" r:id="rId309"/>
    <hyperlink ref="P77" r:id="rId310"/>
    <hyperlink ref="P78" r:id="rId311"/>
    <hyperlink ref="P79" r:id="rId312"/>
    <hyperlink ref="P80" r:id="rId313"/>
    <hyperlink ref="P81" r:id="rId314"/>
    <hyperlink ref="P82" r:id="rId315"/>
    <hyperlink ref="P83" r:id="rId316"/>
    <hyperlink ref="P84" r:id="rId317"/>
    <hyperlink ref="P85" r:id="rId318"/>
    <hyperlink ref="P86" r:id="rId319"/>
    <hyperlink ref="P87" r:id="rId320"/>
    <hyperlink ref="P88" r:id="rId321"/>
    <hyperlink ref="P89" r:id="rId322"/>
    <hyperlink ref="Y5" r:id="rId323"/>
    <hyperlink ref="Y6" r:id="rId324"/>
    <hyperlink ref="Y7" r:id="rId325"/>
    <hyperlink ref="Y8" r:id="rId326"/>
    <hyperlink ref="Y10" r:id="rId327"/>
    <hyperlink ref="Y11" r:id="rId328"/>
    <hyperlink ref="Y12" r:id="rId329"/>
    <hyperlink ref="Y14" r:id="rId330"/>
    <hyperlink ref="Y15" r:id="rId331"/>
    <hyperlink ref="Y16" r:id="rId332"/>
    <hyperlink ref="Y17" r:id="rId333"/>
    <hyperlink ref="Y18" r:id="rId334"/>
    <hyperlink ref="Y19" r:id="rId335"/>
    <hyperlink ref="Y20" r:id="rId336"/>
    <hyperlink ref="Y21" r:id="rId337"/>
    <hyperlink ref="Y22" r:id="rId338"/>
    <hyperlink ref="Y23" r:id="rId339"/>
    <hyperlink ref="Y24" r:id="rId340"/>
    <hyperlink ref="Y25" r:id="rId341"/>
    <hyperlink ref="Y26" r:id="rId342"/>
    <hyperlink ref="Y27" r:id="rId343"/>
    <hyperlink ref="Y28" r:id="rId344"/>
    <hyperlink ref="Y29" r:id="rId345"/>
    <hyperlink ref="Y30" r:id="rId346"/>
    <hyperlink ref="Y31" r:id="rId347"/>
    <hyperlink ref="Y33" r:id="rId348"/>
    <hyperlink ref="Y34" r:id="rId349"/>
    <hyperlink ref="Y37" r:id="rId350"/>
    <hyperlink ref="Y39" r:id="rId351"/>
    <hyperlink ref="Y41" r:id="rId352"/>
    <hyperlink ref="Y42" r:id="rId353"/>
    <hyperlink ref="Y43" r:id="rId354"/>
    <hyperlink ref="Y44" r:id="rId355"/>
    <hyperlink ref="Y45" r:id="rId356"/>
    <hyperlink ref="Y46" r:id="rId357"/>
    <hyperlink ref="Y47" r:id="rId358"/>
    <hyperlink ref="Y48" r:id="rId359"/>
    <hyperlink ref="Y50" r:id="rId360"/>
    <hyperlink ref="Y51" r:id="rId361"/>
    <hyperlink ref="Y52" r:id="rId362"/>
    <hyperlink ref="Y54" r:id="rId363"/>
    <hyperlink ref="Y55" r:id="rId364"/>
    <hyperlink ref="Y56" r:id="rId365"/>
    <hyperlink ref="Y57" r:id="rId366"/>
    <hyperlink ref="Y62" r:id="rId367"/>
    <hyperlink ref="Y63" r:id="rId368"/>
    <hyperlink ref="Y66" r:id="rId369"/>
    <hyperlink ref="Y67" r:id="rId370"/>
    <hyperlink ref="Y72" r:id="rId371"/>
    <hyperlink ref="Y73" r:id="rId372"/>
    <hyperlink ref="Y74" r:id="rId373"/>
    <hyperlink ref="Y75" r:id="rId374"/>
    <hyperlink ref="Y76" r:id="rId375"/>
    <hyperlink ref="Y77" r:id="rId376"/>
    <hyperlink ref="Y78" r:id="rId377"/>
    <hyperlink ref="Y80" r:id="rId378"/>
    <hyperlink ref="Y81" r:id="rId379"/>
    <hyperlink ref="Y82" r:id="rId380"/>
    <hyperlink ref="Y84" r:id="rId381"/>
    <hyperlink ref="Y85" r:id="rId382"/>
    <hyperlink ref="Y86" r:id="rId383"/>
    <hyperlink ref="Y87" r:id="rId384"/>
    <hyperlink ref="Y88" r:id="rId385"/>
    <hyperlink ref="Y89" r:id="rId386"/>
    <hyperlink ref="V32" r:id="rId387"/>
    <hyperlink ref="V60" r:id="rId388"/>
    <hyperlink ref="V34" r:id="rId389" display="=IFERROR(VLOOKUP($C50, DataFromWikipedia!A:T, 17, FALSE), &quot;&quot;)"/>
  </hyperlinks>
  <pageMargins left="0.7" right="0.7" top="0.75" bottom="0.75" header="0.3" footer="0.3"/>
  <pageSetup paperSize="9" orientation="portrait" r:id="rId39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3"/>
  <sheetViews>
    <sheetView showGridLines="0" workbookViewId="0">
      <selection activeCell="C22" sqref="C22"/>
    </sheetView>
  </sheetViews>
  <sheetFormatPr defaultRowHeight="15" x14ac:dyDescent="0.25"/>
  <cols>
    <col min="1" max="1" width="6" style="2" customWidth="1"/>
    <col min="2" max="3" width="52.42578125" style="2" customWidth="1"/>
    <col min="4" max="4" width="2.42578125" style="46" customWidth="1"/>
    <col min="5" max="5" width="52.42578125" style="42" customWidth="1"/>
    <col min="6" max="6" width="17.5703125" style="42" customWidth="1"/>
    <col min="7" max="7" width="23" style="42" customWidth="1"/>
    <col min="8" max="8" width="4.140625" style="42" customWidth="1"/>
    <col min="9" max="9" width="60.140625" style="42" customWidth="1"/>
    <col min="10" max="16384" width="9.140625" style="2"/>
  </cols>
  <sheetData>
    <row r="1" spans="1:8" ht="33.75" customHeight="1" x14ac:dyDescent="0.25">
      <c r="A1" s="16" t="s">
        <v>213</v>
      </c>
      <c r="E1" s="44" t="s">
        <v>1125</v>
      </c>
    </row>
    <row r="2" spans="1:8" x14ac:dyDescent="0.25">
      <c r="B2" s="17" t="s">
        <v>214</v>
      </c>
      <c r="G2" s="45"/>
      <c r="H2" s="45"/>
    </row>
    <row r="3" spans="1:8" ht="168" customHeight="1" x14ac:dyDescent="0.25">
      <c r="B3" s="18" t="s">
        <v>1126</v>
      </c>
      <c r="C3" s="7"/>
      <c r="D3" s="47"/>
      <c r="G3" s="43"/>
    </row>
    <row r="6" spans="1:8" x14ac:dyDescent="0.25">
      <c r="B6" s="14" t="s">
        <v>208</v>
      </c>
      <c r="C6" s="15" t="s">
        <v>209</v>
      </c>
    </row>
    <row r="7" spans="1:8" x14ac:dyDescent="0.25">
      <c r="B7" s="8" t="s">
        <v>205</v>
      </c>
      <c r="C7" s="9" t="s">
        <v>28</v>
      </c>
    </row>
    <row r="8" spans="1:8" x14ac:dyDescent="0.25">
      <c r="B8" s="31" t="s">
        <v>1110</v>
      </c>
      <c r="C8" s="32" t="s">
        <v>472</v>
      </c>
    </row>
    <row r="9" spans="1:8" x14ac:dyDescent="0.25">
      <c r="B9" s="10" t="s">
        <v>206</v>
      </c>
      <c r="C9" s="11" t="s">
        <v>76</v>
      </c>
    </row>
    <row r="10" spans="1:8" x14ac:dyDescent="0.25">
      <c r="B10" s="10" t="s">
        <v>212</v>
      </c>
      <c r="C10" s="11" t="s">
        <v>108</v>
      </c>
    </row>
    <row r="11" spans="1:8" x14ac:dyDescent="0.25">
      <c r="B11" s="10" t="s">
        <v>207</v>
      </c>
      <c r="C11" s="11" t="s">
        <v>1106</v>
      </c>
    </row>
    <row r="12" spans="1:8" x14ac:dyDescent="0.25">
      <c r="B12" s="12" t="s">
        <v>211</v>
      </c>
      <c r="C12" s="13" t="s">
        <v>1108</v>
      </c>
    </row>
    <row r="13" spans="1:8" x14ac:dyDescent="0.25">
      <c r="B13" s="69" t="s">
        <v>210</v>
      </c>
      <c r="C13" s="70"/>
    </row>
  </sheetData>
  <mergeCells count="1">
    <mergeCell ref="B13:C1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34998626667073579"/>
  </sheetPr>
  <dimension ref="A1:X133"/>
  <sheetViews>
    <sheetView workbookViewId="0">
      <pane xSplit="2" ySplit="1" topLeftCell="I2" activePane="bottomRight" state="frozen"/>
      <selection pane="topRight" activeCell="C1" sqref="C1"/>
      <selection pane="bottomLeft" activeCell="A2" sqref="A2"/>
      <selection pane="bottomRight" activeCell="C2" sqref="C2"/>
    </sheetView>
  </sheetViews>
  <sheetFormatPr defaultColWidth="13.85546875" defaultRowHeight="15" x14ac:dyDescent="0.25"/>
  <cols>
    <col min="1" max="1" width="14" style="19" bestFit="1" customWidth="1"/>
    <col min="2" max="2" width="55.85546875" style="19" customWidth="1"/>
    <col min="3" max="3" width="31.5703125" style="19" bestFit="1" customWidth="1"/>
    <col min="4" max="6" width="31.5703125" style="19" customWidth="1"/>
    <col min="7" max="7" width="10.5703125" style="19" bestFit="1" customWidth="1"/>
    <col min="8" max="8" width="12.140625" style="19" bestFit="1" customWidth="1"/>
    <col min="9" max="9" width="96" style="25" bestFit="1" customWidth="1"/>
    <col min="10" max="10" width="15" style="19" bestFit="1" customWidth="1"/>
    <col min="11" max="12" width="15" style="19" customWidth="1"/>
    <col min="13" max="13" width="34.7109375" style="19" bestFit="1" customWidth="1"/>
    <col min="14" max="14" width="26.85546875" style="19" bestFit="1" customWidth="1"/>
    <col min="15" max="15" width="65.28515625" style="25" bestFit="1" customWidth="1"/>
    <col min="16" max="16" width="48.7109375" style="25" bestFit="1" customWidth="1"/>
    <col min="17" max="17" width="34.28515625" style="25" bestFit="1" customWidth="1"/>
    <col min="18" max="18" width="30.28515625" style="19" bestFit="1" customWidth="1"/>
    <col min="19" max="19" width="74.7109375" style="19" bestFit="1" customWidth="1"/>
    <col min="20" max="20" width="58.140625" style="25" bestFit="1" customWidth="1"/>
    <col min="21" max="22" width="74.7109375" style="25" customWidth="1"/>
    <col min="23" max="16384" width="13.85546875" style="19"/>
  </cols>
  <sheetData>
    <row r="1" spans="1:24" s="21" customFormat="1" x14ac:dyDescent="0.25">
      <c r="A1" s="21" t="s">
        <v>215</v>
      </c>
      <c r="B1" s="21" t="s">
        <v>27</v>
      </c>
      <c r="C1" s="21" t="s">
        <v>468</v>
      </c>
      <c r="D1" s="29" t="s">
        <v>1109</v>
      </c>
      <c r="E1" s="23" t="s">
        <v>1103</v>
      </c>
      <c r="F1" s="23" t="s">
        <v>204</v>
      </c>
      <c r="G1" s="23" t="s">
        <v>202</v>
      </c>
      <c r="H1" s="23" t="s">
        <v>203</v>
      </c>
      <c r="I1" s="21" t="s">
        <v>469</v>
      </c>
      <c r="J1" s="29" t="s">
        <v>72</v>
      </c>
      <c r="K1" s="29" t="s">
        <v>73</v>
      </c>
      <c r="L1" s="29" t="s">
        <v>74</v>
      </c>
      <c r="M1" s="29" t="s">
        <v>470</v>
      </c>
      <c r="N1" s="29" t="s">
        <v>471</v>
      </c>
      <c r="O1" s="30" t="s">
        <v>472</v>
      </c>
      <c r="P1" s="30" t="s">
        <v>28</v>
      </c>
      <c r="Q1" s="27" t="s">
        <v>1107</v>
      </c>
      <c r="R1" s="22" t="s">
        <v>1105</v>
      </c>
      <c r="S1" s="22" t="s">
        <v>1104</v>
      </c>
      <c r="T1" s="28" t="s">
        <v>108</v>
      </c>
      <c r="U1" s="24" t="s">
        <v>76</v>
      </c>
      <c r="V1" s="24" t="s">
        <v>1108</v>
      </c>
      <c r="W1" s="21" t="s">
        <v>874</v>
      </c>
      <c r="X1" s="21" t="s">
        <v>875</v>
      </c>
    </row>
    <row r="2" spans="1:24" x14ac:dyDescent="0.25">
      <c r="A2" s="19" t="s">
        <v>29</v>
      </c>
      <c r="B2" s="19" t="s">
        <v>26</v>
      </c>
      <c r="C2" s="19" t="s">
        <v>487</v>
      </c>
      <c r="D2" s="19" t="s">
        <v>274</v>
      </c>
      <c r="E2" s="19" t="str">
        <f>IFERROR(VLOOKUP(C2,#REF!, 9, FALSE), "")</f>
        <v/>
      </c>
      <c r="F2" s="19" t="str">
        <f>IF("" &lt;&gt; D2, D2, E2)</f>
        <v>E8 4EZ</v>
      </c>
      <c r="G2">
        <v>51.538626000000001</v>
      </c>
      <c r="H2">
        <v>-7.0954411999999994E-2</v>
      </c>
      <c r="I2" s="26" t="s">
        <v>293</v>
      </c>
      <c r="J2" s="19">
        <v>230</v>
      </c>
      <c r="P2"/>
      <c r="Q2" s="26" t="str">
        <f>IFERROR(VLOOKUP($C2,#REF!, 17, FALSE), "")</f>
        <v/>
      </c>
      <c r="R2" s="19" t="str">
        <f>IFERROR(VLOOKUP(C2,#REF!, 15, FALSE), "")</f>
        <v/>
      </c>
      <c r="S2" s="19" t="str">
        <f>IFERROR(VLOOKUP(C2,#REF!, 14, FALSE), "")</f>
        <v/>
      </c>
      <c r="T2" t="s">
        <v>77</v>
      </c>
      <c r="U2" s="25" t="s">
        <v>77</v>
      </c>
      <c r="V2" s="25" t="s">
        <v>77</v>
      </c>
      <c r="W2" s="19" t="s">
        <v>876</v>
      </c>
      <c r="X2" s="19" t="s">
        <v>877</v>
      </c>
    </row>
    <row r="3" spans="1:24" x14ac:dyDescent="0.25">
      <c r="A3" s="19" t="s">
        <v>29</v>
      </c>
      <c r="B3" s="19" t="s">
        <v>492</v>
      </c>
      <c r="C3" s="19" t="s">
        <v>493</v>
      </c>
      <c r="D3" s="19" t="s">
        <v>222</v>
      </c>
      <c r="E3" s="19" t="str">
        <f>IFERROR(VLOOKUP(C3,#REF!, 9, FALSE), "")</f>
        <v/>
      </c>
      <c r="F3" s="19" t="str">
        <f t="shared" ref="F3:F66" si="0">IF("" &lt;&gt; D3, D3, E3)</f>
        <v>E5 0AJ</v>
      </c>
      <c r="G3">
        <v>51.555081000000001</v>
      </c>
      <c r="H3">
        <v>-4.1003534000000001E-2</v>
      </c>
      <c r="I3" s="26" t="s">
        <v>297</v>
      </c>
      <c r="J3" s="19">
        <v>33</v>
      </c>
      <c r="P3" s="26" t="s">
        <v>878</v>
      </c>
      <c r="Q3" s="26" t="str">
        <f>IFERROR(VLOOKUP($C3,#REF!, 17, FALSE), "")</f>
        <v/>
      </c>
      <c r="R3" s="19" t="str">
        <f>IFERROR(VLOOKUP(C3,#REF!, 15, FALSE), "")</f>
        <v/>
      </c>
      <c r="S3" s="19" t="str">
        <f>IFERROR(VLOOKUP(C3,#REF!, 14, FALSE), "")</f>
        <v/>
      </c>
      <c r="T3" t="s">
        <v>77</v>
      </c>
      <c r="U3" s="25" t="s">
        <v>77</v>
      </c>
      <c r="V3" s="25" t="s">
        <v>77</v>
      </c>
      <c r="W3" s="19" t="s">
        <v>879</v>
      </c>
      <c r="X3" s="19" t="s">
        <v>880</v>
      </c>
    </row>
    <row r="4" spans="1:24" x14ac:dyDescent="0.25">
      <c r="A4" s="19" t="s">
        <v>29</v>
      </c>
      <c r="B4" s="19" t="s">
        <v>497</v>
      </c>
      <c r="C4" s="19" t="s">
        <v>493</v>
      </c>
      <c r="D4" s="19" t="s">
        <v>881</v>
      </c>
      <c r="E4" s="19" t="str">
        <f>IFERROR(VLOOKUP(C4,#REF!, 9, FALSE), "")</f>
        <v/>
      </c>
      <c r="F4" s="19" t="str">
        <f t="shared" si="0"/>
        <v>E9 5QB</v>
      </c>
      <c r="G4">
        <v>51.550069000000001</v>
      </c>
      <c r="H4">
        <v>-3.4872372999999998E-2</v>
      </c>
      <c r="I4" s="26" t="s">
        <v>298</v>
      </c>
      <c r="J4" s="19">
        <v>26</v>
      </c>
      <c r="M4" s="19" t="s">
        <v>499</v>
      </c>
      <c r="N4" s="19" t="s">
        <v>500</v>
      </c>
      <c r="O4" s="26" t="s">
        <v>501</v>
      </c>
      <c r="P4" s="26" t="s">
        <v>882</v>
      </c>
      <c r="Q4" s="26" t="str">
        <f>IFERROR(VLOOKUP($C4,#REF!, 17, FALSE), "")</f>
        <v/>
      </c>
      <c r="R4" s="19" t="str">
        <f>IFERROR(VLOOKUP(C4,#REF!, 15, FALSE), "")</f>
        <v/>
      </c>
      <c r="S4" s="19" t="str">
        <f>IFERROR(VLOOKUP(C4,#REF!, 14, FALSE), "")</f>
        <v/>
      </c>
      <c r="T4" t="s">
        <v>77</v>
      </c>
      <c r="U4" s="25" t="s">
        <v>77</v>
      </c>
      <c r="V4" s="25" t="s">
        <v>77</v>
      </c>
      <c r="W4" s="19" t="s">
        <v>883</v>
      </c>
      <c r="X4" s="19" t="s">
        <v>884</v>
      </c>
    </row>
    <row r="5" spans="1:24" x14ac:dyDescent="0.25">
      <c r="A5" s="19" t="s">
        <v>29</v>
      </c>
      <c r="B5" s="19" t="s">
        <v>17</v>
      </c>
      <c r="C5" s="19" t="s">
        <v>557</v>
      </c>
      <c r="E5" s="19" t="str">
        <f>IFERROR(VLOOKUP(C5,#REF!, 9, FALSE), "")</f>
        <v/>
      </c>
      <c r="F5" s="19" t="str">
        <f t="shared" si="0"/>
        <v/>
      </c>
      <c r="G5">
        <v>51.533785000000002</v>
      </c>
      <c r="H5">
        <v>-8.2290278999999994E-2</v>
      </c>
      <c r="I5" s="26" t="s">
        <v>334</v>
      </c>
      <c r="J5" s="19">
        <v>0</v>
      </c>
      <c r="M5" s="19" t="s">
        <v>559</v>
      </c>
      <c r="N5" s="19" t="s">
        <v>560</v>
      </c>
      <c r="O5" s="26" t="s">
        <v>561</v>
      </c>
      <c r="P5" s="26" t="s">
        <v>885</v>
      </c>
      <c r="Q5" s="26" t="str">
        <f>IFERROR(VLOOKUP($C5,#REF!, 17, FALSE), "")</f>
        <v/>
      </c>
      <c r="R5" s="19" t="str">
        <f>IFERROR(VLOOKUP(C5,#REF!, 15, FALSE), "")</f>
        <v/>
      </c>
      <c r="S5" s="19" t="str">
        <f>IFERROR(VLOOKUP(C5,#REF!, 14, FALSE), "")</f>
        <v/>
      </c>
      <c r="T5" s="26" t="s">
        <v>117</v>
      </c>
      <c r="U5" s="25">
        <v>0</v>
      </c>
      <c r="V5" s="26" t="s">
        <v>159</v>
      </c>
    </row>
    <row r="6" spans="1:24" x14ac:dyDescent="0.25">
      <c r="A6" s="19" t="s">
        <v>29</v>
      </c>
      <c r="B6" s="19" t="s">
        <v>598</v>
      </c>
      <c r="C6" s="19" t="s">
        <v>599</v>
      </c>
      <c r="E6" s="19" t="str">
        <f>IFERROR(VLOOKUP(C6,#REF!, 9, FALSE), "")</f>
        <v/>
      </c>
      <c r="F6" s="19" t="str">
        <f t="shared" si="0"/>
        <v/>
      </c>
      <c r="G6"/>
      <c r="H6"/>
      <c r="I6" s="26" t="s">
        <v>600</v>
      </c>
      <c r="J6" s="19">
        <v>0</v>
      </c>
      <c r="M6" s="19" t="s">
        <v>582</v>
      </c>
      <c r="N6" s="19" t="s">
        <v>572</v>
      </c>
      <c r="O6" s="26" t="s">
        <v>604</v>
      </c>
      <c r="P6" s="26" t="s">
        <v>886</v>
      </c>
      <c r="Q6" s="26" t="str">
        <f>IFERROR(VLOOKUP($C6,#REF!, 17, FALSE), "")</f>
        <v/>
      </c>
      <c r="R6" s="19" t="str">
        <f>IFERROR(VLOOKUP(C6,#REF!, 15, FALSE), "")</f>
        <v/>
      </c>
      <c r="S6" s="19" t="str">
        <f>IFERROR(VLOOKUP(C6,#REF!, 14, FALSE), "")</f>
        <v/>
      </c>
      <c r="T6" t="s">
        <v>77</v>
      </c>
      <c r="U6" s="25" t="s">
        <v>77</v>
      </c>
      <c r="V6" s="25" t="s">
        <v>77</v>
      </c>
    </row>
    <row r="7" spans="1:24" x14ac:dyDescent="0.25">
      <c r="A7" s="19" t="s">
        <v>29</v>
      </c>
      <c r="B7" s="19" t="s">
        <v>292</v>
      </c>
      <c r="C7" s="19" t="s">
        <v>484</v>
      </c>
      <c r="D7" s="19" t="s">
        <v>887</v>
      </c>
      <c r="E7" s="19" t="str">
        <f>IFERROR(VLOOKUP(C7,#REF!, 9, FALSE), "")</f>
        <v/>
      </c>
      <c r="F7" s="19" t="str">
        <f t="shared" si="0"/>
        <v>E8 3DY</v>
      </c>
      <c r="G7">
        <v>51.545293999999998</v>
      </c>
      <c r="H7">
        <v>-7.3383817000000004E-2</v>
      </c>
      <c r="I7" s="26" t="s">
        <v>291</v>
      </c>
      <c r="J7" s="19">
        <v>230</v>
      </c>
      <c r="P7"/>
      <c r="Q7" s="26" t="str">
        <f>IFERROR(VLOOKUP($C7,#REF!, 17, FALSE), "")</f>
        <v/>
      </c>
      <c r="R7" s="19" t="str">
        <f>IFERROR(VLOOKUP(C7,#REF!, 15, FALSE), "")</f>
        <v/>
      </c>
      <c r="S7" s="19" t="str">
        <f>IFERROR(VLOOKUP(C7,#REF!, 14, FALSE), "")</f>
        <v/>
      </c>
      <c r="T7" s="26" t="s">
        <v>111</v>
      </c>
      <c r="U7" s="25">
        <v>0</v>
      </c>
      <c r="V7" s="26" t="s">
        <v>149</v>
      </c>
      <c r="W7" s="19" t="s">
        <v>876</v>
      </c>
      <c r="X7" s="19" t="s">
        <v>877</v>
      </c>
    </row>
    <row r="8" spans="1:24" x14ac:dyDescent="0.25">
      <c r="A8" s="19" t="s">
        <v>29</v>
      </c>
      <c r="B8" s="19" t="s">
        <v>290</v>
      </c>
      <c r="C8" s="19" t="s">
        <v>481</v>
      </c>
      <c r="D8" s="19" t="s">
        <v>273</v>
      </c>
      <c r="E8" s="19" t="str">
        <f>IFERROR(VLOOKUP(C8,#REF!, 9, FALSE), "")</f>
        <v/>
      </c>
      <c r="F8" s="19" t="str">
        <f t="shared" si="0"/>
        <v>E8 4EP</v>
      </c>
      <c r="G8">
        <v>51.540160999999998</v>
      </c>
      <c r="H8">
        <v>-7.4624451999999994E-2</v>
      </c>
      <c r="I8" s="26" t="s">
        <v>289</v>
      </c>
      <c r="J8" s="19">
        <v>230</v>
      </c>
      <c r="M8" s="19" t="s">
        <v>485</v>
      </c>
      <c r="N8" s="19" t="s">
        <v>470</v>
      </c>
      <c r="O8" s="26" t="s">
        <v>486</v>
      </c>
      <c r="P8"/>
      <c r="Q8" s="26" t="str">
        <f>IFERROR(VLOOKUP($C8,#REF!, 17, FALSE), "")</f>
        <v/>
      </c>
      <c r="R8" s="19" t="str">
        <f>IFERROR(VLOOKUP(C8,#REF!, 15, FALSE), "")</f>
        <v/>
      </c>
      <c r="S8" s="19" t="str">
        <f>IFERROR(VLOOKUP(C8,#REF!, 14, FALSE), "")</f>
        <v/>
      </c>
      <c r="T8" s="26" t="s">
        <v>111</v>
      </c>
      <c r="U8" s="25">
        <v>0</v>
      </c>
      <c r="V8" s="26" t="s">
        <v>149</v>
      </c>
      <c r="W8" s="19" t="s">
        <v>876</v>
      </c>
      <c r="X8" s="19" t="s">
        <v>877</v>
      </c>
    </row>
    <row r="9" spans="1:24" x14ac:dyDescent="0.25">
      <c r="A9" s="19" t="s">
        <v>29</v>
      </c>
      <c r="B9" s="19" t="s">
        <v>323</v>
      </c>
      <c r="C9" s="19" t="s">
        <v>538</v>
      </c>
      <c r="D9" s="19" t="s">
        <v>276</v>
      </c>
      <c r="E9" s="19" t="str">
        <f>IFERROR(VLOOKUP(C9,#REF!, 9, FALSE), "")</f>
        <v/>
      </c>
      <c r="F9" s="19" t="str">
        <f t="shared" si="0"/>
        <v>N1 7QG</v>
      </c>
      <c r="G9">
        <v>51.530898000000001</v>
      </c>
      <c r="H9">
        <v>-9.1624536000000006E-2</v>
      </c>
      <c r="I9" s="26" t="s">
        <v>322</v>
      </c>
      <c r="J9" s="19">
        <v>53</v>
      </c>
      <c r="M9" s="19" t="s">
        <v>542</v>
      </c>
      <c r="N9" s="19" t="s">
        <v>470</v>
      </c>
      <c r="O9" s="26" t="s">
        <v>543</v>
      </c>
      <c r="P9"/>
      <c r="Q9" s="26" t="str">
        <f>IFERROR(VLOOKUP($C9,#REF!, 17, FALSE), "")</f>
        <v/>
      </c>
      <c r="R9" s="19" t="str">
        <f>IFERROR(VLOOKUP(C9,#REF!, 15, FALSE), "")</f>
        <v/>
      </c>
      <c r="S9" s="19" t="str">
        <f>IFERROR(VLOOKUP(C9,#REF!, 14, FALSE), "")</f>
        <v/>
      </c>
      <c r="T9" s="26" t="s">
        <v>117</v>
      </c>
      <c r="U9" s="25">
        <v>0</v>
      </c>
      <c r="V9" s="26" t="s">
        <v>158</v>
      </c>
      <c r="W9" s="19" t="s">
        <v>888</v>
      </c>
      <c r="X9" s="19" t="s">
        <v>889</v>
      </c>
    </row>
    <row r="10" spans="1:24" x14ac:dyDescent="0.25">
      <c r="A10" s="19" t="s">
        <v>29</v>
      </c>
      <c r="B10" s="19" t="s">
        <v>339</v>
      </c>
      <c r="C10" s="19" t="s">
        <v>605</v>
      </c>
      <c r="E10" s="19" t="str">
        <f>IFERROR(VLOOKUP(C10,#REF!, 9, FALSE), "")</f>
        <v/>
      </c>
      <c r="F10" s="19" t="str">
        <f t="shared" si="0"/>
        <v/>
      </c>
      <c r="G10"/>
      <c r="H10"/>
      <c r="I10" s="26" t="s">
        <v>338</v>
      </c>
      <c r="J10" s="19">
        <v>0</v>
      </c>
      <c r="P10"/>
      <c r="Q10" s="26" t="str">
        <f>IFERROR(VLOOKUP($C10,#REF!, 17, FALSE), "")</f>
        <v/>
      </c>
      <c r="R10" s="19" t="str">
        <f>IFERROR(VLOOKUP(C10,#REF!, 15, FALSE), "")</f>
        <v/>
      </c>
      <c r="S10" s="19" t="str">
        <f>IFERROR(VLOOKUP(C10,#REF!, 14, FALSE), "")</f>
        <v/>
      </c>
      <c r="T10" t="s">
        <v>77</v>
      </c>
      <c r="U10" s="25" t="s">
        <v>77</v>
      </c>
      <c r="V10" s="25" t="s">
        <v>77</v>
      </c>
    </row>
    <row r="11" spans="1:24" x14ac:dyDescent="0.25">
      <c r="A11" s="19" t="s">
        <v>29</v>
      </c>
      <c r="B11" s="19" t="s">
        <v>284</v>
      </c>
      <c r="C11" s="19" t="s">
        <v>473</v>
      </c>
      <c r="D11" s="19" t="s">
        <v>890</v>
      </c>
      <c r="E11" s="19" t="str">
        <f>IFERROR(VLOOKUP(C11,#REF!, 9, FALSE), "")</f>
        <v/>
      </c>
      <c r="F11" s="19" t="str">
        <f t="shared" si="0"/>
        <v>E5 0PD</v>
      </c>
      <c r="G11">
        <v>51.550592000000002</v>
      </c>
      <c r="H11">
        <v>-5.2230775E-2</v>
      </c>
      <c r="I11" s="26" t="s">
        <v>283</v>
      </c>
      <c r="J11" s="19">
        <v>251</v>
      </c>
      <c r="M11" s="19" t="s">
        <v>475</v>
      </c>
      <c r="N11" s="19" t="s">
        <v>470</v>
      </c>
      <c r="O11" s="26" t="s">
        <v>476</v>
      </c>
      <c r="P11" s="26" t="s">
        <v>891</v>
      </c>
      <c r="Q11" s="26" t="str">
        <f>IFERROR(VLOOKUP($C11,#REF!, 17, FALSE), "")</f>
        <v/>
      </c>
      <c r="R11" s="19" t="str">
        <f>IFERROR(VLOOKUP(C11,#REF!, 15, FALSE), "")</f>
        <v/>
      </c>
      <c r="S11" s="19" t="str">
        <f>IFERROR(VLOOKUP(C11,#REF!, 14, FALSE), "")</f>
        <v/>
      </c>
      <c r="T11" t="s">
        <v>77</v>
      </c>
      <c r="U11" s="25" t="s">
        <v>77</v>
      </c>
      <c r="V11" s="25" t="s">
        <v>77</v>
      </c>
      <c r="W11" s="19" t="s">
        <v>892</v>
      </c>
      <c r="X11" s="19" t="s">
        <v>893</v>
      </c>
    </row>
    <row r="12" spans="1:24" x14ac:dyDescent="0.25">
      <c r="A12" s="19" t="s">
        <v>29</v>
      </c>
      <c r="B12" s="19" t="s">
        <v>336</v>
      </c>
      <c r="C12" s="19" t="s">
        <v>558</v>
      </c>
      <c r="E12" s="19" t="str">
        <f>IFERROR(VLOOKUP(C12,#REF!, 9, FALSE), "")</f>
        <v/>
      </c>
      <c r="F12" s="19" t="str">
        <f t="shared" si="0"/>
        <v/>
      </c>
      <c r="G12"/>
      <c r="H12"/>
      <c r="I12" s="26" t="s">
        <v>335</v>
      </c>
      <c r="J12" s="19">
        <v>0</v>
      </c>
      <c r="M12" s="19" t="s">
        <v>565</v>
      </c>
      <c r="N12" s="19" t="s">
        <v>566</v>
      </c>
      <c r="O12" s="26" t="s">
        <v>567</v>
      </c>
      <c r="P12" s="26" t="s">
        <v>894</v>
      </c>
      <c r="Q12" s="26" t="str">
        <f>IFERROR(VLOOKUP($C12,#REF!, 17, FALSE), "")</f>
        <v/>
      </c>
      <c r="R12" s="19" t="str">
        <f>IFERROR(VLOOKUP(C12,#REF!, 15, FALSE), "")</f>
        <v/>
      </c>
      <c r="S12" s="19" t="str">
        <f>IFERROR(VLOOKUP(C12,#REF!, 14, FALSE), "")</f>
        <v/>
      </c>
      <c r="T12" t="s">
        <v>77</v>
      </c>
      <c r="U12" s="25" t="s">
        <v>77</v>
      </c>
      <c r="V12" s="25" t="s">
        <v>77</v>
      </c>
    </row>
    <row r="13" spans="1:24" x14ac:dyDescent="0.25">
      <c r="A13" s="19" t="s">
        <v>29</v>
      </c>
      <c r="B13" s="19" t="s">
        <v>310</v>
      </c>
      <c r="C13" s="19" t="s">
        <v>517</v>
      </c>
      <c r="D13" s="19" t="s">
        <v>277</v>
      </c>
      <c r="E13" s="19" t="str">
        <f>IFERROR(VLOOKUP(C13,#REF!, 9, FALSE), "")</f>
        <v/>
      </c>
      <c r="F13" s="19" t="str">
        <f t="shared" si="0"/>
        <v>N16 5DU</v>
      </c>
      <c r="G13">
        <v>51.571281999999997</v>
      </c>
      <c r="H13">
        <v>-8.1044531000000003E-2</v>
      </c>
      <c r="I13" s="26" t="s">
        <v>309</v>
      </c>
      <c r="J13" s="19">
        <v>47</v>
      </c>
      <c r="M13" s="19" t="s">
        <v>521</v>
      </c>
      <c r="N13" s="19" t="s">
        <v>479</v>
      </c>
      <c r="O13" s="26" t="s">
        <v>522</v>
      </c>
      <c r="P13" s="26" t="s">
        <v>895</v>
      </c>
      <c r="Q13" s="26" t="str">
        <f>IFERROR(VLOOKUP($C13,#REF!, 17, FALSE), "")</f>
        <v/>
      </c>
      <c r="R13" s="19" t="str">
        <f>IFERROR(VLOOKUP(C13,#REF!, 15, FALSE), "")</f>
        <v/>
      </c>
      <c r="S13" s="19" t="str">
        <f>IFERROR(VLOOKUP(C13,#REF!, 14, FALSE), "")</f>
        <v/>
      </c>
      <c r="T13" s="26" t="s">
        <v>119</v>
      </c>
      <c r="U13" s="26" t="s">
        <v>86</v>
      </c>
      <c r="V13" s="26" t="s">
        <v>163</v>
      </c>
      <c r="W13" s="19" t="s">
        <v>896</v>
      </c>
      <c r="X13" s="19" t="s">
        <v>897</v>
      </c>
    </row>
    <row r="14" spans="1:24" x14ac:dyDescent="0.25">
      <c r="A14" s="19" t="s">
        <v>29</v>
      </c>
      <c r="B14" s="19" t="s">
        <v>321</v>
      </c>
      <c r="C14" s="19" t="s">
        <v>535</v>
      </c>
      <c r="D14" s="19" t="s">
        <v>227</v>
      </c>
      <c r="E14" s="19" t="str">
        <f>IFERROR(VLOOKUP(C14,#REF!, 9, FALSE), "")</f>
        <v/>
      </c>
      <c r="F14" s="19" t="str">
        <f t="shared" si="0"/>
        <v>N1 5LF</v>
      </c>
      <c r="G14">
        <v>51.533785000000002</v>
      </c>
      <c r="H14">
        <v>-8.2290278999999994E-2</v>
      </c>
      <c r="I14" s="26" t="s">
        <v>320</v>
      </c>
      <c r="J14" s="19">
        <v>95</v>
      </c>
      <c r="M14" s="19" t="s">
        <v>539</v>
      </c>
      <c r="N14" s="19" t="s">
        <v>470</v>
      </c>
      <c r="O14" s="26" t="s">
        <v>540</v>
      </c>
      <c r="P14" s="26" t="s">
        <v>898</v>
      </c>
      <c r="Q14" s="26" t="str">
        <f>IFERROR(VLOOKUP($C14,#REF!, 17, FALSE), "")</f>
        <v/>
      </c>
      <c r="R14" s="19" t="str">
        <f>IFERROR(VLOOKUP(C14,#REF!, 15, FALSE), "")</f>
        <v/>
      </c>
      <c r="S14" s="19" t="str">
        <f>IFERROR(VLOOKUP(C14,#REF!, 14, FALSE), "")</f>
        <v/>
      </c>
      <c r="T14" s="26" t="s">
        <v>117</v>
      </c>
      <c r="U14" s="25">
        <v>0</v>
      </c>
      <c r="V14" s="26" t="s">
        <v>159</v>
      </c>
      <c r="W14" s="19" t="s">
        <v>899</v>
      </c>
      <c r="X14" s="19" t="s">
        <v>900</v>
      </c>
    </row>
    <row r="15" spans="1:24" x14ac:dyDescent="0.25">
      <c r="A15" s="19" t="s">
        <v>29</v>
      </c>
      <c r="B15" s="19" t="s">
        <v>333</v>
      </c>
      <c r="C15" s="19" t="s">
        <v>554</v>
      </c>
      <c r="E15" s="19" t="str">
        <f>IFERROR(VLOOKUP(C15,#REF!, 9, FALSE), "")</f>
        <v/>
      </c>
      <c r="F15" s="19" t="str">
        <f t="shared" si="0"/>
        <v/>
      </c>
      <c r="G15">
        <v>51.548628999999998</v>
      </c>
      <c r="H15">
        <v>-4.3458628999999999E-2</v>
      </c>
      <c r="I15" s="26" t="s">
        <v>332</v>
      </c>
      <c r="J15" s="19">
        <v>0</v>
      </c>
      <c r="P15" s="26" t="s">
        <v>901</v>
      </c>
      <c r="Q15" s="26" t="str">
        <f>IFERROR(VLOOKUP($C15,#REF!, 17, FALSE), "")</f>
        <v/>
      </c>
      <c r="R15" s="19" t="str">
        <f>IFERROR(VLOOKUP(C15,#REF!, 15, FALSE), "")</f>
        <v/>
      </c>
      <c r="S15" s="19" t="str">
        <f>IFERROR(VLOOKUP(C15,#REF!, 14, FALSE), "")</f>
        <v/>
      </c>
      <c r="T15">
        <v>0</v>
      </c>
      <c r="U15" s="25">
        <v>0</v>
      </c>
      <c r="V15" s="26" t="s">
        <v>152</v>
      </c>
    </row>
    <row r="16" spans="1:24" x14ac:dyDescent="0.25">
      <c r="A16" s="19" t="s">
        <v>29</v>
      </c>
      <c r="B16" s="19" t="s">
        <v>8</v>
      </c>
      <c r="C16" s="19" t="s">
        <v>489</v>
      </c>
      <c r="D16" s="19" t="s">
        <v>221</v>
      </c>
      <c r="E16" s="19" t="str">
        <f>IFERROR(VLOOKUP(C16,#REF!, 9, FALSE), "")</f>
        <v/>
      </c>
      <c r="F16" s="19" t="str">
        <f t="shared" si="0"/>
        <v>E9 6DL</v>
      </c>
      <c r="G16">
        <v>51.548628999999998</v>
      </c>
      <c r="H16">
        <v>-4.3458628999999999E-2</v>
      </c>
      <c r="I16" s="26" t="s">
        <v>296</v>
      </c>
      <c r="J16" s="19">
        <v>115</v>
      </c>
      <c r="M16" s="19" t="s">
        <v>494</v>
      </c>
      <c r="N16" s="19" t="s">
        <v>495</v>
      </c>
      <c r="O16" s="26" t="s">
        <v>496</v>
      </c>
      <c r="P16"/>
      <c r="Q16" s="26" t="str">
        <f>IFERROR(VLOOKUP($C16,#REF!, 17, FALSE), "")</f>
        <v/>
      </c>
      <c r="R16" s="19" t="str">
        <f>IFERROR(VLOOKUP(C16,#REF!, 15, FALSE), "")</f>
        <v/>
      </c>
      <c r="S16" s="19" t="str">
        <f>IFERROR(VLOOKUP(C16,#REF!, 14, FALSE), "")</f>
        <v/>
      </c>
      <c r="T16" t="s">
        <v>77</v>
      </c>
      <c r="U16" s="25" t="s">
        <v>77</v>
      </c>
      <c r="V16" s="25" t="s">
        <v>77</v>
      </c>
      <c r="W16" s="19" t="s">
        <v>879</v>
      </c>
      <c r="X16" s="19" t="s">
        <v>880</v>
      </c>
    </row>
    <row r="17" spans="1:24" x14ac:dyDescent="0.25">
      <c r="A17" s="19" t="s">
        <v>29</v>
      </c>
      <c r="B17" s="19" t="s">
        <v>329</v>
      </c>
      <c r="C17" s="19" t="s">
        <v>548</v>
      </c>
      <c r="D17" s="19" t="s">
        <v>230</v>
      </c>
      <c r="E17" s="19" t="str">
        <f>IFERROR(VLOOKUP(C17,#REF!, 9, FALSE), "")</f>
        <v/>
      </c>
      <c r="F17" s="19" t="str">
        <f t="shared" si="0"/>
        <v>N15 6AA</v>
      </c>
      <c r="G17">
        <v>51.576082</v>
      </c>
      <c r="H17">
        <v>-7.1071856000000003E-2</v>
      </c>
      <c r="I17" s="26" t="s">
        <v>328</v>
      </c>
      <c r="J17" s="19">
        <v>95</v>
      </c>
      <c r="M17" s="19" t="s">
        <v>552</v>
      </c>
      <c r="N17" s="19" t="s">
        <v>470</v>
      </c>
      <c r="O17" s="26" t="s">
        <v>553</v>
      </c>
      <c r="P17" s="26" t="s">
        <v>902</v>
      </c>
      <c r="Q17" s="26" t="str">
        <f>IFERROR(VLOOKUP($C17,#REF!, 17, FALSE), "")</f>
        <v/>
      </c>
      <c r="R17" s="19" t="str">
        <f>IFERROR(VLOOKUP(C17,#REF!, 15, FALSE), "")</f>
        <v/>
      </c>
      <c r="S17" s="19" t="str">
        <f>IFERROR(VLOOKUP(C17,#REF!, 14, FALSE), "")</f>
        <v/>
      </c>
      <c r="T17" s="26" t="s">
        <v>110</v>
      </c>
      <c r="U17" s="25">
        <v>0</v>
      </c>
      <c r="V17" s="26" t="s">
        <v>162</v>
      </c>
      <c r="W17" s="19" t="s">
        <v>903</v>
      </c>
      <c r="X17" s="19" t="s">
        <v>904</v>
      </c>
    </row>
    <row r="18" spans="1:24" x14ac:dyDescent="0.25">
      <c r="A18" s="19" t="s">
        <v>29</v>
      </c>
      <c r="B18" s="19" t="s">
        <v>327</v>
      </c>
      <c r="C18" s="19" t="s">
        <v>544</v>
      </c>
      <c r="D18" s="19" t="s">
        <v>275</v>
      </c>
      <c r="E18" s="19" t="str">
        <f>IFERROR(VLOOKUP(C18,#REF!, 9, FALSE), "")</f>
        <v/>
      </c>
      <c r="F18" s="19" t="str">
        <f t="shared" si="0"/>
        <v>E2 8JR</v>
      </c>
      <c r="G18">
        <v>51.531711999999999</v>
      </c>
      <c r="H18">
        <v>-7.0987219000000004E-2</v>
      </c>
      <c r="I18" s="26" t="s">
        <v>326</v>
      </c>
      <c r="J18" s="19">
        <v>73</v>
      </c>
      <c r="M18" s="19" t="s">
        <v>549</v>
      </c>
      <c r="N18" s="19" t="s">
        <v>470</v>
      </c>
      <c r="O18" s="26" t="s">
        <v>550</v>
      </c>
      <c r="P18"/>
      <c r="Q18" s="26" t="str">
        <f>IFERROR(VLOOKUP($C18,#REF!, 17, FALSE), "")</f>
        <v/>
      </c>
      <c r="R18" s="19" t="str">
        <f>IFERROR(VLOOKUP(C18,#REF!, 15, FALSE), "")</f>
        <v/>
      </c>
      <c r="S18" s="19" t="str">
        <f>IFERROR(VLOOKUP(C18,#REF!, 14, FALSE), "")</f>
        <v/>
      </c>
      <c r="T18" s="26" t="s">
        <v>116</v>
      </c>
      <c r="U18" s="25">
        <v>0</v>
      </c>
      <c r="V18" s="26" t="s">
        <v>157</v>
      </c>
      <c r="W18" s="19" t="s">
        <v>905</v>
      </c>
      <c r="X18" s="19" t="s">
        <v>906</v>
      </c>
    </row>
    <row r="19" spans="1:24" x14ac:dyDescent="0.25">
      <c r="A19" s="19" t="s">
        <v>29</v>
      </c>
      <c r="B19" s="19" t="s">
        <v>331</v>
      </c>
      <c r="C19" s="19" t="s">
        <v>551</v>
      </c>
      <c r="D19" s="19" t="s">
        <v>272</v>
      </c>
      <c r="E19" s="19" t="str">
        <f>IFERROR(VLOOKUP(C19,#REF!, 9, FALSE), "")</f>
        <v/>
      </c>
      <c r="F19" s="19" t="str">
        <f t="shared" si="0"/>
        <v>E5 8EG</v>
      </c>
      <c r="G19">
        <v>51.556716000000002</v>
      </c>
      <c r="H19">
        <v>-5.6051674000000003E-2</v>
      </c>
      <c r="I19" s="26" t="s">
        <v>330</v>
      </c>
      <c r="J19" s="19">
        <v>107</v>
      </c>
      <c r="M19" s="19" t="s">
        <v>555</v>
      </c>
      <c r="N19" s="19" t="s">
        <v>470</v>
      </c>
      <c r="O19" s="26" t="s">
        <v>556</v>
      </c>
      <c r="P19" s="26" t="s">
        <v>907</v>
      </c>
      <c r="Q19" s="26" t="str">
        <f>IFERROR(VLOOKUP($C19,#REF!, 17, FALSE), "")</f>
        <v/>
      </c>
      <c r="R19" s="19" t="str">
        <f>IFERROR(VLOOKUP(C19,#REF!, 15, FALSE), "")</f>
        <v/>
      </c>
      <c r="S19" s="19" t="str">
        <f>IFERROR(VLOOKUP(C19,#REF!, 14, FALSE), "")</f>
        <v/>
      </c>
      <c r="T19" s="26" t="s">
        <v>109</v>
      </c>
      <c r="U19" s="25">
        <v>0</v>
      </c>
      <c r="V19" s="26" t="s">
        <v>146</v>
      </c>
      <c r="W19" s="19" t="s">
        <v>892</v>
      </c>
      <c r="X19" s="19" t="s">
        <v>893</v>
      </c>
    </row>
    <row r="20" spans="1:24" x14ac:dyDescent="0.25">
      <c r="A20" s="19" t="s">
        <v>29</v>
      </c>
      <c r="B20" s="19" t="s">
        <v>593</v>
      </c>
      <c r="C20" s="19" t="s">
        <v>594</v>
      </c>
      <c r="E20" s="19" t="str">
        <f>IFERROR(VLOOKUP(C20,#REF!, 9, FALSE), "")</f>
        <v/>
      </c>
      <c r="F20" s="19" t="str">
        <f t="shared" si="0"/>
        <v/>
      </c>
      <c r="G20"/>
      <c r="H20"/>
      <c r="I20" s="26" t="s">
        <v>595</v>
      </c>
      <c r="J20" s="19">
        <v>0</v>
      </c>
      <c r="M20" s="19" t="s">
        <v>582</v>
      </c>
      <c r="N20" s="19" t="s">
        <v>572</v>
      </c>
      <c r="O20" s="26" t="s">
        <v>601</v>
      </c>
      <c r="P20" s="26" t="s">
        <v>908</v>
      </c>
      <c r="Q20" s="26" t="str">
        <f>IFERROR(VLOOKUP($C20,#REF!, 17, FALSE), "")</f>
        <v/>
      </c>
      <c r="R20" s="19" t="str">
        <f>IFERROR(VLOOKUP(C20,#REF!, 15, FALSE), "")</f>
        <v/>
      </c>
      <c r="S20" s="19" t="str">
        <f>IFERROR(VLOOKUP(C20,#REF!, 14, FALSE), "")</f>
        <v/>
      </c>
      <c r="T20" t="s">
        <v>77</v>
      </c>
      <c r="U20" s="25" t="s">
        <v>77</v>
      </c>
      <c r="V20" s="25" t="s">
        <v>77</v>
      </c>
    </row>
    <row r="21" spans="1:24" x14ac:dyDescent="0.25">
      <c r="A21" s="19" t="s">
        <v>29</v>
      </c>
      <c r="B21" s="19" t="s">
        <v>579</v>
      </c>
      <c r="C21" s="19" t="s">
        <v>580</v>
      </c>
      <c r="E21" s="19" t="str">
        <f>IFERROR(VLOOKUP(C21,#REF!, 9, FALSE), "")</f>
        <v/>
      </c>
      <c r="F21" s="19" t="str">
        <f t="shared" si="0"/>
        <v/>
      </c>
      <c r="G21"/>
      <c r="H21"/>
      <c r="I21" s="26" t="s">
        <v>581</v>
      </c>
      <c r="J21" s="19">
        <v>0</v>
      </c>
      <c r="M21" s="19" t="s">
        <v>587</v>
      </c>
      <c r="N21" s="19" t="s">
        <v>572</v>
      </c>
      <c r="O21" s="26" t="s">
        <v>588</v>
      </c>
      <c r="P21" s="26" t="s">
        <v>909</v>
      </c>
      <c r="Q21" s="26" t="str">
        <f>IFERROR(VLOOKUP($C21,#REF!, 17, FALSE), "")</f>
        <v/>
      </c>
      <c r="R21" s="19" t="str">
        <f>IFERROR(VLOOKUP(C21,#REF!, 15, FALSE), "")</f>
        <v/>
      </c>
      <c r="S21" s="19" t="str">
        <f>IFERROR(VLOOKUP(C21,#REF!, 14, FALSE), "")</f>
        <v/>
      </c>
      <c r="T21" t="s">
        <v>77</v>
      </c>
      <c r="U21" s="25" t="s">
        <v>77</v>
      </c>
      <c r="V21" s="25" t="s">
        <v>77</v>
      </c>
    </row>
    <row r="22" spans="1:24" x14ac:dyDescent="0.25">
      <c r="A22" s="19" t="s">
        <v>29</v>
      </c>
      <c r="B22" s="19" t="s">
        <v>300</v>
      </c>
      <c r="C22" s="19" t="s">
        <v>498</v>
      </c>
      <c r="D22" s="19" t="s">
        <v>910</v>
      </c>
      <c r="E22" s="19" t="str">
        <f>IFERROR(VLOOKUP(C22,#REF!, 9, FALSE), "")</f>
        <v/>
      </c>
      <c r="F22" s="19" t="str">
        <f t="shared" si="0"/>
        <v>E9 7DH</v>
      </c>
      <c r="G22">
        <v>51.540512</v>
      </c>
      <c r="H22">
        <v>-4.5248899000000002E-2</v>
      </c>
      <c r="I22" s="26" t="s">
        <v>299</v>
      </c>
      <c r="J22" s="19">
        <v>166</v>
      </c>
      <c r="M22" s="19" t="s">
        <v>503</v>
      </c>
      <c r="N22" s="19" t="s">
        <v>470</v>
      </c>
      <c r="O22" s="26" t="s">
        <v>504</v>
      </c>
      <c r="P22" s="26" t="s">
        <v>911</v>
      </c>
      <c r="Q22" s="26" t="str">
        <f>IFERROR(VLOOKUP($C22,#REF!, 17, FALSE), "")</f>
        <v/>
      </c>
      <c r="R22" s="19" t="str">
        <f>IFERROR(VLOOKUP(C22,#REF!, 15, FALSE), "")</f>
        <v/>
      </c>
      <c r="S22" s="19" t="str">
        <f>IFERROR(VLOOKUP(C22,#REF!, 14, FALSE), "")</f>
        <v/>
      </c>
      <c r="T22" s="26" t="s">
        <v>114</v>
      </c>
      <c r="U22" s="25">
        <v>0</v>
      </c>
      <c r="V22" s="26" t="s">
        <v>154</v>
      </c>
      <c r="W22" s="19" t="s">
        <v>912</v>
      </c>
      <c r="X22" s="19" t="s">
        <v>913</v>
      </c>
    </row>
    <row r="23" spans="1:24" x14ac:dyDescent="0.25">
      <c r="A23" s="19" t="s">
        <v>29</v>
      </c>
      <c r="B23" s="19" t="s">
        <v>584</v>
      </c>
      <c r="C23" s="19" t="s">
        <v>585</v>
      </c>
      <c r="E23" s="19" t="str">
        <f>IFERROR(VLOOKUP(C23,#REF!, 9, FALSE), "")</f>
        <v/>
      </c>
      <c r="F23" s="19" t="str">
        <f t="shared" si="0"/>
        <v/>
      </c>
      <c r="G23"/>
      <c r="H23"/>
      <c r="I23" s="26" t="s">
        <v>586</v>
      </c>
      <c r="J23" s="19">
        <v>0</v>
      </c>
      <c r="M23" s="19" t="s">
        <v>582</v>
      </c>
      <c r="N23" s="19" t="s">
        <v>572</v>
      </c>
      <c r="O23" s="26" t="s">
        <v>592</v>
      </c>
      <c r="P23" s="26" t="s">
        <v>914</v>
      </c>
      <c r="Q23" s="26" t="str">
        <f>IFERROR(VLOOKUP($C23,#REF!, 17, FALSE), "")</f>
        <v/>
      </c>
      <c r="R23" s="19" t="str">
        <f>IFERROR(VLOOKUP(C23,#REF!, 15, FALSE), "")</f>
        <v/>
      </c>
      <c r="S23" s="19" t="str">
        <f>IFERROR(VLOOKUP(C23,#REF!, 14, FALSE), "")</f>
        <v/>
      </c>
      <c r="T23" t="s">
        <v>77</v>
      </c>
      <c r="U23" s="25" t="s">
        <v>77</v>
      </c>
      <c r="V23" s="25" t="s">
        <v>77</v>
      </c>
    </row>
    <row r="24" spans="1:24" x14ac:dyDescent="0.25">
      <c r="A24" s="19" t="s">
        <v>29</v>
      </c>
      <c r="B24" s="19" t="s">
        <v>325</v>
      </c>
      <c r="C24" s="19" t="s">
        <v>541</v>
      </c>
      <c r="D24" s="19" t="s">
        <v>228</v>
      </c>
      <c r="E24" s="19" t="str">
        <f>IFERROR(VLOOKUP(C24,#REF!, 9, FALSE), "")</f>
        <v/>
      </c>
      <c r="F24" s="19" t="str">
        <f t="shared" si="0"/>
        <v>N1 6NP</v>
      </c>
      <c r="G24">
        <v>51.530534000000003</v>
      </c>
      <c r="H24">
        <v>-8.3623584000000001E-2</v>
      </c>
      <c r="I24" s="26" t="s">
        <v>324</v>
      </c>
      <c r="J24" s="19">
        <v>117</v>
      </c>
      <c r="M24" s="19" t="s">
        <v>545</v>
      </c>
      <c r="N24" s="19" t="s">
        <v>546</v>
      </c>
      <c r="O24" s="26" t="s">
        <v>547</v>
      </c>
      <c r="P24" s="26" t="s">
        <v>915</v>
      </c>
      <c r="Q24" s="26" t="str">
        <f>IFERROR(VLOOKUP($C24,#REF!, 17, FALSE), "")</f>
        <v/>
      </c>
      <c r="R24" s="19" t="str">
        <f>IFERROR(VLOOKUP(C24,#REF!, 15, FALSE), "")</f>
        <v/>
      </c>
      <c r="S24" s="19" t="str">
        <f>IFERROR(VLOOKUP(C24,#REF!, 14, FALSE), "")</f>
        <v/>
      </c>
      <c r="T24" s="26" t="s">
        <v>117</v>
      </c>
      <c r="U24" s="26" t="s">
        <v>84</v>
      </c>
      <c r="V24" s="26" t="s">
        <v>160</v>
      </c>
      <c r="W24" s="19" t="s">
        <v>916</v>
      </c>
      <c r="X24" s="19" t="s">
        <v>917</v>
      </c>
    </row>
    <row r="25" spans="1:24" x14ac:dyDescent="0.25">
      <c r="A25" s="19" t="s">
        <v>29</v>
      </c>
      <c r="B25" s="19" t="s">
        <v>317</v>
      </c>
      <c r="C25" s="19" t="s">
        <v>529</v>
      </c>
      <c r="D25" s="19" t="s">
        <v>216</v>
      </c>
      <c r="E25" s="19" t="str">
        <f>IFERROR(VLOOKUP(C25,#REF!, 9, FALSE), "")</f>
        <v/>
      </c>
      <c r="F25" s="19" t="str">
        <f t="shared" si="0"/>
        <v>N4 2LW</v>
      </c>
      <c r="G25">
        <v>51.565778000000002</v>
      </c>
      <c r="H25">
        <v>-9.9831626000000007E-2</v>
      </c>
      <c r="I25" s="26" t="s">
        <v>316</v>
      </c>
      <c r="J25" s="19">
        <v>72</v>
      </c>
      <c r="M25" s="19" t="s">
        <v>533</v>
      </c>
      <c r="N25" s="19" t="s">
        <v>470</v>
      </c>
      <c r="O25" s="26" t="s">
        <v>534</v>
      </c>
      <c r="P25" s="26" t="s">
        <v>918</v>
      </c>
      <c r="Q25" s="26" t="str">
        <f>IFERROR(VLOOKUP($C25,#REF!, 17, FALSE), "")</f>
        <v/>
      </c>
      <c r="R25" s="19" t="str">
        <f>IFERROR(VLOOKUP(C25,#REF!, 15, FALSE), "")</f>
        <v/>
      </c>
      <c r="S25" s="19" t="str">
        <f>IFERROR(VLOOKUP(C25,#REF!, 14, FALSE), "")</f>
        <v/>
      </c>
      <c r="T25">
        <v>0</v>
      </c>
      <c r="U25" s="25">
        <v>0</v>
      </c>
      <c r="V25" s="26" t="s">
        <v>145</v>
      </c>
      <c r="W25" s="19" t="s">
        <v>919</v>
      </c>
      <c r="X25" s="19" t="s">
        <v>920</v>
      </c>
    </row>
    <row r="26" spans="1:24" x14ac:dyDescent="0.25">
      <c r="A26" s="19" t="s">
        <v>29</v>
      </c>
      <c r="B26" s="19" t="s">
        <v>602</v>
      </c>
      <c r="C26" s="19" t="s">
        <v>603</v>
      </c>
      <c r="E26" s="19" t="str">
        <f>IFERROR(VLOOKUP(C26,#REF!, 9, FALSE), "")</f>
        <v/>
      </c>
      <c r="F26" s="19" t="str">
        <f t="shared" si="0"/>
        <v/>
      </c>
      <c r="G26"/>
      <c r="H26"/>
      <c r="I26" s="26" t="s">
        <v>337</v>
      </c>
      <c r="J26" s="19">
        <v>0</v>
      </c>
      <c r="M26" s="19" t="s">
        <v>606</v>
      </c>
      <c r="N26" s="19" t="s">
        <v>607</v>
      </c>
      <c r="O26" s="26" t="s">
        <v>608</v>
      </c>
      <c r="P26" s="26" t="s">
        <v>921</v>
      </c>
      <c r="Q26" s="26" t="str">
        <f>IFERROR(VLOOKUP($C26,#REF!, 17, FALSE), "")</f>
        <v/>
      </c>
      <c r="R26" s="19" t="str">
        <f>IFERROR(VLOOKUP(C26,#REF!, 15, FALSE), "")</f>
        <v/>
      </c>
      <c r="S26" s="19" t="str">
        <f>IFERROR(VLOOKUP(C26,#REF!, 14, FALSE), "")</f>
        <v/>
      </c>
      <c r="T26" t="s">
        <v>77</v>
      </c>
      <c r="U26" s="25" t="s">
        <v>77</v>
      </c>
      <c r="V26" s="25" t="s">
        <v>77</v>
      </c>
    </row>
    <row r="27" spans="1:24" x14ac:dyDescent="0.25">
      <c r="A27" s="19" t="s">
        <v>29</v>
      </c>
      <c r="B27" s="19" t="s">
        <v>319</v>
      </c>
      <c r="C27" s="19" t="s">
        <v>532</v>
      </c>
      <c r="D27" s="19" t="s">
        <v>229</v>
      </c>
      <c r="E27" s="19" t="str">
        <f>IFERROR(VLOOKUP(C27,#REF!, 9, FALSE), "")</f>
        <v/>
      </c>
      <c r="F27" s="19" t="str">
        <f t="shared" si="0"/>
        <v>E1 6JN</v>
      </c>
      <c r="G27">
        <v>51.526308999999998</v>
      </c>
      <c r="H27">
        <v>-7.7645257999999995E-2</v>
      </c>
      <c r="I27" s="26" t="s">
        <v>318</v>
      </c>
      <c r="J27" s="19">
        <v>72</v>
      </c>
      <c r="M27" s="19" t="s">
        <v>536</v>
      </c>
      <c r="N27" s="19" t="s">
        <v>479</v>
      </c>
      <c r="O27" s="26" t="s">
        <v>537</v>
      </c>
      <c r="P27" s="26" t="s">
        <v>79</v>
      </c>
      <c r="Q27" s="26" t="str">
        <f>IFERROR(VLOOKUP($C27,#REF!, 17, FALSE), "")</f>
        <v/>
      </c>
      <c r="R27" s="19" t="str">
        <f>IFERROR(VLOOKUP(C27,#REF!, 15, FALSE), "")</f>
        <v/>
      </c>
      <c r="S27" s="19" t="str">
        <f>IFERROR(VLOOKUP(C27,#REF!, 14, FALSE), "")</f>
        <v/>
      </c>
      <c r="T27" s="26" t="s">
        <v>118</v>
      </c>
      <c r="U27" s="26" t="s">
        <v>85</v>
      </c>
      <c r="V27" s="26" t="s">
        <v>161</v>
      </c>
      <c r="W27" s="19" t="s">
        <v>922</v>
      </c>
      <c r="X27" s="19" t="s">
        <v>923</v>
      </c>
    </row>
    <row r="28" spans="1:24" x14ac:dyDescent="0.25">
      <c r="A28" s="19" t="s">
        <v>29</v>
      </c>
      <c r="B28" s="19" t="s">
        <v>295</v>
      </c>
      <c r="C28" s="19" t="s">
        <v>488</v>
      </c>
      <c r="D28" s="19" t="s">
        <v>219</v>
      </c>
      <c r="E28" s="19" t="str">
        <f>IFERROR(VLOOKUP(C28,#REF!, 9, FALSE), "")</f>
        <v/>
      </c>
      <c r="F28" s="19" t="str">
        <f t="shared" si="0"/>
        <v>E8 2LJ</v>
      </c>
      <c r="G28">
        <v>51.548918</v>
      </c>
      <c r="H28">
        <v>-6.9538325999999998E-2</v>
      </c>
      <c r="I28" s="26" t="s">
        <v>294</v>
      </c>
      <c r="J28" s="19">
        <v>128</v>
      </c>
      <c r="M28" s="19" t="s">
        <v>490</v>
      </c>
      <c r="N28" s="19" t="s">
        <v>470</v>
      </c>
      <c r="O28" s="26" t="s">
        <v>491</v>
      </c>
      <c r="P28" s="26" t="s">
        <v>78</v>
      </c>
      <c r="Q28" s="26" t="str">
        <f>IFERROR(VLOOKUP($C28,#REF!, 17, FALSE), "")</f>
        <v/>
      </c>
      <c r="R28" s="19" t="str">
        <f>IFERROR(VLOOKUP(C28,#REF!, 15, FALSE), "")</f>
        <v/>
      </c>
      <c r="S28" s="19" t="str">
        <f>IFERROR(VLOOKUP(C28,#REF!, 14, FALSE), "")</f>
        <v/>
      </c>
      <c r="T28" s="26" t="s">
        <v>111</v>
      </c>
      <c r="U28" s="25">
        <v>0</v>
      </c>
      <c r="V28" s="26" t="s">
        <v>150</v>
      </c>
      <c r="W28" s="19" t="s">
        <v>924</v>
      </c>
      <c r="X28" s="19" t="s">
        <v>925</v>
      </c>
    </row>
    <row r="29" spans="1:24" x14ac:dyDescent="0.25">
      <c r="A29" s="19" t="s">
        <v>29</v>
      </c>
      <c r="B29" s="19" t="s">
        <v>302</v>
      </c>
      <c r="C29" s="19" t="s">
        <v>502</v>
      </c>
      <c r="D29" s="19" t="s">
        <v>223</v>
      </c>
      <c r="E29" s="19" t="str">
        <f>IFERROR(VLOOKUP(C29,#REF!, 9, FALSE), "")</f>
        <v/>
      </c>
      <c r="F29" s="19" t="str">
        <f t="shared" si="0"/>
        <v>E9 5JA</v>
      </c>
      <c r="G29">
        <v>51.545613000000003</v>
      </c>
      <c r="H29">
        <v>-3.0333784999999999E-2</v>
      </c>
      <c r="I29" s="26" t="s">
        <v>301</v>
      </c>
      <c r="J29" s="19">
        <v>71</v>
      </c>
      <c r="M29" s="19" t="s">
        <v>506</v>
      </c>
      <c r="N29" s="19" t="s">
        <v>470</v>
      </c>
      <c r="O29" s="26" t="s">
        <v>507</v>
      </c>
      <c r="P29" s="26" t="s">
        <v>926</v>
      </c>
      <c r="Q29" s="26" t="str">
        <f>IFERROR(VLOOKUP($C29,#REF!, 17, FALSE), "")</f>
        <v/>
      </c>
      <c r="R29" s="19" t="str">
        <f>IFERROR(VLOOKUP(C29,#REF!, 15, FALSE), "")</f>
        <v/>
      </c>
      <c r="S29" s="19" t="str">
        <f>IFERROR(VLOOKUP(C29,#REF!, 14, FALSE), "")</f>
        <v/>
      </c>
      <c r="T29" s="26" t="s">
        <v>113</v>
      </c>
      <c r="U29" s="25">
        <v>0</v>
      </c>
      <c r="V29" s="26" t="s">
        <v>153</v>
      </c>
      <c r="W29" s="19" t="s">
        <v>927</v>
      </c>
      <c r="X29" s="19" t="s">
        <v>928</v>
      </c>
    </row>
    <row r="30" spans="1:24" x14ac:dyDescent="0.25">
      <c r="A30" s="19" t="s">
        <v>29</v>
      </c>
      <c r="B30" s="19" t="s">
        <v>308</v>
      </c>
      <c r="C30" s="19" t="s">
        <v>514</v>
      </c>
      <c r="D30" s="19" t="s">
        <v>231</v>
      </c>
      <c r="E30" s="19" t="str">
        <f>IFERROR(VLOOKUP(C30,#REF!, 9, FALSE), "")</f>
        <v/>
      </c>
      <c r="F30" s="19" t="str">
        <f t="shared" si="0"/>
        <v>N16 9ES</v>
      </c>
      <c r="G30">
        <v>51.560996000000003</v>
      </c>
      <c r="H30">
        <v>-8.3901342000000004E-2</v>
      </c>
      <c r="I30" s="26" t="s">
        <v>307</v>
      </c>
      <c r="J30" s="19">
        <v>202</v>
      </c>
      <c r="M30" s="19" t="s">
        <v>518</v>
      </c>
      <c r="N30" s="19" t="s">
        <v>470</v>
      </c>
      <c r="O30" s="26" t="s">
        <v>519</v>
      </c>
      <c r="P30" s="26" t="s">
        <v>929</v>
      </c>
      <c r="Q30" s="26" t="str">
        <f>IFERROR(VLOOKUP($C30,#REF!, 17, FALSE), "")</f>
        <v/>
      </c>
      <c r="R30" s="19" t="str">
        <f>IFERROR(VLOOKUP(C30,#REF!, 15, FALSE), "")</f>
        <v/>
      </c>
      <c r="S30" s="19" t="str">
        <f>IFERROR(VLOOKUP(C30,#REF!, 14, FALSE), "")</f>
        <v/>
      </c>
      <c r="T30" s="26" t="s">
        <v>119</v>
      </c>
      <c r="U30" s="25">
        <v>0</v>
      </c>
      <c r="V30" s="26" t="s">
        <v>164</v>
      </c>
      <c r="W30" s="19" t="s">
        <v>930</v>
      </c>
      <c r="X30" s="19" t="s">
        <v>931</v>
      </c>
    </row>
    <row r="31" spans="1:24" x14ac:dyDescent="0.25">
      <c r="A31" s="19" t="s">
        <v>29</v>
      </c>
      <c r="B31" s="19" t="s">
        <v>568</v>
      </c>
      <c r="C31" s="19" t="s">
        <v>569</v>
      </c>
      <c r="E31" s="19" t="str">
        <f>IFERROR(VLOOKUP(C31,#REF!, 9, FALSE), "")</f>
        <v/>
      </c>
      <c r="F31" s="19" t="str">
        <f t="shared" si="0"/>
        <v/>
      </c>
      <c r="G31"/>
      <c r="H31"/>
      <c r="I31" s="26" t="s">
        <v>570</v>
      </c>
      <c r="J31" s="19">
        <v>0</v>
      </c>
      <c r="M31" s="19" t="s">
        <v>577</v>
      </c>
      <c r="N31" s="19" t="s">
        <v>572</v>
      </c>
      <c r="O31" s="26" t="s">
        <v>578</v>
      </c>
      <c r="P31" s="26" t="s">
        <v>932</v>
      </c>
      <c r="Q31" s="26" t="str">
        <f>IFERROR(VLOOKUP($C31,#REF!, 17, FALSE), "")</f>
        <v/>
      </c>
      <c r="R31" s="19" t="str">
        <f>IFERROR(VLOOKUP(C31,#REF!, 15, FALSE), "")</f>
        <v/>
      </c>
      <c r="S31" s="19" t="str">
        <f>IFERROR(VLOOKUP(C31,#REF!, 14, FALSE), "")</f>
        <v/>
      </c>
      <c r="T31" t="s">
        <v>77</v>
      </c>
      <c r="U31" s="25" t="s">
        <v>77</v>
      </c>
      <c r="V31" s="25" t="s">
        <v>77</v>
      </c>
    </row>
    <row r="32" spans="1:24" x14ac:dyDescent="0.25">
      <c r="A32" s="19" t="s">
        <v>29</v>
      </c>
      <c r="B32" s="19" t="s">
        <v>286</v>
      </c>
      <c r="C32" s="19" t="s">
        <v>474</v>
      </c>
      <c r="D32" s="19" t="s">
        <v>217</v>
      </c>
      <c r="E32" s="19" t="str">
        <f>IFERROR(VLOOKUP(C32,#REF!, 9, FALSE), "")</f>
        <v/>
      </c>
      <c r="F32" s="19" t="str">
        <f t="shared" si="0"/>
        <v>E5 9EN</v>
      </c>
      <c r="G32">
        <v>51.565201000000002</v>
      </c>
      <c r="H32">
        <v>-5.4723071999999998E-2</v>
      </c>
      <c r="I32" s="26" t="s">
        <v>285</v>
      </c>
      <c r="J32" s="19">
        <v>38</v>
      </c>
      <c r="M32" s="19" t="s">
        <v>478</v>
      </c>
      <c r="N32" s="19" t="s">
        <v>479</v>
      </c>
      <c r="O32" s="26" t="s">
        <v>480</v>
      </c>
      <c r="P32" s="26" t="s">
        <v>933</v>
      </c>
      <c r="Q32" s="26" t="str">
        <f>IFERROR(VLOOKUP($C32,#REF!, 17, FALSE), "")</f>
        <v/>
      </c>
      <c r="R32" s="19" t="str">
        <f>IFERROR(VLOOKUP(C32,#REF!, 15, FALSE), "")</f>
        <v/>
      </c>
      <c r="S32" s="19" t="str">
        <f>IFERROR(VLOOKUP(C32,#REF!, 14, FALSE), "")</f>
        <v/>
      </c>
      <c r="T32" s="26" t="s">
        <v>109</v>
      </c>
      <c r="U32" s="25">
        <v>0</v>
      </c>
      <c r="V32" s="26" t="s">
        <v>147</v>
      </c>
      <c r="W32" s="19" t="s">
        <v>934</v>
      </c>
      <c r="X32" s="19" t="s">
        <v>935</v>
      </c>
    </row>
    <row r="33" spans="1:24" x14ac:dyDescent="0.25">
      <c r="A33" s="19" t="s">
        <v>29</v>
      </c>
      <c r="B33" s="19" t="s">
        <v>574</v>
      </c>
      <c r="C33" s="19" t="s">
        <v>575</v>
      </c>
      <c r="E33" s="19" t="str">
        <f>IFERROR(VLOOKUP(C33,#REF!, 9, FALSE), "")</f>
        <v/>
      </c>
      <c r="F33" s="19" t="str">
        <f t="shared" si="0"/>
        <v/>
      </c>
      <c r="G33"/>
      <c r="H33"/>
      <c r="I33" s="26" t="s">
        <v>576</v>
      </c>
      <c r="J33" s="19">
        <v>0</v>
      </c>
      <c r="M33" s="19" t="s">
        <v>582</v>
      </c>
      <c r="N33" s="19" t="s">
        <v>572</v>
      </c>
      <c r="O33" s="26" t="s">
        <v>583</v>
      </c>
      <c r="P33" s="26" t="s">
        <v>936</v>
      </c>
      <c r="Q33" s="26" t="str">
        <f>IFERROR(VLOOKUP($C33,#REF!, 17, FALSE), "")</f>
        <v/>
      </c>
      <c r="R33" s="19" t="str">
        <f>IFERROR(VLOOKUP(C33,#REF!, 15, FALSE), "")</f>
        <v/>
      </c>
      <c r="S33" s="19" t="str">
        <f>IFERROR(VLOOKUP(C33,#REF!, 14, FALSE), "")</f>
        <v/>
      </c>
      <c r="T33" t="s">
        <v>77</v>
      </c>
      <c r="U33" s="25" t="s">
        <v>77</v>
      </c>
      <c r="V33" s="25" t="s">
        <v>77</v>
      </c>
    </row>
    <row r="34" spans="1:24" x14ac:dyDescent="0.25">
      <c r="A34" s="19" t="s">
        <v>29</v>
      </c>
      <c r="B34" s="19" t="s">
        <v>312</v>
      </c>
      <c r="C34" s="19" t="s">
        <v>520</v>
      </c>
      <c r="D34" s="19" t="s">
        <v>233</v>
      </c>
      <c r="E34" s="19" t="str">
        <f>IFERROR(VLOOKUP(C34,#REF!, 9, FALSE), "")</f>
        <v/>
      </c>
      <c r="F34" s="19" t="str">
        <f t="shared" si="0"/>
        <v>N16 8DD</v>
      </c>
      <c r="G34">
        <v>51.552504999999996</v>
      </c>
      <c r="H34">
        <v>-7.9339420999999993E-2</v>
      </c>
      <c r="I34" s="26" t="s">
        <v>311</v>
      </c>
      <c r="J34" s="19">
        <v>51</v>
      </c>
      <c r="M34" s="19" t="s">
        <v>524</v>
      </c>
      <c r="N34" s="19" t="s">
        <v>470</v>
      </c>
      <c r="O34" s="26" t="s">
        <v>525</v>
      </c>
      <c r="P34" s="26" t="s">
        <v>937</v>
      </c>
      <c r="Q34" s="26" t="str">
        <f>IFERROR(VLOOKUP($C34,#REF!, 17, FALSE), "")</f>
        <v/>
      </c>
      <c r="R34" s="19" t="str">
        <f>IFERROR(VLOOKUP(C34,#REF!, 15, FALSE), "")</f>
        <v/>
      </c>
      <c r="S34" s="19" t="str">
        <f>IFERROR(VLOOKUP(C34,#REF!, 14, FALSE), "")</f>
        <v/>
      </c>
      <c r="T34">
        <v>0</v>
      </c>
      <c r="U34" s="26" t="s">
        <v>87</v>
      </c>
      <c r="V34" s="26" t="s">
        <v>167</v>
      </c>
      <c r="W34" s="19" t="s">
        <v>938</v>
      </c>
      <c r="X34" s="19" t="s">
        <v>939</v>
      </c>
    </row>
    <row r="35" spans="1:24" x14ac:dyDescent="0.25">
      <c r="A35" s="19" t="s">
        <v>29</v>
      </c>
      <c r="B35" s="19" t="s">
        <v>463</v>
      </c>
      <c r="C35" s="19" t="s">
        <v>505</v>
      </c>
      <c r="D35" s="19" t="s">
        <v>225</v>
      </c>
      <c r="E35" s="19" t="str">
        <f>IFERROR(VLOOKUP(C35,#REF!, 9, FALSE), "")</f>
        <v/>
      </c>
      <c r="F35" s="19" t="str">
        <f t="shared" si="0"/>
        <v>E8 3ER</v>
      </c>
      <c r="G35">
        <v>51.541362999999997</v>
      </c>
      <c r="H35">
        <v>-6.4003122999999995E-2</v>
      </c>
      <c r="I35" s="26" t="s">
        <v>303</v>
      </c>
      <c r="J35" s="19">
        <v>194</v>
      </c>
      <c r="M35" s="19" t="s">
        <v>509</v>
      </c>
      <c r="N35" s="19" t="s">
        <v>470</v>
      </c>
      <c r="O35" s="26" t="s">
        <v>510</v>
      </c>
      <c r="P35" s="26" t="s">
        <v>940</v>
      </c>
      <c r="Q35" s="26" t="str">
        <f>IFERROR(VLOOKUP($C35,#REF!, 17, FALSE), "")</f>
        <v/>
      </c>
      <c r="R35" s="19" t="str">
        <f>IFERROR(VLOOKUP(C35,#REF!, 15, FALSE), "")</f>
        <v/>
      </c>
      <c r="S35" s="19" t="str">
        <f>IFERROR(VLOOKUP(C35,#REF!, 14, FALSE), "")</f>
        <v/>
      </c>
      <c r="T35" s="26" t="s">
        <v>114</v>
      </c>
      <c r="U35" s="25">
        <v>0</v>
      </c>
      <c r="V35" s="26" t="s">
        <v>155</v>
      </c>
      <c r="W35" s="19" t="s">
        <v>941</v>
      </c>
      <c r="X35" s="19" t="s">
        <v>942</v>
      </c>
    </row>
    <row r="36" spans="1:24" x14ac:dyDescent="0.25">
      <c r="A36" s="19" t="s">
        <v>29</v>
      </c>
      <c r="B36" s="19" t="s">
        <v>464</v>
      </c>
      <c r="C36" s="19" t="s">
        <v>523</v>
      </c>
      <c r="D36" s="19" t="s">
        <v>278</v>
      </c>
      <c r="E36" s="19" t="str">
        <f>IFERROR(VLOOKUP(C36,#REF!, 9, FALSE), "")</f>
        <v/>
      </c>
      <c r="F36" s="19" t="str">
        <f t="shared" si="0"/>
        <v>N16 7ED</v>
      </c>
      <c r="G36">
        <v>51.563149000000003</v>
      </c>
      <c r="H36">
        <v>-6.6021199000000003E-2</v>
      </c>
      <c r="I36" s="26" t="s">
        <v>313</v>
      </c>
      <c r="J36" s="19">
        <v>103</v>
      </c>
      <c r="M36" s="19" t="s">
        <v>527</v>
      </c>
      <c r="N36" s="19" t="s">
        <v>470</v>
      </c>
      <c r="O36" s="26" t="s">
        <v>528</v>
      </c>
      <c r="P36"/>
      <c r="Q36" s="26" t="str">
        <f>IFERROR(VLOOKUP($C36,#REF!, 17, FALSE), "")</f>
        <v/>
      </c>
      <c r="R36" s="19" t="str">
        <f>IFERROR(VLOOKUP(C36,#REF!, 15, FALSE), "")</f>
        <v/>
      </c>
      <c r="S36" s="19" t="str">
        <f>IFERROR(VLOOKUP(C36,#REF!, 14, FALSE), "")</f>
        <v/>
      </c>
      <c r="T36" s="26" t="s">
        <v>120</v>
      </c>
      <c r="U36" s="25">
        <v>0</v>
      </c>
      <c r="V36" s="26" t="s">
        <v>166</v>
      </c>
      <c r="W36" s="19" t="s">
        <v>934</v>
      </c>
      <c r="X36" s="19" t="s">
        <v>935</v>
      </c>
    </row>
    <row r="37" spans="1:24" x14ac:dyDescent="0.25">
      <c r="A37" s="19" t="s">
        <v>29</v>
      </c>
      <c r="B37" s="19" t="s">
        <v>315</v>
      </c>
      <c r="C37" s="19" t="s">
        <v>526</v>
      </c>
      <c r="D37" s="19" t="s">
        <v>232</v>
      </c>
      <c r="E37" s="19" t="str">
        <f>IFERROR(VLOOKUP(C37,#REF!, 9, FALSE), "")</f>
        <v/>
      </c>
      <c r="F37" s="19" t="str">
        <f t="shared" si="0"/>
        <v>N4 2TW</v>
      </c>
      <c r="G37">
        <v>51.571142999999999</v>
      </c>
      <c r="H37">
        <v>-9.4066628999999999E-2</v>
      </c>
      <c r="I37" s="26" t="s">
        <v>314</v>
      </c>
      <c r="J37" s="19">
        <v>285</v>
      </c>
      <c r="M37" s="19" t="s">
        <v>530</v>
      </c>
      <c r="N37" s="19" t="s">
        <v>470</v>
      </c>
      <c r="O37" s="26" t="s">
        <v>531</v>
      </c>
      <c r="P37" s="26" t="s">
        <v>943</v>
      </c>
      <c r="Q37" s="26" t="str">
        <f>IFERROR(VLOOKUP($C37,#REF!, 17, FALSE), "")</f>
        <v/>
      </c>
      <c r="R37" s="19" t="str">
        <f>IFERROR(VLOOKUP(C37,#REF!, 15, FALSE), "")</f>
        <v/>
      </c>
      <c r="S37" s="19" t="str">
        <f>IFERROR(VLOOKUP(C37,#REF!, 14, FALSE), "")</f>
        <v/>
      </c>
      <c r="T37" s="26" t="s">
        <v>119</v>
      </c>
      <c r="U37" s="25">
        <v>0</v>
      </c>
      <c r="V37" s="26" t="s">
        <v>165</v>
      </c>
      <c r="W37" s="19" t="s">
        <v>944</v>
      </c>
      <c r="X37" s="19" t="s">
        <v>945</v>
      </c>
    </row>
    <row r="38" spans="1:24" x14ac:dyDescent="0.25">
      <c r="A38" s="19" t="s">
        <v>29</v>
      </c>
      <c r="B38" s="19" t="s">
        <v>13</v>
      </c>
      <c r="C38" s="19" t="s">
        <v>508</v>
      </c>
      <c r="D38" s="19" t="s">
        <v>946</v>
      </c>
      <c r="E38" s="19" t="str">
        <f>IFERROR(VLOOKUP(C38,#REF!, 9, FALSE), "")</f>
        <v/>
      </c>
      <c r="F38" s="19" t="str">
        <f t="shared" si="0"/>
        <v>N16 7QB</v>
      </c>
      <c r="G38">
        <v>51.557048000000002</v>
      </c>
      <c r="H38">
        <v>-7.3969093999999999E-2</v>
      </c>
      <c r="I38" s="26" t="s">
        <v>304</v>
      </c>
      <c r="J38" s="19">
        <v>93</v>
      </c>
      <c r="M38" s="19" t="s">
        <v>512</v>
      </c>
      <c r="N38" s="19" t="s">
        <v>470</v>
      </c>
      <c r="O38" s="26" t="s">
        <v>513</v>
      </c>
      <c r="P38" s="26" t="s">
        <v>947</v>
      </c>
      <c r="Q38" s="26" t="str">
        <f>IFERROR(VLOOKUP($C38,#REF!, 17, FALSE), "")</f>
        <v/>
      </c>
      <c r="R38" s="19" t="str">
        <f>IFERROR(VLOOKUP(C38,#REF!, 15, FALSE), "")</f>
        <v/>
      </c>
      <c r="S38" s="19" t="str">
        <f>IFERROR(VLOOKUP(C38,#REF!, 14, FALSE), "")</f>
        <v/>
      </c>
      <c r="T38" s="26" t="s">
        <v>115</v>
      </c>
      <c r="U38" s="25">
        <v>0</v>
      </c>
      <c r="V38" s="26" t="s">
        <v>156</v>
      </c>
      <c r="W38" s="19" t="s">
        <v>948</v>
      </c>
      <c r="X38" s="19" t="s">
        <v>949</v>
      </c>
    </row>
    <row r="39" spans="1:24" x14ac:dyDescent="0.25">
      <c r="A39" s="19" t="s">
        <v>29</v>
      </c>
      <c r="B39" s="19" t="s">
        <v>589</v>
      </c>
      <c r="C39" s="19" t="s">
        <v>590</v>
      </c>
      <c r="E39" s="19" t="str">
        <f>IFERROR(VLOOKUP(C39,#REF!, 9, FALSE), "")</f>
        <v/>
      </c>
      <c r="F39" s="19" t="str">
        <f t="shared" si="0"/>
        <v/>
      </c>
      <c r="G39"/>
      <c r="H39"/>
      <c r="I39" s="26" t="s">
        <v>591</v>
      </c>
      <c r="J39" s="19">
        <v>0</v>
      </c>
      <c r="M39" s="19" t="s">
        <v>596</v>
      </c>
      <c r="N39" s="19" t="s">
        <v>572</v>
      </c>
      <c r="O39" s="26" t="s">
        <v>597</v>
      </c>
      <c r="P39" s="26" t="s">
        <v>950</v>
      </c>
      <c r="Q39" s="26" t="str">
        <f>IFERROR(VLOOKUP($C39,#REF!, 17, FALSE), "")</f>
        <v/>
      </c>
      <c r="R39" s="19" t="str">
        <f>IFERROR(VLOOKUP(C39,#REF!, 15, FALSE), "")</f>
        <v/>
      </c>
      <c r="S39" s="19" t="str">
        <f>IFERROR(VLOOKUP(C39,#REF!, 14, FALSE), "")</f>
        <v/>
      </c>
      <c r="T39" t="s">
        <v>77</v>
      </c>
      <c r="U39" s="25" t="s">
        <v>77</v>
      </c>
      <c r="V39" s="25" t="s">
        <v>77</v>
      </c>
    </row>
    <row r="40" spans="1:24" x14ac:dyDescent="0.25">
      <c r="A40" s="19" t="s">
        <v>29</v>
      </c>
      <c r="B40" s="19" t="s">
        <v>306</v>
      </c>
      <c r="C40" s="19" t="s">
        <v>511</v>
      </c>
      <c r="D40" s="19" t="s">
        <v>220</v>
      </c>
      <c r="E40" s="19" t="str">
        <f>IFERROR(VLOOKUP(C40,#REF!, 9, FALSE), "")</f>
        <v/>
      </c>
      <c r="F40" s="19" t="str">
        <f t="shared" si="0"/>
        <v>N1 4DA</v>
      </c>
      <c r="G40">
        <v>51.540774999999996</v>
      </c>
      <c r="H40">
        <v>-8.0208288000000003E-2</v>
      </c>
      <c r="I40" s="26" t="s">
        <v>305</v>
      </c>
      <c r="J40" s="19">
        <v>178</v>
      </c>
      <c r="M40" s="19" t="s">
        <v>515</v>
      </c>
      <c r="N40" s="19" t="s">
        <v>470</v>
      </c>
      <c r="O40" s="26" t="s">
        <v>516</v>
      </c>
      <c r="P40" s="26" t="s">
        <v>951</v>
      </c>
      <c r="Q40" s="26" t="str">
        <f>IFERROR(VLOOKUP($C40,#REF!, 17, FALSE), "")</f>
        <v/>
      </c>
      <c r="R40" s="19" t="str">
        <f>IFERROR(VLOOKUP(C40,#REF!, 15, FALSE), "")</f>
        <v/>
      </c>
      <c r="S40" s="19" t="str">
        <f>IFERROR(VLOOKUP(C40,#REF!, 14, FALSE), "")</f>
        <v/>
      </c>
      <c r="T40" s="26" t="s">
        <v>112</v>
      </c>
      <c r="U40" s="25">
        <v>0</v>
      </c>
      <c r="V40" s="26" t="s">
        <v>151</v>
      </c>
      <c r="W40" s="19" t="s">
        <v>952</v>
      </c>
      <c r="X40" s="19" t="s">
        <v>953</v>
      </c>
    </row>
    <row r="41" spans="1:24" x14ac:dyDescent="0.25">
      <c r="A41" s="19" t="s">
        <v>29</v>
      </c>
      <c r="B41" s="19" t="s">
        <v>288</v>
      </c>
      <c r="C41" s="19" t="s">
        <v>477</v>
      </c>
      <c r="D41" s="19" t="s">
        <v>954</v>
      </c>
      <c r="E41" s="19" t="str">
        <f>IFERROR(VLOOKUP(C41,#REF!, 9, FALSE), "")</f>
        <v/>
      </c>
      <c r="F41" s="19" t="str">
        <f t="shared" si="0"/>
        <v>Street, N16</v>
      </c>
      <c r="G41"/>
      <c r="H41"/>
      <c r="I41" s="26" t="s">
        <v>287</v>
      </c>
      <c r="J41" s="19">
        <v>80</v>
      </c>
      <c r="M41" s="19" t="s">
        <v>482</v>
      </c>
      <c r="N41" s="19" t="s">
        <v>470</v>
      </c>
      <c r="O41" s="26" t="s">
        <v>483</v>
      </c>
      <c r="P41" s="26" t="s">
        <v>955</v>
      </c>
      <c r="Q41" s="26" t="str">
        <f>IFERROR(VLOOKUP($C41,#REF!, 17, FALSE), "")</f>
        <v/>
      </c>
      <c r="R41" s="19" t="str">
        <f>IFERROR(VLOOKUP(C41,#REF!, 15, FALSE), "")</f>
        <v/>
      </c>
      <c r="S41" s="19" t="str">
        <f>IFERROR(VLOOKUP(C41,#REF!, 14, FALSE), "")</f>
        <v/>
      </c>
      <c r="T41" s="26" t="s">
        <v>110</v>
      </c>
      <c r="U41" s="25">
        <v>0</v>
      </c>
      <c r="V41" s="26" t="s">
        <v>148</v>
      </c>
      <c r="W41" s="19" t="s">
        <v>956</v>
      </c>
      <c r="X41" s="19" t="s">
        <v>957</v>
      </c>
    </row>
    <row r="42" spans="1:24" x14ac:dyDescent="0.25">
      <c r="A42" s="19" t="s">
        <v>29</v>
      </c>
      <c r="B42" s="19" t="s">
        <v>562</v>
      </c>
      <c r="C42" s="19" t="s">
        <v>563</v>
      </c>
      <c r="E42" s="19" t="str">
        <f>IFERROR(VLOOKUP(C42,#REF!, 9, FALSE), "")</f>
        <v/>
      </c>
      <c r="F42" s="19" t="str">
        <f t="shared" si="0"/>
        <v/>
      </c>
      <c r="G42"/>
      <c r="H42"/>
      <c r="I42" s="26" t="s">
        <v>564</v>
      </c>
      <c r="J42" s="19">
        <v>0</v>
      </c>
      <c r="M42" s="19" t="s">
        <v>571</v>
      </c>
      <c r="N42" s="19" t="s">
        <v>572</v>
      </c>
      <c r="O42" s="26" t="s">
        <v>573</v>
      </c>
      <c r="P42" s="26" t="s">
        <v>958</v>
      </c>
      <c r="Q42" s="26" t="str">
        <f>IFERROR(VLOOKUP($C42,#REF!, 17, FALSE), "")</f>
        <v/>
      </c>
      <c r="R42" s="19" t="str">
        <f>IFERROR(VLOOKUP(C42,#REF!, 15, FALSE), "")</f>
        <v/>
      </c>
      <c r="S42" s="19" t="str">
        <f>IFERROR(VLOOKUP(C42,#REF!, 14, FALSE), "")</f>
        <v/>
      </c>
      <c r="T42" t="s">
        <v>77</v>
      </c>
      <c r="U42" s="25" t="s">
        <v>77</v>
      </c>
      <c r="V42" s="25" t="s">
        <v>77</v>
      </c>
    </row>
    <row r="43" spans="1:24" x14ac:dyDescent="0.25">
      <c r="A43" s="19" t="s">
        <v>71</v>
      </c>
      <c r="B43" s="19" t="s">
        <v>618</v>
      </c>
      <c r="C43" s="19" t="s">
        <v>617</v>
      </c>
      <c r="D43" s="19" t="s">
        <v>959</v>
      </c>
      <c r="E43" s="19" t="str">
        <f>IFERROR(VLOOKUP(C43,#REF!, 9, FALSE), "")</f>
        <v/>
      </c>
      <c r="F43" s="19" t="str">
        <f t="shared" si="0"/>
        <v>N1 0DH)</v>
      </c>
      <c r="G43">
        <v>51.539318000000002</v>
      </c>
      <c r="H43">
        <v>-0.12190113</v>
      </c>
      <c r="I43" s="26" t="s">
        <v>347</v>
      </c>
      <c r="J43" s="19">
        <v>21</v>
      </c>
      <c r="M43" s="19" t="s">
        <v>622</v>
      </c>
      <c r="N43" s="19" t="s">
        <v>546</v>
      </c>
      <c r="O43" s="26" t="s">
        <v>623</v>
      </c>
      <c r="P43" s="26" t="s">
        <v>960</v>
      </c>
      <c r="Q43" s="20" t="s">
        <v>82</v>
      </c>
      <c r="R43" s="19" t="str">
        <f>IFERROR(VLOOKUP(C43,#REF!, 15, FALSE), "")</f>
        <v/>
      </c>
      <c r="S43" s="19" t="str">
        <f>IFERROR(VLOOKUP(C43,#REF!, 14, FALSE), "")</f>
        <v/>
      </c>
      <c r="T43" t="s">
        <v>77</v>
      </c>
      <c r="U43" s="25" t="s">
        <v>77</v>
      </c>
      <c r="V43" s="25" t="s">
        <v>77</v>
      </c>
      <c r="W43" s="19" t="s">
        <v>961</v>
      </c>
      <c r="X43" s="19" t="s">
        <v>962</v>
      </c>
    </row>
    <row r="44" spans="1:24" x14ac:dyDescent="0.25">
      <c r="A44" s="19" t="s">
        <v>71</v>
      </c>
      <c r="B44" s="19" t="s">
        <v>352</v>
      </c>
      <c r="C44" s="19" t="s">
        <v>627</v>
      </c>
      <c r="D44" s="19" t="s">
        <v>241</v>
      </c>
      <c r="E44" s="19" t="str">
        <f>IFERROR(VLOOKUP(C44,#REF!, 9, FALSE), "")</f>
        <v/>
      </c>
      <c r="F44" s="19" t="str">
        <f t="shared" si="0"/>
        <v>N5 1SA</v>
      </c>
      <c r="G44">
        <v>51.552225</v>
      </c>
      <c r="H44">
        <v>-9.8607849999999997E-2</v>
      </c>
      <c r="I44" s="26" t="s">
        <v>351</v>
      </c>
      <c r="J44" s="19">
        <v>272</v>
      </c>
      <c r="M44" s="19" t="s">
        <v>631</v>
      </c>
      <c r="N44" s="19" t="s">
        <v>546</v>
      </c>
      <c r="O44" s="26" t="s">
        <v>632</v>
      </c>
      <c r="P44" s="26" t="s">
        <v>963</v>
      </c>
      <c r="Q44" s="26" t="str">
        <f>IFERROR(VLOOKUP($C44,#REF!, 17, FALSE), "")</f>
        <v/>
      </c>
      <c r="R44" s="19" t="str">
        <f>IFERROR(VLOOKUP(C44,#REF!, 15, FALSE), "")</f>
        <v/>
      </c>
      <c r="S44" s="19" t="str">
        <f>IFERROR(VLOOKUP(C44,#REF!, 14, FALSE), "")</f>
        <v/>
      </c>
      <c r="T44" s="26" t="s">
        <v>125</v>
      </c>
      <c r="U44" s="26" t="s">
        <v>91</v>
      </c>
      <c r="V44" s="26" t="s">
        <v>173</v>
      </c>
      <c r="W44" s="19" t="s">
        <v>964</v>
      </c>
      <c r="X44" s="19" t="s">
        <v>965</v>
      </c>
    </row>
    <row r="45" spans="1:24" x14ac:dyDescent="0.25">
      <c r="A45" s="19" t="s">
        <v>71</v>
      </c>
      <c r="B45" s="19" t="s">
        <v>405</v>
      </c>
      <c r="C45" s="19" t="s">
        <v>735</v>
      </c>
      <c r="E45" s="19" t="str">
        <f>IFERROR(VLOOKUP(C45,#REF!, 9, FALSE), "")</f>
        <v/>
      </c>
      <c r="F45" s="19" t="str">
        <f t="shared" si="0"/>
        <v/>
      </c>
      <c r="G45"/>
      <c r="H45"/>
      <c r="I45" s="26" t="s">
        <v>404</v>
      </c>
      <c r="J45" s="19">
        <v>0</v>
      </c>
      <c r="M45" s="19" t="s">
        <v>737</v>
      </c>
      <c r="N45" s="19" t="s">
        <v>738</v>
      </c>
      <c r="O45" s="26" t="s">
        <v>739</v>
      </c>
      <c r="P45" s="26" t="s">
        <v>966</v>
      </c>
      <c r="Q45" s="26" t="str">
        <f>IFERROR(VLOOKUP($C45,#REF!, 17, FALSE), "")</f>
        <v/>
      </c>
      <c r="R45" s="19" t="str">
        <f>IFERROR(VLOOKUP(C45,#REF!, 15, FALSE), "")</f>
        <v/>
      </c>
      <c r="S45" s="19" t="str">
        <f>IFERROR(VLOOKUP(C45,#REF!, 14, FALSE), "")</f>
        <v/>
      </c>
      <c r="T45" t="s">
        <v>77</v>
      </c>
      <c r="U45" s="25" t="s">
        <v>77</v>
      </c>
      <c r="V45" s="25" t="s">
        <v>77</v>
      </c>
    </row>
    <row r="46" spans="1:24" x14ac:dyDescent="0.25">
      <c r="A46" s="19" t="s">
        <v>71</v>
      </c>
      <c r="B46" s="19" t="s">
        <v>388</v>
      </c>
      <c r="C46" s="19" t="s">
        <v>680</v>
      </c>
      <c r="E46" s="19" t="str">
        <f>IFERROR(VLOOKUP(C46,#REF!, 9, FALSE), "")</f>
        <v/>
      </c>
      <c r="F46" s="19" t="str">
        <f t="shared" si="0"/>
        <v/>
      </c>
      <c r="G46"/>
      <c r="H46"/>
      <c r="I46" s="26" t="s">
        <v>387</v>
      </c>
      <c r="J46" s="19">
        <v>0</v>
      </c>
      <c r="P46" s="26" t="s">
        <v>967</v>
      </c>
      <c r="Q46" s="26" t="str">
        <f>IFERROR(VLOOKUP($C46,#REF!, 17, FALSE), "")</f>
        <v/>
      </c>
      <c r="R46" s="19" t="str">
        <f>IFERROR(VLOOKUP(C46,#REF!, 15, FALSE), "")</f>
        <v/>
      </c>
      <c r="S46" s="19" t="str">
        <f>IFERROR(VLOOKUP(C46,#REF!, 14, FALSE), "")</f>
        <v/>
      </c>
      <c r="T46" t="s">
        <v>77</v>
      </c>
      <c r="U46" s="25" t="s">
        <v>77</v>
      </c>
      <c r="V46" s="25" t="s">
        <v>77</v>
      </c>
    </row>
    <row r="47" spans="1:24" x14ac:dyDescent="0.25">
      <c r="A47" s="19" t="s">
        <v>71</v>
      </c>
      <c r="B47" s="19" t="s">
        <v>717</v>
      </c>
      <c r="C47" s="19" t="s">
        <v>718</v>
      </c>
      <c r="E47" s="19" t="str">
        <f>IFERROR(VLOOKUP(C47,#REF!, 9, FALSE), "")</f>
        <v/>
      </c>
      <c r="F47" s="19" t="str">
        <f t="shared" si="0"/>
        <v/>
      </c>
      <c r="G47"/>
      <c r="H47"/>
      <c r="I47" s="26" t="s">
        <v>719</v>
      </c>
      <c r="J47" s="19">
        <v>0</v>
      </c>
      <c r="M47" s="19" t="s">
        <v>723</v>
      </c>
      <c r="N47" s="19" t="s">
        <v>572</v>
      </c>
      <c r="O47" s="26" t="s">
        <v>724</v>
      </c>
      <c r="P47" s="26" t="s">
        <v>968</v>
      </c>
      <c r="Q47" s="26" t="str">
        <f>IFERROR(VLOOKUP($C47,#REF!, 17, FALSE), "")</f>
        <v/>
      </c>
      <c r="R47" s="19" t="str">
        <f>IFERROR(VLOOKUP(C47,#REF!, 15, FALSE), "")</f>
        <v/>
      </c>
      <c r="S47" s="19" t="str">
        <f>IFERROR(VLOOKUP(C47,#REF!, 14, FALSE), "")</f>
        <v/>
      </c>
      <c r="T47" t="s">
        <v>77</v>
      </c>
      <c r="U47" s="25" t="s">
        <v>77</v>
      </c>
      <c r="V47" s="25" t="s">
        <v>77</v>
      </c>
    </row>
    <row r="48" spans="1:24" x14ac:dyDescent="0.25">
      <c r="A48" s="19" t="s">
        <v>71</v>
      </c>
      <c r="B48" s="19" t="s">
        <v>386</v>
      </c>
      <c r="C48" s="19" t="s">
        <v>677</v>
      </c>
      <c r="D48" s="19" t="s">
        <v>250</v>
      </c>
      <c r="E48" s="19" t="str">
        <f>IFERROR(VLOOKUP(C48,#REF!, 9, FALSE), "")</f>
        <v/>
      </c>
      <c r="F48" s="19" t="str">
        <f t="shared" si="0"/>
        <v>N7 6DU</v>
      </c>
      <c r="G48">
        <v>51.559497</v>
      </c>
      <c r="H48">
        <v>-0.11456349</v>
      </c>
      <c r="I48" s="26" t="s">
        <v>385</v>
      </c>
      <c r="J48" s="19">
        <v>0</v>
      </c>
      <c r="P48"/>
      <c r="Q48" s="26" t="str">
        <f>IFERROR(VLOOKUP($C48,#REF!, 17, FALSE), "")</f>
        <v/>
      </c>
      <c r="R48" s="19" t="str">
        <f>IFERROR(VLOOKUP(C48,#REF!, 15, FALSE), "")</f>
        <v/>
      </c>
      <c r="S48" s="19" t="str">
        <f>IFERROR(VLOOKUP(C48,#REF!, 14, FALSE), "")</f>
        <v/>
      </c>
      <c r="T48" s="26" t="s">
        <v>131</v>
      </c>
      <c r="U48" s="25">
        <v>0</v>
      </c>
      <c r="V48" s="26" t="s">
        <v>183</v>
      </c>
    </row>
    <row r="49" spans="1:24" x14ac:dyDescent="0.25">
      <c r="A49" s="19" t="s">
        <v>71</v>
      </c>
      <c r="B49" s="19" t="s">
        <v>401</v>
      </c>
      <c r="C49" s="19" t="s">
        <v>730</v>
      </c>
      <c r="E49" s="19" t="str">
        <f>IFERROR(VLOOKUP(C49,#REF!, 9, FALSE), "")</f>
        <v/>
      </c>
      <c r="F49" s="19" t="str">
        <f t="shared" si="0"/>
        <v/>
      </c>
      <c r="G49"/>
      <c r="H49"/>
      <c r="I49" s="26" t="s">
        <v>400</v>
      </c>
      <c r="J49" s="19">
        <v>0</v>
      </c>
      <c r="M49" s="19" t="s">
        <v>732</v>
      </c>
      <c r="N49" s="19" t="s">
        <v>733</v>
      </c>
      <c r="O49" s="26" t="s">
        <v>734</v>
      </c>
      <c r="P49"/>
      <c r="Q49" s="26" t="str">
        <f>IFERROR(VLOOKUP($C49,#REF!, 17, FALSE), "")</f>
        <v/>
      </c>
      <c r="R49" s="19" t="str">
        <f>IFERROR(VLOOKUP(C49,#REF!, 15, FALSE), "")</f>
        <v/>
      </c>
      <c r="S49" s="19" t="str">
        <f>IFERROR(VLOOKUP(C49,#REF!, 14, FALSE), "")</f>
        <v/>
      </c>
      <c r="T49" t="s">
        <v>77</v>
      </c>
      <c r="U49" s="25" t="s">
        <v>77</v>
      </c>
      <c r="V49" s="25" t="s">
        <v>77</v>
      </c>
    </row>
    <row r="50" spans="1:24" x14ac:dyDescent="0.25">
      <c r="A50" s="19" t="s">
        <v>71</v>
      </c>
      <c r="B50" s="19" t="s">
        <v>365</v>
      </c>
      <c r="C50" s="19" t="s">
        <v>648</v>
      </c>
      <c r="D50" s="19" t="s">
        <v>244</v>
      </c>
      <c r="E50" s="19" t="str">
        <f>IFERROR(VLOOKUP(C50,#REF!, 9, FALSE), "")</f>
        <v/>
      </c>
      <c r="F50" s="19" t="str">
        <f t="shared" si="0"/>
        <v>N7 8AB</v>
      </c>
      <c r="G50">
        <v>51.547403000000003</v>
      </c>
      <c r="H50">
        <v>-0.11350584</v>
      </c>
      <c r="I50" s="26" t="s">
        <v>364</v>
      </c>
      <c r="J50" s="19">
        <v>306</v>
      </c>
      <c r="M50" s="19" t="s">
        <v>652</v>
      </c>
      <c r="N50" s="19" t="s">
        <v>470</v>
      </c>
      <c r="O50" s="26" t="s">
        <v>653</v>
      </c>
      <c r="P50" s="26" t="s">
        <v>969</v>
      </c>
      <c r="Q50" s="26" t="str">
        <f>IFERROR(VLOOKUP($C50,#REF!, 17, FALSE), "")</f>
        <v/>
      </c>
      <c r="R50" s="19" t="str">
        <f>IFERROR(VLOOKUP(C50,#REF!, 15, FALSE), "")</f>
        <v/>
      </c>
      <c r="S50" s="19" t="str">
        <f>IFERROR(VLOOKUP(C50,#REF!, 14, FALSE), "")</f>
        <v/>
      </c>
      <c r="T50" t="s">
        <v>77</v>
      </c>
      <c r="U50" s="25" t="s">
        <v>77</v>
      </c>
      <c r="V50" s="25" t="s">
        <v>77</v>
      </c>
      <c r="W50" s="19" t="s">
        <v>970</v>
      </c>
      <c r="X50" s="19" t="s">
        <v>971</v>
      </c>
    </row>
    <row r="51" spans="1:24" x14ac:dyDescent="0.25">
      <c r="A51" s="19" t="s">
        <v>71</v>
      </c>
      <c r="B51" s="19" t="s">
        <v>403</v>
      </c>
      <c r="C51" s="19" t="s">
        <v>731</v>
      </c>
      <c r="E51" s="19" t="str">
        <f>IFERROR(VLOOKUP(C51,#REF!, 9, FALSE), "")</f>
        <v/>
      </c>
      <c r="F51" s="19" t="str">
        <f t="shared" si="0"/>
        <v/>
      </c>
      <c r="G51"/>
      <c r="H51"/>
      <c r="I51" s="26" t="s">
        <v>402</v>
      </c>
      <c r="J51" s="19">
        <v>0</v>
      </c>
      <c r="P51"/>
      <c r="Q51" s="26" t="str">
        <f>IFERROR(VLOOKUP($C51,#REF!, 17, FALSE), "")</f>
        <v/>
      </c>
      <c r="R51" s="19" t="str">
        <f>IFERROR(VLOOKUP(C51,#REF!, 15, FALSE), "")</f>
        <v/>
      </c>
      <c r="S51" s="19" t="str">
        <f>IFERROR(VLOOKUP(C51,#REF!, 14, FALSE), "")</f>
        <v/>
      </c>
      <c r="T51" t="s">
        <v>77</v>
      </c>
      <c r="U51" s="25" t="s">
        <v>77</v>
      </c>
      <c r="V51" s="25" t="s">
        <v>77</v>
      </c>
    </row>
    <row r="52" spans="1:24" x14ac:dyDescent="0.25">
      <c r="A52" s="19" t="s">
        <v>71</v>
      </c>
      <c r="B52" s="19" t="s">
        <v>399</v>
      </c>
      <c r="C52" s="19" t="s">
        <v>728</v>
      </c>
      <c r="E52" s="19" t="str">
        <f>IFERROR(VLOOKUP(C52,#REF!, 9, FALSE), "")</f>
        <v/>
      </c>
      <c r="F52" s="19" t="str">
        <f t="shared" si="0"/>
        <v/>
      </c>
      <c r="G52"/>
      <c r="H52"/>
      <c r="I52" s="26" t="s">
        <v>398</v>
      </c>
      <c r="J52" s="19">
        <v>0</v>
      </c>
      <c r="P52"/>
      <c r="Q52" s="26" t="str">
        <f>IFERROR(VLOOKUP($C52,#REF!, 17, FALSE), "")</f>
        <v/>
      </c>
      <c r="R52" s="19" t="str">
        <f>IFERROR(VLOOKUP(C52,#REF!, 15, FALSE), "")</f>
        <v/>
      </c>
      <c r="S52" s="19" t="str">
        <f>IFERROR(VLOOKUP(C52,#REF!, 14, FALSE), "")</f>
        <v/>
      </c>
      <c r="T52" t="s">
        <v>77</v>
      </c>
      <c r="U52" s="25" t="s">
        <v>77</v>
      </c>
      <c r="V52" s="25" t="s">
        <v>77</v>
      </c>
    </row>
    <row r="53" spans="1:24" x14ac:dyDescent="0.25">
      <c r="A53" s="19" t="s">
        <v>71</v>
      </c>
      <c r="B53" s="19" t="s">
        <v>367</v>
      </c>
      <c r="C53" s="19" t="s">
        <v>651</v>
      </c>
      <c r="E53" s="19" t="str">
        <f>IFERROR(VLOOKUP(C53,#REF!, 9, FALSE), "")</f>
        <v/>
      </c>
      <c r="F53" s="19" t="str">
        <f t="shared" si="0"/>
        <v/>
      </c>
      <c r="G53"/>
      <c r="H53"/>
      <c r="I53" s="26" t="s">
        <v>366</v>
      </c>
      <c r="J53" s="19">
        <v>0</v>
      </c>
      <c r="P53" s="26" t="s">
        <v>972</v>
      </c>
      <c r="Q53" s="26" t="str">
        <f>IFERROR(VLOOKUP($C53,#REF!, 17, FALSE), "")</f>
        <v/>
      </c>
      <c r="R53" s="19" t="str">
        <f>IFERROR(VLOOKUP(C53,#REF!, 15, FALSE), "")</f>
        <v/>
      </c>
      <c r="S53" s="19" t="str">
        <f>IFERROR(VLOOKUP(C53,#REF!, 14, FALSE), "")</f>
        <v/>
      </c>
      <c r="T53" t="s">
        <v>77</v>
      </c>
      <c r="U53" s="25" t="s">
        <v>77</v>
      </c>
      <c r="V53" s="25" t="s">
        <v>77</v>
      </c>
    </row>
    <row r="54" spans="1:24" x14ac:dyDescent="0.25">
      <c r="A54" s="19" t="s">
        <v>71</v>
      </c>
      <c r="B54" s="19" t="s">
        <v>380</v>
      </c>
      <c r="C54" s="19" t="s">
        <v>670</v>
      </c>
      <c r="D54" s="19" t="s">
        <v>461</v>
      </c>
      <c r="E54" s="19" t="str">
        <f>IFERROR(VLOOKUP(C54,#REF!, 9, FALSE), "")</f>
        <v/>
      </c>
      <c r="F54" s="19" t="str">
        <f t="shared" si="0"/>
        <v>EC1R 4QE</v>
      </c>
      <c r="G54">
        <v>51.525861999999996</v>
      </c>
      <c r="H54">
        <v>-0.10884609000000001</v>
      </c>
      <c r="I54" s="26" t="s">
        <v>379</v>
      </c>
      <c r="J54" s="19">
        <v>90</v>
      </c>
      <c r="M54" s="19" t="s">
        <v>674</v>
      </c>
      <c r="N54" s="19" t="s">
        <v>470</v>
      </c>
      <c r="O54" s="26" t="s">
        <v>675</v>
      </c>
      <c r="P54" s="26" t="s">
        <v>973</v>
      </c>
      <c r="Q54" s="26" t="str">
        <f>IFERROR(VLOOKUP($C54,#REF!, 17, FALSE), "")</f>
        <v/>
      </c>
      <c r="R54" s="19" t="str">
        <f>IFERROR(VLOOKUP(C54,#REF!, 15, FALSE), "")</f>
        <v/>
      </c>
      <c r="S54" s="19" t="str">
        <f>IFERROR(VLOOKUP(C54,#REF!, 14, FALSE), "")</f>
        <v/>
      </c>
      <c r="T54" s="26" t="s">
        <v>122</v>
      </c>
      <c r="U54" s="26" t="s">
        <v>88</v>
      </c>
      <c r="V54" s="26" t="s">
        <v>169</v>
      </c>
      <c r="W54" s="19" t="s">
        <v>974</v>
      </c>
      <c r="X54" s="19" t="s">
        <v>975</v>
      </c>
    </row>
    <row r="55" spans="1:24" x14ac:dyDescent="0.25">
      <c r="A55" s="19" t="s">
        <v>71</v>
      </c>
      <c r="B55" s="19" t="s">
        <v>616</v>
      </c>
      <c r="C55" s="19" t="s">
        <v>617</v>
      </c>
      <c r="D55" s="19" t="s">
        <v>234</v>
      </c>
      <c r="E55" s="19" t="str">
        <f>IFERROR(VLOOKUP(C55,#REF!, 9, FALSE), "")</f>
        <v/>
      </c>
      <c r="F55" s="19" t="str">
        <f t="shared" si="0"/>
        <v>N1 1BQ</v>
      </c>
      <c r="G55">
        <v>51.540033999999999</v>
      </c>
      <c r="H55">
        <v>-0.11441622</v>
      </c>
      <c r="I55" s="26" t="s">
        <v>346</v>
      </c>
      <c r="J55" s="19">
        <v>103</v>
      </c>
      <c r="M55" s="19" t="s">
        <v>619</v>
      </c>
      <c r="N55" s="19" t="s">
        <v>620</v>
      </c>
      <c r="O55" s="26" t="s">
        <v>621</v>
      </c>
      <c r="P55" s="26" t="s">
        <v>976</v>
      </c>
      <c r="Q55" s="26" t="str">
        <f>IFERROR(VLOOKUP($C55,#REF!, 17, FALSE), "")</f>
        <v/>
      </c>
      <c r="R55" s="19" t="str">
        <f>IFERROR(VLOOKUP(C55,#REF!, 15, FALSE), "")</f>
        <v/>
      </c>
      <c r="S55" s="19" t="str">
        <f>IFERROR(VLOOKUP(C55,#REF!, 14, FALSE), "")</f>
        <v/>
      </c>
      <c r="T55" t="s">
        <v>77</v>
      </c>
      <c r="U55" s="25" t="s">
        <v>77</v>
      </c>
      <c r="V55" s="25" t="s">
        <v>77</v>
      </c>
      <c r="W55" s="19" t="s">
        <v>961</v>
      </c>
      <c r="X55" s="19" t="s">
        <v>962</v>
      </c>
    </row>
    <row r="56" spans="1:24" x14ac:dyDescent="0.25">
      <c r="A56" s="19" t="s">
        <v>71</v>
      </c>
      <c r="B56" s="19" t="s">
        <v>343</v>
      </c>
      <c r="C56" s="19" t="s">
        <v>610</v>
      </c>
      <c r="D56" s="19" t="s">
        <v>246</v>
      </c>
      <c r="E56" s="19" t="str">
        <f>IFERROR(VLOOKUP(C56,#REF!, 9, FALSE), "")</f>
        <v/>
      </c>
      <c r="F56" s="19" t="str">
        <f t="shared" si="0"/>
        <v>N19 3TN</v>
      </c>
      <c r="G56">
        <v>51.570506000000002</v>
      </c>
      <c r="H56">
        <v>-0.13495963</v>
      </c>
      <c r="I56" s="26" t="s">
        <v>342</v>
      </c>
      <c r="J56" s="19">
        <v>44</v>
      </c>
      <c r="M56" s="19" t="s">
        <v>614</v>
      </c>
      <c r="N56" s="19" t="s">
        <v>470</v>
      </c>
      <c r="O56" s="26" t="s">
        <v>615</v>
      </c>
      <c r="P56" s="26" t="s">
        <v>977</v>
      </c>
      <c r="Q56" s="26" t="str">
        <f>IFERROR(VLOOKUP($C56,#REF!, 17, FALSE), "")</f>
        <v/>
      </c>
      <c r="R56" s="19" t="str">
        <f>IFERROR(VLOOKUP(C56,#REF!, 15, FALSE), "")</f>
        <v/>
      </c>
      <c r="S56" s="19" t="str">
        <f>IFERROR(VLOOKUP(C56,#REF!, 14, FALSE), "")</f>
        <v/>
      </c>
      <c r="T56">
        <v>0</v>
      </c>
      <c r="U56" s="25">
        <v>0</v>
      </c>
      <c r="V56" s="26" t="s">
        <v>177</v>
      </c>
      <c r="W56" s="19" t="s">
        <v>978</v>
      </c>
      <c r="X56" s="19" t="s">
        <v>979</v>
      </c>
    </row>
    <row r="57" spans="1:24" x14ac:dyDescent="0.25">
      <c r="A57" s="19" t="s">
        <v>71</v>
      </c>
      <c r="B57" s="19" t="s">
        <v>720</v>
      </c>
      <c r="C57" s="19" t="s">
        <v>721</v>
      </c>
      <c r="E57" s="19" t="str">
        <f>IFERROR(VLOOKUP(C57,#REF!, 9, FALSE), "")</f>
        <v/>
      </c>
      <c r="F57" s="19" t="str">
        <f t="shared" si="0"/>
        <v/>
      </c>
      <c r="G57"/>
      <c r="H57"/>
      <c r="I57" s="26" t="s">
        <v>722</v>
      </c>
      <c r="J57" s="19">
        <v>0</v>
      </c>
      <c r="M57" s="19" t="s">
        <v>726</v>
      </c>
      <c r="N57" s="19" t="s">
        <v>572</v>
      </c>
      <c r="O57" s="26" t="s">
        <v>727</v>
      </c>
      <c r="P57" s="26" t="s">
        <v>980</v>
      </c>
      <c r="Q57" s="26" t="str">
        <f>IFERROR(VLOOKUP($C57,#REF!, 17, FALSE), "")</f>
        <v/>
      </c>
      <c r="R57" s="19" t="str">
        <f>IFERROR(VLOOKUP(C57,#REF!, 15, FALSE), "")</f>
        <v/>
      </c>
      <c r="S57" s="19" t="str">
        <f>IFERROR(VLOOKUP(C57,#REF!, 14, FALSE), "")</f>
        <v/>
      </c>
      <c r="T57" t="s">
        <v>77</v>
      </c>
      <c r="U57" s="25" t="s">
        <v>77</v>
      </c>
      <c r="V57" s="25" t="s">
        <v>77</v>
      </c>
    </row>
    <row r="58" spans="1:24" x14ac:dyDescent="0.25">
      <c r="A58" s="19" t="s">
        <v>71</v>
      </c>
      <c r="B58" s="19" t="s">
        <v>350</v>
      </c>
      <c r="C58" s="19" t="s">
        <v>624</v>
      </c>
      <c r="D58" s="19" t="s">
        <v>242</v>
      </c>
      <c r="E58" s="19" t="str">
        <f>IFERROR(VLOOKUP(C58,#REF!, 9, FALSE), "")</f>
        <v/>
      </c>
      <c r="F58" s="19" t="str">
        <f t="shared" si="0"/>
        <v>N5 2DR</v>
      </c>
      <c r="G58">
        <v>51.555284</v>
      </c>
      <c r="H58">
        <v>-9.2075385999999995E-2</v>
      </c>
      <c r="I58" s="26" t="s">
        <v>349</v>
      </c>
      <c r="J58" s="19">
        <v>124</v>
      </c>
      <c r="M58" s="19" t="s">
        <v>628</v>
      </c>
      <c r="N58" s="19" t="s">
        <v>470</v>
      </c>
      <c r="O58" s="26" t="s">
        <v>629</v>
      </c>
      <c r="P58" s="26" t="s">
        <v>981</v>
      </c>
      <c r="Q58" s="26" t="str">
        <f>IFERROR(VLOOKUP($C58,#REF!, 17, FALSE), "")</f>
        <v/>
      </c>
      <c r="R58" s="19" t="str">
        <f>IFERROR(VLOOKUP(C58,#REF!, 15, FALSE), "")</f>
        <v/>
      </c>
      <c r="S58" s="19" t="str">
        <f>IFERROR(VLOOKUP(C58,#REF!, 14, FALSE), "")</f>
        <v/>
      </c>
      <c r="T58" s="26" t="s">
        <v>126</v>
      </c>
      <c r="U58" s="25">
        <v>0</v>
      </c>
      <c r="V58" s="26" t="s">
        <v>174</v>
      </c>
      <c r="W58" s="19" t="s">
        <v>982</v>
      </c>
      <c r="X58" s="19" t="s">
        <v>983</v>
      </c>
    </row>
    <row r="59" spans="1:24" x14ac:dyDescent="0.25">
      <c r="A59" s="19" t="s">
        <v>71</v>
      </c>
      <c r="B59" s="19" t="s">
        <v>384</v>
      </c>
      <c r="C59" s="19" t="s">
        <v>676</v>
      </c>
      <c r="D59" s="19" t="s">
        <v>239</v>
      </c>
      <c r="E59" s="19" t="str">
        <f>IFERROR(VLOOKUP(C59,#REF!, 9, FALSE), "")</f>
        <v/>
      </c>
      <c r="F59" s="19" t="str">
        <f t="shared" si="0"/>
        <v>EC1V 8DA</v>
      </c>
      <c r="G59">
        <v>51.527822</v>
      </c>
      <c r="H59">
        <v>-9.7649624000000004E-2</v>
      </c>
      <c r="I59" s="26" t="s">
        <v>383</v>
      </c>
      <c r="J59" s="19">
        <v>83</v>
      </c>
      <c r="M59" s="19" t="s">
        <v>678</v>
      </c>
      <c r="N59" s="19" t="s">
        <v>470</v>
      </c>
      <c r="O59" s="26" t="s">
        <v>679</v>
      </c>
      <c r="P59" s="26" t="s">
        <v>984</v>
      </c>
      <c r="Q59" s="26" t="str">
        <f>IFERROR(VLOOKUP($C59,#REF!, 17, FALSE), "")</f>
        <v/>
      </c>
      <c r="R59" s="19" t="str">
        <f>IFERROR(VLOOKUP(C59,#REF!, 15, FALSE), "")</f>
        <v/>
      </c>
      <c r="S59" s="19" t="str">
        <f>IFERROR(VLOOKUP(C59,#REF!, 14, FALSE), "")</f>
        <v/>
      </c>
      <c r="T59" s="26" t="s">
        <v>123</v>
      </c>
      <c r="U59" s="26" t="s">
        <v>90</v>
      </c>
      <c r="V59" s="26" t="s">
        <v>171</v>
      </c>
      <c r="W59" s="19" t="s">
        <v>985</v>
      </c>
      <c r="X59" s="19" t="s">
        <v>986</v>
      </c>
    </row>
    <row r="60" spans="1:24" x14ac:dyDescent="0.25">
      <c r="A60" s="19" t="s">
        <v>71</v>
      </c>
      <c r="B60" s="19" t="s">
        <v>465</v>
      </c>
      <c r="C60" s="19" t="s">
        <v>630</v>
      </c>
      <c r="D60" s="19" t="s">
        <v>251</v>
      </c>
      <c r="E60" s="19" t="str">
        <f>IFERROR(VLOOKUP(C60,#REF!, 9, FALSE), "")</f>
        <v/>
      </c>
      <c r="F60" s="19" t="str">
        <f t="shared" si="0"/>
        <v>N7 0ND</v>
      </c>
      <c r="G60">
        <v>51.556232999999999</v>
      </c>
      <c r="H60">
        <v>-0.12525805000000001</v>
      </c>
      <c r="I60" s="26" t="s">
        <v>353</v>
      </c>
      <c r="J60" s="19">
        <v>44</v>
      </c>
      <c r="M60" s="19" t="s">
        <v>634</v>
      </c>
      <c r="N60" s="19" t="s">
        <v>479</v>
      </c>
      <c r="O60" s="26" t="s">
        <v>635</v>
      </c>
      <c r="P60" s="26" t="s">
        <v>987</v>
      </c>
      <c r="Q60" s="26" t="str">
        <f>IFERROR(VLOOKUP($C60,#REF!, 17, FALSE), "")</f>
        <v/>
      </c>
      <c r="R60" s="19" t="str">
        <f>IFERROR(VLOOKUP(C60,#REF!, 15, FALSE), "")</f>
        <v/>
      </c>
      <c r="S60" s="19" t="str">
        <f>IFERROR(VLOOKUP(C60,#REF!, 14, FALSE), "")</f>
        <v/>
      </c>
      <c r="T60" s="26" t="s">
        <v>132</v>
      </c>
      <c r="U60" s="25">
        <v>0</v>
      </c>
      <c r="V60" s="26" t="s">
        <v>184</v>
      </c>
      <c r="W60" s="19" t="s">
        <v>988</v>
      </c>
      <c r="X60" s="19" t="s">
        <v>989</v>
      </c>
    </row>
    <row r="61" spans="1:24" x14ac:dyDescent="0.25">
      <c r="A61" s="19" t="s">
        <v>71</v>
      </c>
      <c r="B61" s="19" t="s">
        <v>378</v>
      </c>
      <c r="C61" s="19" t="s">
        <v>667</v>
      </c>
      <c r="D61" s="19" t="s">
        <v>237</v>
      </c>
      <c r="E61" s="19" t="str">
        <f>IFERROR(VLOOKUP(C61,#REF!, 9, FALSE), "")</f>
        <v/>
      </c>
      <c r="F61" s="19" t="str">
        <f t="shared" si="0"/>
        <v>EC1R 0EA</v>
      </c>
      <c r="G61">
        <v>51.523352000000003</v>
      </c>
      <c r="H61">
        <v>-0.10543275000000001</v>
      </c>
      <c r="I61" s="26" t="s">
        <v>377</v>
      </c>
      <c r="J61" s="19">
        <v>162</v>
      </c>
      <c r="M61" s="19" t="s">
        <v>671</v>
      </c>
      <c r="N61" s="19" t="s">
        <v>479</v>
      </c>
      <c r="O61" s="26" t="s">
        <v>672</v>
      </c>
      <c r="P61" s="26" t="s">
        <v>990</v>
      </c>
      <c r="Q61" s="26" t="str">
        <f>IFERROR(VLOOKUP($C61,#REF!, 17, FALSE), "")</f>
        <v/>
      </c>
      <c r="R61" s="19" t="str">
        <f>IFERROR(VLOOKUP(C61,#REF!, 15, FALSE), "")</f>
        <v/>
      </c>
      <c r="S61" s="19" t="str">
        <f>IFERROR(VLOOKUP(C61,#REF!, 14, FALSE), "")</f>
        <v/>
      </c>
      <c r="T61" s="26" t="s">
        <v>122</v>
      </c>
      <c r="U61" s="26" t="s">
        <v>89</v>
      </c>
      <c r="V61" s="26" t="s">
        <v>170</v>
      </c>
      <c r="W61" s="19" t="s">
        <v>991</v>
      </c>
      <c r="X61" s="19" t="s">
        <v>992</v>
      </c>
    </row>
    <row r="62" spans="1:24" x14ac:dyDescent="0.25">
      <c r="A62" s="19" t="s">
        <v>71</v>
      </c>
      <c r="B62" s="19" t="s">
        <v>355</v>
      </c>
      <c r="C62" s="19" t="s">
        <v>633</v>
      </c>
      <c r="D62" s="19" t="s">
        <v>269</v>
      </c>
      <c r="E62" s="19" t="str">
        <f>IFERROR(VLOOKUP(C62,#REF!, 9, FALSE), "")</f>
        <v/>
      </c>
      <c r="F62" s="19" t="str">
        <f t="shared" si="0"/>
        <v>N1 8PF</v>
      </c>
      <c r="G62">
        <v>51.536580000000001</v>
      </c>
      <c r="H62">
        <v>-9.6534630999999996E-2</v>
      </c>
      <c r="I62" s="26" t="s">
        <v>354</v>
      </c>
      <c r="J62" s="19">
        <v>109</v>
      </c>
      <c r="M62" s="19" t="s">
        <v>637</v>
      </c>
      <c r="N62" s="19" t="s">
        <v>470</v>
      </c>
      <c r="O62" s="26" t="s">
        <v>638</v>
      </c>
      <c r="P62" s="26" t="s">
        <v>993</v>
      </c>
      <c r="Q62" s="26" t="str">
        <f>IFERROR(VLOOKUP($C62,#REF!, 17, FALSE), "")</f>
        <v/>
      </c>
      <c r="R62" s="19" t="str">
        <f>IFERROR(VLOOKUP(C62,#REF!, 15, FALSE), "")</f>
        <v/>
      </c>
      <c r="S62" s="19" t="str">
        <f>IFERROR(VLOOKUP(C62,#REF!, 14, FALSE), "")</f>
        <v/>
      </c>
      <c r="T62" s="26" t="s">
        <v>129</v>
      </c>
      <c r="U62" s="26" t="s">
        <v>92</v>
      </c>
      <c r="V62" s="26" t="s">
        <v>179</v>
      </c>
      <c r="W62" s="19" t="s">
        <v>994</v>
      </c>
      <c r="X62" s="19" t="s">
        <v>995</v>
      </c>
    </row>
    <row r="63" spans="1:24" x14ac:dyDescent="0.25">
      <c r="A63" s="19" t="s">
        <v>71</v>
      </c>
      <c r="B63" s="19" t="s">
        <v>64</v>
      </c>
      <c r="C63" s="19" t="s">
        <v>654</v>
      </c>
      <c r="D63" s="19" t="s">
        <v>279</v>
      </c>
      <c r="E63" s="19" t="str">
        <f>IFERROR(VLOOKUP(C63,#REF!, 9, FALSE), "")</f>
        <v/>
      </c>
      <c r="F63" s="19" t="str">
        <f t="shared" si="0"/>
        <v>N19 5RR</v>
      </c>
      <c r="G63">
        <v>51.562646999999998</v>
      </c>
      <c r="H63">
        <v>-0.13163098000000001</v>
      </c>
      <c r="I63" s="26" t="s">
        <v>368</v>
      </c>
      <c r="J63" s="19">
        <v>306</v>
      </c>
      <c r="M63" s="19" t="s">
        <v>656</v>
      </c>
      <c r="N63" s="19" t="s">
        <v>470</v>
      </c>
      <c r="O63" s="26" t="s">
        <v>657</v>
      </c>
      <c r="P63" s="26" t="s">
        <v>996</v>
      </c>
      <c r="Q63" s="26" t="str">
        <f>IFERROR(VLOOKUP($C63,#REF!, 17, FALSE), "")</f>
        <v/>
      </c>
      <c r="R63" s="19" t="str">
        <f>IFERROR(VLOOKUP(C63,#REF!, 15, FALSE), "")</f>
        <v/>
      </c>
      <c r="S63" s="19" t="str">
        <f>IFERROR(VLOOKUP(C63,#REF!, 14, FALSE), "")</f>
        <v/>
      </c>
      <c r="T63" s="26" t="s">
        <v>128</v>
      </c>
      <c r="U63" s="25">
        <v>0</v>
      </c>
      <c r="V63" s="26" t="s">
        <v>178</v>
      </c>
      <c r="W63" s="19" t="s">
        <v>988</v>
      </c>
      <c r="X63" s="19" t="s">
        <v>989</v>
      </c>
    </row>
    <row r="64" spans="1:24" x14ac:dyDescent="0.25">
      <c r="A64" s="19" t="s">
        <v>71</v>
      </c>
      <c r="B64" s="19" t="s">
        <v>689</v>
      </c>
      <c r="C64" s="19" t="s">
        <v>690</v>
      </c>
      <c r="E64" s="19" t="str">
        <f>IFERROR(VLOOKUP(C64,#REF!, 9, FALSE), "")</f>
        <v/>
      </c>
      <c r="F64" s="19" t="str">
        <f t="shared" si="0"/>
        <v/>
      </c>
      <c r="G64"/>
      <c r="H64"/>
      <c r="I64" s="26" t="s">
        <v>691</v>
      </c>
      <c r="J64" s="19">
        <v>0</v>
      </c>
      <c r="M64" s="19" t="s">
        <v>698</v>
      </c>
      <c r="N64" s="19" t="s">
        <v>572</v>
      </c>
      <c r="O64" s="26" t="s">
        <v>699</v>
      </c>
      <c r="P64" s="26" t="s">
        <v>997</v>
      </c>
      <c r="Q64" s="26" t="str">
        <f>IFERROR(VLOOKUP($C64,#REF!, 17, FALSE), "")</f>
        <v/>
      </c>
      <c r="R64" s="19" t="str">
        <f>IFERROR(VLOOKUP(C64,#REF!, 15, FALSE), "")</f>
        <v/>
      </c>
      <c r="S64" s="19" t="str">
        <f>IFERROR(VLOOKUP(C64,#REF!, 14, FALSE), "")</f>
        <v/>
      </c>
      <c r="T64" t="s">
        <v>77</v>
      </c>
      <c r="U64" s="25" t="s">
        <v>77</v>
      </c>
      <c r="V64" s="25" t="s">
        <v>77</v>
      </c>
    </row>
    <row r="65" spans="1:24" x14ac:dyDescent="0.25">
      <c r="A65" s="19" t="s">
        <v>71</v>
      </c>
      <c r="B65" s="19" t="s">
        <v>689</v>
      </c>
      <c r="C65" s="19" t="s">
        <v>716</v>
      </c>
      <c r="E65" s="19" t="str">
        <f>IFERROR(VLOOKUP(C65,#REF!, 9, FALSE), "")</f>
        <v/>
      </c>
      <c r="F65" s="19" t="str">
        <f t="shared" si="0"/>
        <v/>
      </c>
      <c r="G65"/>
      <c r="H65"/>
      <c r="I65" s="26" t="s">
        <v>691</v>
      </c>
      <c r="J65" s="19">
        <v>0</v>
      </c>
      <c r="M65" s="19" t="s">
        <v>698</v>
      </c>
      <c r="N65" s="19" t="s">
        <v>572</v>
      </c>
      <c r="O65" s="26" t="s">
        <v>699</v>
      </c>
      <c r="P65" s="26" t="s">
        <v>997</v>
      </c>
      <c r="Q65" s="26" t="str">
        <f>IFERROR(VLOOKUP($C65,#REF!, 17, FALSE), "")</f>
        <v/>
      </c>
      <c r="R65" s="19" t="str">
        <f>IFERROR(VLOOKUP(C65,#REF!, 15, FALSE), "")</f>
        <v/>
      </c>
      <c r="S65" s="19" t="str">
        <f>IFERROR(VLOOKUP(C65,#REF!, 14, FALSE), "")</f>
        <v/>
      </c>
      <c r="T65" t="s">
        <v>77</v>
      </c>
      <c r="U65" s="25" t="s">
        <v>77</v>
      </c>
      <c r="V65" s="25" t="s">
        <v>77</v>
      </c>
    </row>
    <row r="66" spans="1:24" x14ac:dyDescent="0.25">
      <c r="A66" s="19" t="s">
        <v>71</v>
      </c>
      <c r="B66" s="19" t="s">
        <v>700</v>
      </c>
      <c r="C66" s="19" t="s">
        <v>701</v>
      </c>
      <c r="E66" s="19" t="str">
        <f>IFERROR(VLOOKUP(C66,#REF!, 9, FALSE), "")</f>
        <v/>
      </c>
      <c r="F66" s="19" t="str">
        <f t="shared" si="0"/>
        <v/>
      </c>
      <c r="G66"/>
      <c r="H66"/>
      <c r="I66" s="26" t="s">
        <v>702</v>
      </c>
      <c r="J66" s="19">
        <v>0</v>
      </c>
      <c r="M66" s="19" t="s">
        <v>708</v>
      </c>
      <c r="N66" s="19" t="s">
        <v>572</v>
      </c>
      <c r="O66" s="26" t="s">
        <v>709</v>
      </c>
      <c r="P66" s="26" t="s">
        <v>998</v>
      </c>
      <c r="Q66" s="26" t="str">
        <f>IFERROR(VLOOKUP($C66,#REF!, 17, FALSE), "")</f>
        <v/>
      </c>
      <c r="R66" s="19" t="str">
        <f>IFERROR(VLOOKUP(C66,#REF!, 15, FALSE), "")</f>
        <v/>
      </c>
      <c r="S66" s="19" t="str">
        <f>IFERROR(VLOOKUP(C66,#REF!, 14, FALSE), "")</f>
        <v/>
      </c>
      <c r="T66" t="s">
        <v>77</v>
      </c>
      <c r="U66" s="25" t="s">
        <v>77</v>
      </c>
      <c r="V66" s="25" t="s">
        <v>77</v>
      </c>
    </row>
    <row r="67" spans="1:24" x14ac:dyDescent="0.25">
      <c r="A67" s="19" t="s">
        <v>71</v>
      </c>
      <c r="B67" s="19" t="s">
        <v>357</v>
      </c>
      <c r="C67" s="19" t="s">
        <v>636</v>
      </c>
      <c r="D67" s="19" t="s">
        <v>282</v>
      </c>
      <c r="E67" s="19" t="str">
        <f>IFERROR(VLOOKUP(C67,#REF!, 9, FALSE), "")</f>
        <v/>
      </c>
      <c r="F67" s="19" t="str">
        <f t="shared" ref="F67:F130" si="1">IF("" &lt;&gt; D67, D67, E67)</f>
        <v>N1 4PL</v>
      </c>
      <c r="G67">
        <v>51.548955999999997</v>
      </c>
      <c r="H67">
        <v>-8.1724529000000004E-2</v>
      </c>
      <c r="I67" s="26" t="s">
        <v>356</v>
      </c>
      <c r="J67" s="19">
        <v>74</v>
      </c>
      <c r="M67" s="19" t="s">
        <v>640</v>
      </c>
      <c r="N67" s="19" t="s">
        <v>470</v>
      </c>
      <c r="O67" s="26" t="s">
        <v>641</v>
      </c>
      <c r="P67" s="26" t="s">
        <v>999</v>
      </c>
      <c r="Q67" s="26" t="str">
        <f>IFERROR(VLOOKUP($C67,#REF!, 17, FALSE), "")</f>
        <v/>
      </c>
      <c r="R67" s="19" t="str">
        <f>IFERROR(VLOOKUP(C67,#REF!, 15, FALSE), "")</f>
        <v/>
      </c>
      <c r="S67" s="19" t="str">
        <f>IFERROR(VLOOKUP(C67,#REF!, 14, FALSE), "")</f>
        <v/>
      </c>
      <c r="T67">
        <v>0</v>
      </c>
      <c r="U67" s="25">
        <v>0</v>
      </c>
      <c r="V67" s="26" t="s">
        <v>181</v>
      </c>
      <c r="W67" s="19" t="s">
        <v>1000</v>
      </c>
      <c r="X67" s="19" t="s">
        <v>1001</v>
      </c>
    </row>
    <row r="68" spans="1:24" x14ac:dyDescent="0.25">
      <c r="A68" s="19" t="s">
        <v>71</v>
      </c>
      <c r="B68" s="19" t="s">
        <v>359</v>
      </c>
      <c r="C68" s="19" t="s">
        <v>639</v>
      </c>
      <c r="D68" s="19" t="s">
        <v>243</v>
      </c>
      <c r="E68" s="19" t="str">
        <f>IFERROR(VLOOKUP(C68,#REF!, 9, FALSE), "")</f>
        <v/>
      </c>
      <c r="F68" s="19" t="str">
        <f t="shared" si="1"/>
        <v>N7 9JE</v>
      </c>
      <c r="G68">
        <v>51.551972999999997</v>
      </c>
      <c r="H68">
        <v>-0.12093279999999999</v>
      </c>
      <c r="I68" s="26" t="s">
        <v>358</v>
      </c>
      <c r="J68" s="19">
        <v>268</v>
      </c>
      <c r="M68" s="19" t="s">
        <v>643</v>
      </c>
      <c r="N68" s="19" t="s">
        <v>470</v>
      </c>
      <c r="O68" s="26" t="s">
        <v>644</v>
      </c>
      <c r="P68" s="26" t="s">
        <v>1002</v>
      </c>
      <c r="Q68" s="26" t="str">
        <f>IFERROR(VLOOKUP($C68,#REF!, 17, FALSE), "")</f>
        <v/>
      </c>
      <c r="R68" s="19" t="str">
        <f>IFERROR(VLOOKUP(C68,#REF!, 15, FALSE), "")</f>
        <v/>
      </c>
      <c r="S68" s="19" t="str">
        <f>IFERROR(VLOOKUP(C68,#REF!, 14, FALSE), "")</f>
        <v/>
      </c>
      <c r="T68">
        <v>0</v>
      </c>
      <c r="U68" s="25">
        <v>0</v>
      </c>
      <c r="V68" s="26" t="s">
        <v>175</v>
      </c>
      <c r="W68" s="19" t="s">
        <v>1003</v>
      </c>
      <c r="X68" s="19" t="s">
        <v>1004</v>
      </c>
    </row>
    <row r="69" spans="1:24" x14ac:dyDescent="0.25">
      <c r="A69" s="19" t="s">
        <v>71</v>
      </c>
      <c r="B69" s="19" t="s">
        <v>705</v>
      </c>
      <c r="C69" s="19" t="s">
        <v>706</v>
      </c>
      <c r="E69" s="19" t="str">
        <f>IFERROR(VLOOKUP(C69,#REF!, 9, FALSE), "")</f>
        <v/>
      </c>
      <c r="F69" s="19" t="str">
        <f t="shared" si="1"/>
        <v/>
      </c>
      <c r="G69"/>
      <c r="H69"/>
      <c r="I69" s="26" t="s">
        <v>707</v>
      </c>
      <c r="J69" s="19">
        <v>0</v>
      </c>
      <c r="M69" s="19" t="s">
        <v>711</v>
      </c>
      <c r="N69" s="19" t="s">
        <v>572</v>
      </c>
      <c r="O69" s="26" t="s">
        <v>712</v>
      </c>
      <c r="P69" s="26" t="s">
        <v>1005</v>
      </c>
      <c r="Q69" s="26" t="str">
        <f>IFERROR(VLOOKUP($C69,#REF!, 17, FALSE), "")</f>
        <v/>
      </c>
      <c r="R69" s="19" t="str">
        <f>IFERROR(VLOOKUP(C69,#REF!, 15, FALSE), "")</f>
        <v/>
      </c>
      <c r="S69" s="19" t="str">
        <f>IFERROR(VLOOKUP(C69,#REF!, 14, FALSE), "")</f>
        <v/>
      </c>
      <c r="T69" t="s">
        <v>77</v>
      </c>
      <c r="U69" s="25" t="s">
        <v>77</v>
      </c>
      <c r="V69" s="25" t="s">
        <v>77</v>
      </c>
    </row>
    <row r="70" spans="1:24" x14ac:dyDescent="0.25">
      <c r="A70" s="19" t="s">
        <v>71</v>
      </c>
      <c r="B70" s="19" t="s">
        <v>382</v>
      </c>
      <c r="C70" s="19" t="s">
        <v>673</v>
      </c>
      <c r="D70" s="19" t="s">
        <v>238</v>
      </c>
      <c r="E70" s="19" t="str">
        <f>IFERROR(VLOOKUP(C70,#REF!, 9, FALSE), "")</f>
        <v/>
      </c>
      <c r="F70" s="19" t="str">
        <f t="shared" si="1"/>
        <v>EC1R 1XX</v>
      </c>
      <c r="G70">
        <v>51.530245000000001</v>
      </c>
      <c r="H70">
        <v>-0.10960161</v>
      </c>
      <c r="I70" s="26" t="s">
        <v>381</v>
      </c>
      <c r="J70" s="19">
        <v>72</v>
      </c>
      <c r="M70" s="19" t="s">
        <v>674</v>
      </c>
      <c r="N70" s="19" t="s">
        <v>470</v>
      </c>
      <c r="O70" s="26" t="s">
        <v>675</v>
      </c>
      <c r="P70" s="26" t="s">
        <v>1006</v>
      </c>
      <c r="Q70" s="26" t="str">
        <f>IFERROR(VLOOKUP($C70,#REF!, 17, FALSE), "")</f>
        <v/>
      </c>
      <c r="R70" s="19" t="str">
        <f>IFERROR(VLOOKUP(C70,#REF!, 15, FALSE), "")</f>
        <v/>
      </c>
      <c r="S70" s="19" t="str">
        <f>IFERROR(VLOOKUP(C70,#REF!, 14, FALSE), "")</f>
        <v/>
      </c>
      <c r="T70" t="s">
        <v>77</v>
      </c>
      <c r="U70" s="25" t="s">
        <v>77</v>
      </c>
      <c r="V70" s="25" t="s">
        <v>77</v>
      </c>
      <c r="W70" s="19" t="s">
        <v>1007</v>
      </c>
      <c r="X70" s="19" t="s">
        <v>1008</v>
      </c>
    </row>
    <row r="71" spans="1:24" x14ac:dyDescent="0.25">
      <c r="A71" s="19" t="s">
        <v>71</v>
      </c>
      <c r="B71" s="19" t="s">
        <v>361</v>
      </c>
      <c r="C71" s="19" t="s">
        <v>642</v>
      </c>
      <c r="D71" s="19" t="s">
        <v>249</v>
      </c>
      <c r="E71" s="19" t="str">
        <f>IFERROR(VLOOKUP(C71,#REF!, 9, FALSE), "")</f>
        <v/>
      </c>
      <c r="F71" s="19" t="str">
        <f t="shared" si="1"/>
        <v>N4 3LD</v>
      </c>
      <c r="G71">
        <v>51.565784000000001</v>
      </c>
      <c r="H71">
        <v>-0.11353868</v>
      </c>
      <c r="I71" s="26" t="s">
        <v>360</v>
      </c>
      <c r="J71" s="19">
        <v>232</v>
      </c>
      <c r="M71" s="19" t="s">
        <v>646</v>
      </c>
      <c r="N71" s="19" t="s">
        <v>470</v>
      </c>
      <c r="O71" s="26" t="s">
        <v>647</v>
      </c>
      <c r="P71" s="26" t="s">
        <v>1009</v>
      </c>
      <c r="Q71" s="26" t="str">
        <f>IFERROR(VLOOKUP($C71,#REF!, 17, FALSE), "")</f>
        <v/>
      </c>
      <c r="R71" s="19" t="str">
        <f>IFERROR(VLOOKUP(C71,#REF!, 15, FALSE), "")</f>
        <v/>
      </c>
      <c r="S71" s="19" t="str">
        <f>IFERROR(VLOOKUP(C71,#REF!, 14, FALSE), "")</f>
        <v/>
      </c>
      <c r="T71" s="26" t="s">
        <v>131</v>
      </c>
      <c r="U71" s="25">
        <v>0</v>
      </c>
      <c r="V71" s="26" t="s">
        <v>183</v>
      </c>
      <c r="W71" s="19" t="s">
        <v>1010</v>
      </c>
      <c r="X71" s="19" t="s">
        <v>1011</v>
      </c>
    </row>
    <row r="72" spans="1:24" x14ac:dyDescent="0.25">
      <c r="A72" s="19" t="s">
        <v>71</v>
      </c>
      <c r="B72" s="19" t="s">
        <v>695</v>
      </c>
      <c r="C72" s="19" t="s">
        <v>696</v>
      </c>
      <c r="E72" s="19" t="str">
        <f>IFERROR(VLOOKUP(C72,#REF!, 9, FALSE), "")</f>
        <v/>
      </c>
      <c r="F72" s="19" t="str">
        <f t="shared" si="1"/>
        <v/>
      </c>
      <c r="G72"/>
      <c r="H72"/>
      <c r="I72" s="26" t="s">
        <v>697</v>
      </c>
      <c r="J72" s="19">
        <v>0</v>
      </c>
      <c r="M72" s="19" t="s">
        <v>703</v>
      </c>
      <c r="N72" s="19" t="s">
        <v>572</v>
      </c>
      <c r="O72" s="26" t="s">
        <v>704</v>
      </c>
      <c r="P72" s="26" t="s">
        <v>1012</v>
      </c>
      <c r="Q72" s="26" t="str">
        <f>IFERROR(VLOOKUP($C72,#REF!, 17, FALSE), "")</f>
        <v/>
      </c>
      <c r="R72" s="19" t="str">
        <f>IFERROR(VLOOKUP(C72,#REF!, 15, FALSE), "")</f>
        <v/>
      </c>
      <c r="S72" s="19" t="str">
        <f>IFERROR(VLOOKUP(C72,#REF!, 14, FALSE), "")</f>
        <v/>
      </c>
      <c r="T72" t="s">
        <v>77</v>
      </c>
      <c r="U72" s="25" t="s">
        <v>77</v>
      </c>
      <c r="V72" s="25" t="s">
        <v>77</v>
      </c>
    </row>
    <row r="73" spans="1:24" x14ac:dyDescent="0.25">
      <c r="A73" s="19" t="s">
        <v>71</v>
      </c>
      <c r="B73" s="19" t="s">
        <v>363</v>
      </c>
      <c r="C73" s="19" t="s">
        <v>645</v>
      </c>
      <c r="D73" s="19" t="s">
        <v>245</v>
      </c>
      <c r="E73" s="19" t="str">
        <f>IFERROR(VLOOKUP(C73,#REF!, 9, FALSE), "")</f>
        <v/>
      </c>
      <c r="F73" s="19" t="str">
        <f t="shared" si="1"/>
        <v>N19 3AD</v>
      </c>
      <c r="G73">
        <v>51.571128999999999</v>
      </c>
      <c r="H73">
        <v>-0.12328881</v>
      </c>
      <c r="I73" s="26" t="s">
        <v>362</v>
      </c>
      <c r="J73" s="19">
        <v>81</v>
      </c>
      <c r="M73" s="19" t="s">
        <v>649</v>
      </c>
      <c r="N73" s="19" t="s">
        <v>470</v>
      </c>
      <c r="O73" s="26" t="s">
        <v>650</v>
      </c>
      <c r="P73" s="26" t="s">
        <v>1013</v>
      </c>
      <c r="Q73" s="26" t="str">
        <f>IFERROR(VLOOKUP($C73,#REF!, 17, FALSE), "")</f>
        <v/>
      </c>
      <c r="R73" s="19" t="str">
        <f>IFERROR(VLOOKUP(C73,#REF!, 15, FALSE), "")</f>
        <v/>
      </c>
      <c r="S73" s="19" t="str">
        <f>IFERROR(VLOOKUP(C73,#REF!, 14, FALSE), "")</f>
        <v/>
      </c>
      <c r="T73" s="26" t="s">
        <v>127</v>
      </c>
      <c r="U73" s="25">
        <v>0</v>
      </c>
      <c r="V73" s="26" t="s">
        <v>176</v>
      </c>
      <c r="W73" s="19" t="s">
        <v>1014</v>
      </c>
      <c r="X73" s="19" t="s">
        <v>1015</v>
      </c>
    </row>
    <row r="74" spans="1:24" x14ac:dyDescent="0.25">
      <c r="A74" s="19" t="s">
        <v>71</v>
      </c>
      <c r="B74" s="19" t="s">
        <v>341</v>
      </c>
      <c r="C74" s="19" t="s">
        <v>609</v>
      </c>
      <c r="D74" s="19" t="s">
        <v>247</v>
      </c>
      <c r="E74" s="19" t="str">
        <f>IFERROR(VLOOKUP(C74,#REF!, 9, FALSE), "")</f>
        <v/>
      </c>
      <c r="F74" s="19" t="str">
        <f t="shared" si="1"/>
        <v>N1 2TX</v>
      </c>
      <c r="G74">
        <v>51.538373999999997</v>
      </c>
      <c r="H74">
        <v>-0.10180962</v>
      </c>
      <c r="I74" s="26" t="s">
        <v>340</v>
      </c>
      <c r="J74" s="19">
        <v>207</v>
      </c>
      <c r="M74" s="19" t="s">
        <v>611</v>
      </c>
      <c r="N74" s="19" t="s">
        <v>546</v>
      </c>
      <c r="O74" s="26" t="s">
        <v>612</v>
      </c>
      <c r="P74" s="26" t="s">
        <v>1016</v>
      </c>
      <c r="Q74" s="26" t="str">
        <f>IFERROR(VLOOKUP($C74,#REF!, 17, FALSE), "")</f>
        <v/>
      </c>
      <c r="R74" s="19" t="str">
        <f>IFERROR(VLOOKUP(C74,#REF!, 15, FALSE), "")</f>
        <v/>
      </c>
      <c r="S74" s="19" t="str">
        <f>IFERROR(VLOOKUP(C74,#REF!, 14, FALSE), "")</f>
        <v/>
      </c>
      <c r="T74" s="26" t="s">
        <v>129</v>
      </c>
      <c r="U74" s="26" t="s">
        <v>93</v>
      </c>
      <c r="V74" s="26" t="s">
        <v>180</v>
      </c>
      <c r="W74" s="19" t="s">
        <v>1017</v>
      </c>
      <c r="X74" s="19" t="s">
        <v>1018</v>
      </c>
    </row>
    <row r="75" spans="1:24" x14ac:dyDescent="0.25">
      <c r="A75" s="19" t="s">
        <v>71</v>
      </c>
      <c r="B75" s="19" t="s">
        <v>395</v>
      </c>
      <c r="C75" s="19" t="s">
        <v>710</v>
      </c>
      <c r="E75" s="19" t="str">
        <f>IFERROR(VLOOKUP(C75,#REF!, 9, FALSE), "")</f>
        <v/>
      </c>
      <c r="F75" s="19" t="str">
        <f t="shared" si="1"/>
        <v/>
      </c>
      <c r="G75"/>
      <c r="H75"/>
      <c r="I75" s="26" t="s">
        <v>394</v>
      </c>
      <c r="J75" s="19">
        <v>0</v>
      </c>
      <c r="M75" s="19" t="s">
        <v>714</v>
      </c>
      <c r="N75" s="19" t="s">
        <v>572</v>
      </c>
      <c r="O75" s="26" t="s">
        <v>715</v>
      </c>
      <c r="P75" s="26" t="s">
        <v>1019</v>
      </c>
      <c r="Q75" s="26" t="str">
        <f>IFERROR(VLOOKUP($C75,#REF!, 17, FALSE), "")</f>
        <v/>
      </c>
      <c r="R75" s="19" t="str">
        <f>IFERROR(VLOOKUP(C75,#REF!, 15, FALSE), "")</f>
        <v/>
      </c>
      <c r="S75" s="19" t="str">
        <f>IFERROR(VLOOKUP(C75,#REF!, 14, FALSE), "")</f>
        <v/>
      </c>
      <c r="T75" t="s">
        <v>77</v>
      </c>
      <c r="U75" s="25" t="s">
        <v>77</v>
      </c>
      <c r="V75" s="25" t="s">
        <v>77</v>
      </c>
    </row>
    <row r="76" spans="1:24" x14ac:dyDescent="0.25">
      <c r="A76" s="19" t="s">
        <v>71</v>
      </c>
      <c r="B76" s="19" t="s">
        <v>568</v>
      </c>
      <c r="C76" s="19" t="s">
        <v>713</v>
      </c>
      <c r="E76" s="19" t="str">
        <f>IFERROR(VLOOKUP(C76,#REF!, 9, FALSE), "")</f>
        <v/>
      </c>
      <c r="F76" s="19" t="str">
        <f t="shared" si="1"/>
        <v/>
      </c>
      <c r="G76"/>
      <c r="H76"/>
      <c r="I76" s="26" t="s">
        <v>570</v>
      </c>
      <c r="J76" s="19">
        <v>0</v>
      </c>
      <c r="M76" s="19" t="s">
        <v>577</v>
      </c>
      <c r="N76" s="19" t="s">
        <v>572</v>
      </c>
      <c r="O76" s="26" t="s">
        <v>578</v>
      </c>
      <c r="P76" s="26" t="s">
        <v>932</v>
      </c>
      <c r="Q76" s="26" t="str">
        <f>IFERROR(VLOOKUP($C76,#REF!, 17, FALSE), "")</f>
        <v/>
      </c>
      <c r="R76" s="19" t="str">
        <f>IFERROR(VLOOKUP(C76,#REF!, 15, FALSE), "")</f>
        <v/>
      </c>
      <c r="S76" s="19" t="str">
        <f>IFERROR(VLOOKUP(C76,#REF!, 14, FALSE), "")</f>
        <v/>
      </c>
      <c r="T76" t="s">
        <v>77</v>
      </c>
      <c r="U76" s="25" t="s">
        <v>77</v>
      </c>
      <c r="V76" s="25" t="s">
        <v>77</v>
      </c>
    </row>
    <row r="77" spans="1:24" x14ac:dyDescent="0.25">
      <c r="A77" s="19" t="s">
        <v>71</v>
      </c>
      <c r="B77" s="19" t="s">
        <v>370</v>
      </c>
      <c r="C77" s="19" t="s">
        <v>655</v>
      </c>
      <c r="D77" s="19" t="s">
        <v>462</v>
      </c>
      <c r="E77" s="19" t="str">
        <f>IFERROR(VLOOKUP(C77,#REF!, 9, FALSE), "")</f>
        <v/>
      </c>
      <c r="F77" s="19" t="str">
        <f t="shared" si="1"/>
        <v>N4 3DQ</v>
      </c>
      <c r="G77">
        <v>51.570076999999998</v>
      </c>
      <c r="H77">
        <v>-0.11657886000000001</v>
      </c>
      <c r="I77" s="26" t="s">
        <v>369</v>
      </c>
      <c r="J77" s="19">
        <v>0</v>
      </c>
      <c r="M77" s="19" t="s">
        <v>659</v>
      </c>
      <c r="N77" s="19" t="s">
        <v>470</v>
      </c>
      <c r="O77" s="26" t="s">
        <v>660</v>
      </c>
      <c r="P77"/>
      <c r="Q77" s="26" t="str">
        <f>IFERROR(VLOOKUP($C77,#REF!, 17, FALSE), "")</f>
        <v/>
      </c>
      <c r="R77" s="19" t="str">
        <f>IFERROR(VLOOKUP(C77,#REF!, 15, FALSE), "")</f>
        <v/>
      </c>
      <c r="S77" s="19" t="str">
        <f>IFERROR(VLOOKUP(C77,#REF!, 14, FALSE), "")</f>
        <v/>
      </c>
      <c r="T77" s="26" t="s">
        <v>131</v>
      </c>
      <c r="U77" s="25">
        <v>0</v>
      </c>
      <c r="V77" s="26" t="s">
        <v>183</v>
      </c>
    </row>
    <row r="78" spans="1:24" x14ac:dyDescent="0.25">
      <c r="A78" s="19" t="s">
        <v>71</v>
      </c>
      <c r="B78" s="19" t="s">
        <v>372</v>
      </c>
      <c r="C78" s="19" t="s">
        <v>658</v>
      </c>
      <c r="D78" s="19" t="s">
        <v>248</v>
      </c>
      <c r="E78" s="19" t="str">
        <f>IFERROR(VLOOKUP(C78,#REF!, 9, FALSE), "")</f>
        <v/>
      </c>
      <c r="F78" s="19" t="str">
        <f t="shared" si="1"/>
        <v>N1 9UL</v>
      </c>
      <c r="G78">
        <v>51.533591999999999</v>
      </c>
      <c r="H78">
        <v>-0.11191412000000001</v>
      </c>
      <c r="I78" s="26" t="s">
        <v>371</v>
      </c>
      <c r="J78" s="19">
        <v>70</v>
      </c>
      <c r="M78" s="19" t="s">
        <v>662</v>
      </c>
      <c r="N78" s="19" t="s">
        <v>470</v>
      </c>
      <c r="O78" s="26" t="s">
        <v>663</v>
      </c>
      <c r="P78" s="26" t="s">
        <v>1020</v>
      </c>
      <c r="Q78" s="26" t="str">
        <f>IFERROR(VLOOKUP($C78,#REF!, 17, FALSE), "")</f>
        <v/>
      </c>
      <c r="R78" s="19" t="str">
        <f>IFERROR(VLOOKUP(C78,#REF!, 15, FALSE), "")</f>
        <v/>
      </c>
      <c r="S78" s="19" t="str">
        <f>IFERROR(VLOOKUP(C78,#REF!, 14, FALSE), "")</f>
        <v/>
      </c>
      <c r="T78" s="26" t="s">
        <v>130</v>
      </c>
      <c r="U78" s="25">
        <v>0</v>
      </c>
      <c r="V78" s="26" t="s">
        <v>182</v>
      </c>
      <c r="W78" s="19" t="s">
        <v>1021</v>
      </c>
      <c r="X78" s="19" t="s">
        <v>1022</v>
      </c>
    </row>
    <row r="79" spans="1:24" x14ac:dyDescent="0.25">
      <c r="A79" s="19" t="s">
        <v>71</v>
      </c>
      <c r="B79" s="19" t="s">
        <v>374</v>
      </c>
      <c r="C79" s="19" t="s">
        <v>661</v>
      </c>
      <c r="D79" s="19" t="s">
        <v>236</v>
      </c>
      <c r="E79" s="19" t="str">
        <f>IFERROR(VLOOKUP(C79,#REF!, 9, FALSE), "")</f>
        <v/>
      </c>
      <c r="F79" s="19" t="str">
        <f t="shared" si="1"/>
        <v>N1 2DF</v>
      </c>
      <c r="G79">
        <v>51.540891000000002</v>
      </c>
      <c r="H79">
        <v>-9.6758531999999994E-2</v>
      </c>
      <c r="I79" s="26" t="s">
        <v>373</v>
      </c>
      <c r="J79" s="19">
        <v>136</v>
      </c>
      <c r="M79" s="19" t="s">
        <v>665</v>
      </c>
      <c r="N79" s="19" t="s">
        <v>470</v>
      </c>
      <c r="O79" s="26" t="s">
        <v>666</v>
      </c>
      <c r="P79" s="26" t="s">
        <v>1023</v>
      </c>
      <c r="Q79" s="26" t="str">
        <f>IFERROR(VLOOKUP($C79,#REF!, 17, FALSE), "")</f>
        <v/>
      </c>
      <c r="R79" s="19" t="str">
        <f>IFERROR(VLOOKUP(C79,#REF!, 15, FALSE), "")</f>
        <v/>
      </c>
      <c r="S79" s="19" t="str">
        <f>IFERROR(VLOOKUP(C79,#REF!, 14, FALSE), "")</f>
        <v/>
      </c>
      <c r="T79" s="26" t="s">
        <v>121</v>
      </c>
      <c r="U79" s="25">
        <v>0</v>
      </c>
      <c r="V79" s="26" t="s">
        <v>168</v>
      </c>
      <c r="W79" s="19" t="s">
        <v>1024</v>
      </c>
      <c r="X79" s="19" t="s">
        <v>1025</v>
      </c>
    </row>
    <row r="80" spans="1:24" x14ac:dyDescent="0.25">
      <c r="A80" s="19" t="s">
        <v>71</v>
      </c>
      <c r="B80" s="19" t="s">
        <v>376</v>
      </c>
      <c r="C80" s="19" t="s">
        <v>664</v>
      </c>
      <c r="D80" s="19" t="s">
        <v>240</v>
      </c>
      <c r="E80" s="19" t="str">
        <f>IFERROR(VLOOKUP(C80,#REF!, 9, FALSE), "")</f>
        <v/>
      </c>
      <c r="F80" s="19" t="str">
        <f t="shared" si="1"/>
        <v>N4 2QP</v>
      </c>
      <c r="G80">
        <v>51.559401999999999</v>
      </c>
      <c r="H80">
        <v>-0.10366083</v>
      </c>
      <c r="I80" s="26" t="s">
        <v>375</v>
      </c>
      <c r="J80" s="19">
        <v>155</v>
      </c>
      <c r="M80" s="19" t="s">
        <v>668</v>
      </c>
      <c r="N80" s="19" t="s">
        <v>470</v>
      </c>
      <c r="O80" s="26" t="s">
        <v>669</v>
      </c>
      <c r="P80" s="26" t="s">
        <v>1026</v>
      </c>
      <c r="Q80" s="26" t="str">
        <f>IFERROR(VLOOKUP($C80,#REF!, 17, FALSE), "")</f>
        <v/>
      </c>
      <c r="R80" s="19" t="str">
        <f>IFERROR(VLOOKUP(C80,#REF!, 15, FALSE), "")</f>
        <v/>
      </c>
      <c r="S80" s="19" t="str">
        <f>IFERROR(VLOOKUP(C80,#REF!, 14, FALSE), "")</f>
        <v/>
      </c>
      <c r="T80" s="26" t="s">
        <v>124</v>
      </c>
      <c r="U80" s="25">
        <v>0</v>
      </c>
      <c r="V80" s="26" t="s">
        <v>172</v>
      </c>
      <c r="W80" s="19" t="s">
        <v>1027</v>
      </c>
      <c r="X80" s="19" t="s">
        <v>1028</v>
      </c>
    </row>
    <row r="81" spans="1:24" x14ac:dyDescent="0.25">
      <c r="A81" s="19" t="s">
        <v>71</v>
      </c>
      <c r="B81" s="19" t="s">
        <v>345</v>
      </c>
      <c r="C81" s="19" t="s">
        <v>613</v>
      </c>
      <c r="E81" s="19" t="str">
        <f>IFERROR(VLOOKUP(C81,#REF!, 9, FALSE), "")</f>
        <v/>
      </c>
      <c r="F81" s="19" t="str">
        <f t="shared" si="1"/>
        <v/>
      </c>
      <c r="G81"/>
      <c r="H81"/>
      <c r="I81" s="26" t="s">
        <v>344</v>
      </c>
      <c r="J81" s="19">
        <v>0</v>
      </c>
      <c r="P81"/>
      <c r="Q81" s="26" t="str">
        <f>IFERROR(VLOOKUP($C81,#REF!, 17, FALSE), "")</f>
        <v/>
      </c>
      <c r="R81" s="19" t="str">
        <f>IFERROR(VLOOKUP(C81,#REF!, 15, FALSE), "")</f>
        <v/>
      </c>
      <c r="S81" s="19" t="str">
        <f>IFERROR(VLOOKUP(C81,#REF!, 14, FALSE), "")</f>
        <v/>
      </c>
      <c r="T81" t="s">
        <v>77</v>
      </c>
      <c r="U81" s="25" t="s">
        <v>77</v>
      </c>
      <c r="V81" s="25" t="s">
        <v>77</v>
      </c>
    </row>
    <row r="82" spans="1:24" x14ac:dyDescent="0.25">
      <c r="A82" s="19" t="s">
        <v>71</v>
      </c>
      <c r="B82" s="19" t="s">
        <v>393</v>
      </c>
      <c r="C82" s="19" t="s">
        <v>685</v>
      </c>
      <c r="E82" s="19" t="str">
        <f>IFERROR(VLOOKUP(C82,#REF!, 9, FALSE), "")</f>
        <v/>
      </c>
      <c r="F82" s="19" t="str">
        <f t="shared" si="1"/>
        <v/>
      </c>
      <c r="G82"/>
      <c r="H82"/>
      <c r="I82" s="26" t="s">
        <v>392</v>
      </c>
      <c r="J82" s="19">
        <v>0</v>
      </c>
      <c r="M82" s="19" t="s">
        <v>692</v>
      </c>
      <c r="N82" s="19" t="s">
        <v>693</v>
      </c>
      <c r="O82" s="26" t="s">
        <v>694</v>
      </c>
      <c r="P82" s="26" t="s">
        <v>1029</v>
      </c>
      <c r="Q82" s="26" t="str">
        <f>IFERROR(VLOOKUP($C82,#REF!, 17, FALSE), "")</f>
        <v/>
      </c>
      <c r="R82" s="19" t="str">
        <f>IFERROR(VLOOKUP(C82,#REF!, 15, FALSE), "")</f>
        <v/>
      </c>
      <c r="S82" s="19" t="str">
        <f>IFERROR(VLOOKUP(C82,#REF!, 14, FALSE), "")</f>
        <v/>
      </c>
      <c r="T82" t="s">
        <v>77</v>
      </c>
      <c r="U82" s="25" t="s">
        <v>77</v>
      </c>
      <c r="V82" s="25" t="s">
        <v>77</v>
      </c>
    </row>
    <row r="83" spans="1:24" x14ac:dyDescent="0.25">
      <c r="A83" s="19" t="s">
        <v>71</v>
      </c>
      <c r="B83" s="19" t="s">
        <v>51</v>
      </c>
      <c r="C83" s="19" t="s">
        <v>617</v>
      </c>
      <c r="D83" s="19" t="s">
        <v>235</v>
      </c>
      <c r="E83" s="19" t="str">
        <f>IFERROR(VLOOKUP(C83,#REF!, 9, FALSE), "")</f>
        <v/>
      </c>
      <c r="F83" s="19" t="str">
        <f t="shared" si="1"/>
        <v>N1 0ES</v>
      </c>
      <c r="G83">
        <v>51.536521</v>
      </c>
      <c r="H83">
        <v>-0.11063936000000001</v>
      </c>
      <c r="I83" s="26" t="s">
        <v>348</v>
      </c>
      <c r="J83" s="19">
        <v>66</v>
      </c>
      <c r="M83" s="19" t="s">
        <v>625</v>
      </c>
      <c r="N83" s="19" t="s">
        <v>560</v>
      </c>
      <c r="O83" s="26" t="s">
        <v>626</v>
      </c>
      <c r="P83" s="26" t="s">
        <v>1030</v>
      </c>
      <c r="Q83" s="20" t="s">
        <v>82</v>
      </c>
      <c r="R83" s="19" t="str">
        <f>IFERROR(VLOOKUP(C83,#REF!, 15, FALSE), "")</f>
        <v/>
      </c>
      <c r="S83" s="19" t="str">
        <f>IFERROR(VLOOKUP(C83,#REF!, 14, FALSE), "")</f>
        <v/>
      </c>
      <c r="T83" t="s">
        <v>77</v>
      </c>
      <c r="U83" s="25" t="s">
        <v>77</v>
      </c>
      <c r="V83" s="25" t="s">
        <v>77</v>
      </c>
      <c r="W83" s="19" t="s">
        <v>961</v>
      </c>
      <c r="X83" s="19" t="s">
        <v>962</v>
      </c>
    </row>
    <row r="84" spans="1:24" x14ac:dyDescent="0.25">
      <c r="A84" s="19" t="s">
        <v>71</v>
      </c>
      <c r="B84" s="19" t="s">
        <v>391</v>
      </c>
      <c r="C84" s="19" t="s">
        <v>682</v>
      </c>
      <c r="E84" s="19" t="str">
        <f>IFERROR(VLOOKUP(C84,#REF!, 9, FALSE), "")</f>
        <v/>
      </c>
      <c r="F84" s="19" t="str">
        <f t="shared" si="1"/>
        <v/>
      </c>
      <c r="G84"/>
      <c r="H84"/>
      <c r="I84" s="26" t="s">
        <v>390</v>
      </c>
      <c r="J84" s="19">
        <v>0</v>
      </c>
      <c r="M84" s="19" t="s">
        <v>686</v>
      </c>
      <c r="N84" s="19" t="s">
        <v>687</v>
      </c>
      <c r="O84" s="26" t="s">
        <v>688</v>
      </c>
      <c r="P84"/>
      <c r="Q84" s="26" t="str">
        <f>IFERROR(VLOOKUP($C84,#REF!, 17, FALSE), "")</f>
        <v/>
      </c>
      <c r="R84" s="19" t="str">
        <f>IFERROR(VLOOKUP(C84,#REF!, 15, FALSE), "")</f>
        <v/>
      </c>
      <c r="S84" s="19" t="str">
        <f>IFERROR(VLOOKUP(C84,#REF!, 14, FALSE), "")</f>
        <v/>
      </c>
      <c r="T84" t="s">
        <v>77</v>
      </c>
      <c r="U84" s="25" t="s">
        <v>77</v>
      </c>
      <c r="V84" s="25" t="s">
        <v>77</v>
      </c>
    </row>
    <row r="85" spans="1:24" x14ac:dyDescent="0.25">
      <c r="A85" s="19" t="s">
        <v>71</v>
      </c>
      <c r="B85" s="19" t="s">
        <v>397</v>
      </c>
      <c r="C85" s="19" t="s">
        <v>725</v>
      </c>
      <c r="E85" s="19" t="str">
        <f>IFERROR(VLOOKUP(C85,#REF!, 9, FALSE), "")</f>
        <v/>
      </c>
      <c r="F85" s="19" t="str">
        <f t="shared" si="1"/>
        <v/>
      </c>
      <c r="G85"/>
      <c r="H85"/>
      <c r="I85" s="26" t="s">
        <v>396</v>
      </c>
      <c r="J85" s="19">
        <v>0</v>
      </c>
      <c r="M85" s="19" t="s">
        <v>478</v>
      </c>
      <c r="N85" s="19" t="s">
        <v>729</v>
      </c>
      <c r="O85" s="26" t="s">
        <v>480</v>
      </c>
      <c r="P85"/>
      <c r="Q85" s="26" t="str">
        <f>IFERROR(VLOOKUP($C85,#REF!, 17, FALSE), "")</f>
        <v/>
      </c>
      <c r="R85" s="19" t="str">
        <f>IFERROR(VLOOKUP(C85,#REF!, 15, FALSE), "")</f>
        <v/>
      </c>
      <c r="S85" s="19" t="str">
        <f>IFERROR(VLOOKUP(C85,#REF!, 14, FALSE), "")</f>
        <v/>
      </c>
      <c r="T85" t="s">
        <v>77</v>
      </c>
      <c r="U85" s="25" t="s">
        <v>77</v>
      </c>
      <c r="V85" s="25" t="s">
        <v>77</v>
      </c>
    </row>
    <row r="86" spans="1:24" x14ac:dyDescent="0.25">
      <c r="A86" s="19" t="s">
        <v>71</v>
      </c>
      <c r="B86" s="19" t="s">
        <v>55</v>
      </c>
      <c r="C86" s="19" t="s">
        <v>681</v>
      </c>
      <c r="E86" s="19" t="str">
        <f>IFERROR(VLOOKUP(C86,#REF!, 9, FALSE), "")</f>
        <v/>
      </c>
      <c r="F86" s="19" t="str">
        <f t="shared" si="1"/>
        <v/>
      </c>
      <c r="G86">
        <v>51.530245000000001</v>
      </c>
      <c r="H86">
        <v>-0.10960161</v>
      </c>
      <c r="I86" s="26" t="s">
        <v>389</v>
      </c>
      <c r="J86" s="19">
        <v>0</v>
      </c>
      <c r="M86" s="19" t="s">
        <v>683</v>
      </c>
      <c r="N86" s="19" t="s">
        <v>560</v>
      </c>
      <c r="O86" s="26" t="s">
        <v>684</v>
      </c>
      <c r="P86" s="26" t="s">
        <v>1031</v>
      </c>
      <c r="Q86" s="26" t="str">
        <f>IFERROR(VLOOKUP($C86,#REF!, 17, FALSE), "")</f>
        <v/>
      </c>
      <c r="R86" s="19" t="str">
        <f>IFERROR(VLOOKUP(C86,#REF!, 15, FALSE), "")</f>
        <v/>
      </c>
      <c r="S86" s="19" t="str">
        <f>IFERROR(VLOOKUP(C86,#REF!, 14, FALSE), "")</f>
        <v/>
      </c>
      <c r="T86" s="26" t="s">
        <v>122</v>
      </c>
      <c r="U86" s="25">
        <v>0</v>
      </c>
      <c r="V86" s="26" t="s">
        <v>170</v>
      </c>
    </row>
    <row r="87" spans="1:24" x14ac:dyDescent="0.25">
      <c r="A87" s="19" t="s">
        <v>50</v>
      </c>
      <c r="B87" s="19" t="s">
        <v>426</v>
      </c>
      <c r="C87" s="19" t="s">
        <v>768</v>
      </c>
      <c r="D87" s="19" t="s">
        <v>1032</v>
      </c>
      <c r="E87" s="19" t="str">
        <f>IFERROR(VLOOKUP(C87,#REF!, 9, FALSE), "")</f>
        <v/>
      </c>
      <c r="F87" s="19" t="str">
        <f t="shared" si="1"/>
        <v>E3 3PN</v>
      </c>
      <c r="G87">
        <v>51.520327000000002</v>
      </c>
      <c r="H87">
        <v>-2.022498E-2</v>
      </c>
      <c r="I87" s="26" t="s">
        <v>425</v>
      </c>
      <c r="J87" s="19">
        <v>161</v>
      </c>
      <c r="M87" s="19" t="s">
        <v>772</v>
      </c>
      <c r="N87" s="19" t="s">
        <v>470</v>
      </c>
      <c r="O87" s="26" t="s">
        <v>773</v>
      </c>
      <c r="P87" s="26" t="s">
        <v>1033</v>
      </c>
      <c r="Q87" s="26" t="str">
        <f>IFERROR(VLOOKUP($C87,#REF!, 17, FALSE), "")</f>
        <v/>
      </c>
      <c r="R87" s="19" t="str">
        <f>IFERROR(VLOOKUP(C87,#REF!, 15, FALSE), "")</f>
        <v/>
      </c>
      <c r="S87" s="19" t="str">
        <f>IFERROR(VLOOKUP(C87,#REF!, 14, FALSE), "")</f>
        <v/>
      </c>
      <c r="T87" s="26" t="s">
        <v>136</v>
      </c>
      <c r="U87" s="26" t="s">
        <v>100</v>
      </c>
      <c r="V87" s="26" t="s">
        <v>191</v>
      </c>
      <c r="W87" s="19" t="s">
        <v>1034</v>
      </c>
      <c r="X87" s="19" t="s">
        <v>1035</v>
      </c>
    </row>
    <row r="88" spans="1:24" x14ac:dyDescent="0.25">
      <c r="A88" s="19" t="s">
        <v>50</v>
      </c>
      <c r="B88" s="19" t="s">
        <v>755</v>
      </c>
      <c r="C88" s="19" t="s">
        <v>756</v>
      </c>
      <c r="D88" s="19" t="s">
        <v>262</v>
      </c>
      <c r="E88" s="19" t="str">
        <f>IFERROR(VLOOKUP(C88,#REF!, 9, FALSE), "")</f>
        <v/>
      </c>
      <c r="F88" s="19" t="str">
        <f t="shared" si="1"/>
        <v>E14 0EY</v>
      </c>
      <c r="G88">
        <v>51.510477000000002</v>
      </c>
      <c r="H88">
        <v>-1.2624882E-2</v>
      </c>
      <c r="I88" s="26" t="s">
        <v>417</v>
      </c>
      <c r="J88" s="19">
        <v>344</v>
      </c>
      <c r="M88" s="19" t="s">
        <v>758</v>
      </c>
      <c r="N88" s="19" t="s">
        <v>546</v>
      </c>
      <c r="O88" s="26" t="s">
        <v>759</v>
      </c>
      <c r="P88" s="26" t="s">
        <v>1036</v>
      </c>
      <c r="Q88" s="26" t="str">
        <f>IFERROR(VLOOKUP($C88,#REF!, 17, FALSE), "")</f>
        <v/>
      </c>
      <c r="R88" s="19" t="str">
        <f>IFERROR(VLOOKUP(C88,#REF!, 15, FALSE), "")</f>
        <v/>
      </c>
      <c r="S88" s="19" t="str">
        <f>IFERROR(VLOOKUP(C88,#REF!, 14, FALSE), "")</f>
        <v/>
      </c>
      <c r="T88" t="s">
        <v>77</v>
      </c>
      <c r="U88" s="25" t="s">
        <v>77</v>
      </c>
      <c r="V88" s="25" t="s">
        <v>77</v>
      </c>
      <c r="W88" s="19" t="s">
        <v>1037</v>
      </c>
      <c r="X88" s="19" t="s">
        <v>1038</v>
      </c>
    </row>
    <row r="89" spans="1:24" x14ac:dyDescent="0.25">
      <c r="A89" s="19" t="s">
        <v>50</v>
      </c>
      <c r="B89" s="19" t="s">
        <v>871</v>
      </c>
      <c r="C89" s="19" t="s">
        <v>872</v>
      </c>
      <c r="E89" s="19" t="str">
        <f>IFERROR(VLOOKUP(C89,#REF!, 9, FALSE), "")</f>
        <v/>
      </c>
      <c r="F89" s="19" t="str">
        <f t="shared" si="1"/>
        <v/>
      </c>
      <c r="G89"/>
      <c r="H89"/>
      <c r="I89" s="26" t="s">
        <v>873</v>
      </c>
      <c r="J89" s="19">
        <v>0</v>
      </c>
      <c r="M89" s="19" t="s">
        <v>860</v>
      </c>
      <c r="N89" s="19" t="s">
        <v>729</v>
      </c>
      <c r="O89" s="26" t="s">
        <v>862</v>
      </c>
      <c r="P89"/>
      <c r="Q89" s="26" t="str">
        <f>IFERROR(VLOOKUP($C89,#REF!, 17, FALSE), "")</f>
        <v/>
      </c>
      <c r="R89" s="19" t="str">
        <f>IFERROR(VLOOKUP(C89,#REF!, 15, FALSE), "")</f>
        <v/>
      </c>
      <c r="S89" s="19" t="str">
        <f>IFERROR(VLOOKUP(C89,#REF!, 14, FALSE), "")</f>
        <v/>
      </c>
      <c r="T89" t="s">
        <v>77</v>
      </c>
      <c r="U89" s="25" t="s">
        <v>77</v>
      </c>
      <c r="V89" s="25" t="s">
        <v>77</v>
      </c>
    </row>
    <row r="90" spans="1:24" x14ac:dyDescent="0.25">
      <c r="A90" s="19" t="s">
        <v>50</v>
      </c>
      <c r="B90" s="19" t="s">
        <v>805</v>
      </c>
      <c r="C90" s="19" t="s">
        <v>806</v>
      </c>
      <c r="E90" s="19" t="str">
        <f>IFERROR(VLOOKUP(C90,#REF!, 9, FALSE), "")</f>
        <v/>
      </c>
      <c r="F90" s="19" t="str">
        <f t="shared" si="1"/>
        <v/>
      </c>
      <c r="G90"/>
      <c r="H90"/>
      <c r="I90" s="26" t="s">
        <v>447</v>
      </c>
      <c r="J90" s="19">
        <v>0</v>
      </c>
      <c r="M90" s="19" t="s">
        <v>810</v>
      </c>
      <c r="N90" s="19" t="s">
        <v>693</v>
      </c>
      <c r="O90" s="26" t="s">
        <v>811</v>
      </c>
      <c r="P90" s="26" t="s">
        <v>1039</v>
      </c>
      <c r="Q90" s="26" t="str">
        <f>IFERROR(VLOOKUP($C90,#REF!, 17, FALSE), "")</f>
        <v/>
      </c>
      <c r="R90" s="19" t="str">
        <f>IFERROR(VLOOKUP(C90,#REF!, 15, FALSE), "")</f>
        <v/>
      </c>
      <c r="S90" s="19" t="str">
        <f>IFERROR(VLOOKUP(C90,#REF!, 14, FALSE), "")</f>
        <v/>
      </c>
      <c r="T90" t="s">
        <v>77</v>
      </c>
      <c r="U90" s="25" t="s">
        <v>77</v>
      </c>
      <c r="V90" s="25" t="s">
        <v>77</v>
      </c>
    </row>
    <row r="91" spans="1:24" x14ac:dyDescent="0.25">
      <c r="A91" s="19" t="s">
        <v>50</v>
      </c>
      <c r="B91" s="19" t="s">
        <v>420</v>
      </c>
      <c r="C91" s="19" t="s">
        <v>760</v>
      </c>
      <c r="D91" s="19" t="s">
        <v>257</v>
      </c>
      <c r="E91" s="19" t="str">
        <f>IFERROR(VLOOKUP(C91,#REF!, 9, FALSE), "")</f>
        <v/>
      </c>
      <c r="F91" s="19" t="str">
        <f t="shared" si="1"/>
        <v>E14 8LH</v>
      </c>
      <c r="G91">
        <v>51.499136</v>
      </c>
      <c r="H91">
        <v>-2.3736838999999999E-2</v>
      </c>
      <c r="I91" s="26" t="s">
        <v>419</v>
      </c>
      <c r="J91" s="19">
        <v>151</v>
      </c>
      <c r="M91" s="19" t="s">
        <v>765</v>
      </c>
      <c r="N91" s="19" t="s">
        <v>470</v>
      </c>
      <c r="O91" s="26" t="s">
        <v>766</v>
      </c>
      <c r="P91" s="26" t="s">
        <v>1040</v>
      </c>
      <c r="Q91" s="26" t="str">
        <f>IFERROR(VLOOKUP($C91,#REF!, 17, FALSE), "")</f>
        <v/>
      </c>
      <c r="R91" s="19" t="str">
        <f>IFERROR(VLOOKUP(C91,#REF!, 15, FALSE), "")</f>
        <v/>
      </c>
      <c r="S91" s="19" t="str">
        <f>IFERROR(VLOOKUP(C91,#REF!, 14, FALSE), "")</f>
        <v/>
      </c>
      <c r="T91" t="s">
        <v>77</v>
      </c>
      <c r="U91" s="25" t="s">
        <v>77</v>
      </c>
      <c r="V91" s="25" t="s">
        <v>77</v>
      </c>
      <c r="W91" s="19" t="s">
        <v>1041</v>
      </c>
      <c r="X91" s="19" t="s">
        <v>1042</v>
      </c>
    </row>
    <row r="92" spans="1:24" x14ac:dyDescent="0.25">
      <c r="A92" s="19" t="s">
        <v>50</v>
      </c>
      <c r="B92" s="19" t="s">
        <v>830</v>
      </c>
      <c r="C92" s="19" t="s">
        <v>831</v>
      </c>
      <c r="E92" s="19" t="str">
        <f>IFERROR(VLOOKUP(C92,#REF!, 9, FALSE), "")</f>
        <v/>
      </c>
      <c r="F92" s="19" t="str">
        <f t="shared" si="1"/>
        <v/>
      </c>
      <c r="G92"/>
      <c r="H92"/>
      <c r="I92" s="26" t="s">
        <v>832</v>
      </c>
      <c r="J92" s="19">
        <v>0</v>
      </c>
      <c r="M92" s="19" t="s">
        <v>838</v>
      </c>
      <c r="N92" s="19" t="s">
        <v>572</v>
      </c>
      <c r="O92" s="26" t="s">
        <v>839</v>
      </c>
      <c r="P92" s="26" t="s">
        <v>1043</v>
      </c>
      <c r="Q92" s="26" t="str">
        <f>IFERROR(VLOOKUP($C92,#REF!, 17, FALSE), "")</f>
        <v/>
      </c>
      <c r="R92" s="19" t="str">
        <f>IFERROR(VLOOKUP(C92,#REF!, 15, FALSE), "")</f>
        <v/>
      </c>
      <c r="S92" s="19" t="str">
        <f>IFERROR(VLOOKUP(C92,#REF!, 14, FALSE), "")</f>
        <v/>
      </c>
      <c r="T92" t="s">
        <v>77</v>
      </c>
      <c r="U92" s="25" t="s">
        <v>77</v>
      </c>
      <c r="V92" s="25" t="s">
        <v>77</v>
      </c>
    </row>
    <row r="93" spans="1:24" x14ac:dyDescent="0.25">
      <c r="A93" s="19" t="s">
        <v>50</v>
      </c>
      <c r="B93" s="19" t="s">
        <v>422</v>
      </c>
      <c r="C93" s="19" t="s">
        <v>764</v>
      </c>
      <c r="D93" s="19" t="s">
        <v>256</v>
      </c>
      <c r="E93" s="19" t="str">
        <f>IFERROR(VLOOKUP(C93,#REF!, 9, FALSE), "")</f>
        <v/>
      </c>
      <c r="F93" s="19" t="str">
        <f t="shared" si="1"/>
        <v>E14 3BN</v>
      </c>
      <c r="G93">
        <v>51.489291000000001</v>
      </c>
      <c r="H93">
        <v>-6.3439621000000003E-3</v>
      </c>
      <c r="I93" s="26" t="s">
        <v>421</v>
      </c>
      <c r="J93" s="19">
        <v>99</v>
      </c>
      <c r="M93" s="19" t="s">
        <v>765</v>
      </c>
      <c r="N93" s="19" t="s">
        <v>470</v>
      </c>
      <c r="O93" s="26" t="s">
        <v>766</v>
      </c>
      <c r="P93" s="26" t="s">
        <v>1044</v>
      </c>
      <c r="Q93" s="26" t="str">
        <f>IFERROR(VLOOKUP($C93,#REF!, 17, FALSE), "")</f>
        <v/>
      </c>
      <c r="R93" s="19" t="str">
        <f>IFERROR(VLOOKUP(C93,#REF!, 15, FALSE), "")</f>
        <v/>
      </c>
      <c r="S93" s="19" t="str">
        <f>IFERROR(VLOOKUP(C93,#REF!, 14, FALSE), "")</f>
        <v/>
      </c>
      <c r="T93" s="26" t="s">
        <v>137</v>
      </c>
      <c r="U93" s="25">
        <v>0</v>
      </c>
      <c r="V93" s="26" t="s">
        <v>192</v>
      </c>
      <c r="W93" s="19" t="s">
        <v>1041</v>
      </c>
      <c r="X93" s="19" t="s">
        <v>1042</v>
      </c>
    </row>
    <row r="94" spans="1:24" x14ac:dyDescent="0.25">
      <c r="A94" s="19" t="s">
        <v>50</v>
      </c>
      <c r="B94" s="19" t="s">
        <v>445</v>
      </c>
      <c r="C94" s="19" t="s">
        <v>799</v>
      </c>
      <c r="D94" s="19" t="s">
        <v>265</v>
      </c>
      <c r="E94" s="19" t="str">
        <f>IFERROR(VLOOKUP(C94,#REF!, 9, FALSE), "")</f>
        <v/>
      </c>
      <c r="F94" s="19" t="str">
        <f t="shared" si="1"/>
        <v>E1 6LY</v>
      </c>
      <c r="G94">
        <v>51.519075999999998</v>
      </c>
      <c r="H94">
        <v>-7.3683262999999999E-2</v>
      </c>
      <c r="I94" s="26" t="s">
        <v>444</v>
      </c>
      <c r="J94" s="19">
        <v>207</v>
      </c>
      <c r="M94" s="19" t="s">
        <v>803</v>
      </c>
      <c r="N94" s="19" t="s">
        <v>470</v>
      </c>
      <c r="O94" s="26" t="s">
        <v>804</v>
      </c>
      <c r="P94" s="26" t="s">
        <v>1045</v>
      </c>
      <c r="Q94" s="26" t="str">
        <f>IFERROR(VLOOKUP($C94,#REF!, 17, FALSE), "")</f>
        <v/>
      </c>
      <c r="R94" s="19" t="str">
        <f>IFERROR(VLOOKUP(C94,#REF!, 15, FALSE), "")</f>
        <v/>
      </c>
      <c r="S94" s="19" t="str">
        <f>IFERROR(VLOOKUP(C94,#REF!, 14, FALSE), "")</f>
        <v/>
      </c>
      <c r="T94" s="26" t="s">
        <v>142</v>
      </c>
      <c r="U94" s="26" t="s">
        <v>105</v>
      </c>
      <c r="V94" s="26" t="s">
        <v>197</v>
      </c>
      <c r="W94" s="19" t="s">
        <v>1046</v>
      </c>
      <c r="X94" s="19" t="s">
        <v>1047</v>
      </c>
    </row>
    <row r="95" spans="1:24" x14ac:dyDescent="0.25">
      <c r="A95" s="19" t="s">
        <v>50</v>
      </c>
      <c r="B95" s="19" t="s">
        <v>449</v>
      </c>
      <c r="C95" s="19" t="s">
        <v>809</v>
      </c>
      <c r="E95" s="19" t="str">
        <f>IFERROR(VLOOKUP(C95,#REF!, 9, FALSE), "")</f>
        <v/>
      </c>
      <c r="F95" s="19" t="str">
        <f t="shared" si="1"/>
        <v/>
      </c>
      <c r="G95"/>
      <c r="H95"/>
      <c r="I95" s="26" t="s">
        <v>448</v>
      </c>
      <c r="J95" s="19">
        <v>0</v>
      </c>
      <c r="M95" s="19" t="s">
        <v>765</v>
      </c>
      <c r="N95" s="19" t="s">
        <v>693</v>
      </c>
      <c r="O95" s="26" t="s">
        <v>766</v>
      </c>
      <c r="P95"/>
      <c r="Q95" s="26" t="str">
        <f>IFERROR(VLOOKUP($C95,#REF!, 17, FALSE), "")</f>
        <v/>
      </c>
      <c r="R95" s="19" t="str">
        <f>IFERROR(VLOOKUP(C95,#REF!, 15, FALSE), "")</f>
        <v/>
      </c>
      <c r="S95" s="19" t="str">
        <f>IFERROR(VLOOKUP(C95,#REF!, 14, FALSE), "")</f>
        <v/>
      </c>
      <c r="T95" t="s">
        <v>77</v>
      </c>
      <c r="U95" s="25" t="s">
        <v>77</v>
      </c>
      <c r="V95" s="25" t="s">
        <v>77</v>
      </c>
    </row>
    <row r="96" spans="1:24" x14ac:dyDescent="0.25">
      <c r="A96" s="19" t="s">
        <v>50</v>
      </c>
      <c r="B96" s="19" t="s">
        <v>460</v>
      </c>
      <c r="C96" s="19" t="s">
        <v>870</v>
      </c>
      <c r="E96" s="19" t="str">
        <f>IFERROR(VLOOKUP(C96,#REF!, 9, FALSE), "")</f>
        <v/>
      </c>
      <c r="F96" s="19" t="str">
        <f t="shared" si="1"/>
        <v/>
      </c>
      <c r="G96"/>
      <c r="H96"/>
      <c r="I96" s="26" t="s">
        <v>459</v>
      </c>
      <c r="J96" s="19">
        <v>0</v>
      </c>
      <c r="P96"/>
      <c r="Q96" s="26" t="str">
        <f>IFERROR(VLOOKUP($C96,#REF!, 17, FALSE), "")</f>
        <v/>
      </c>
      <c r="R96" s="19" t="str">
        <f>IFERROR(VLOOKUP(C96,#REF!, 15, FALSE), "")</f>
        <v/>
      </c>
      <c r="S96" s="19" t="str">
        <f>IFERROR(VLOOKUP(C96,#REF!, 14, FALSE), "")</f>
        <v/>
      </c>
      <c r="T96" t="s">
        <v>77</v>
      </c>
      <c r="U96" s="25" t="s">
        <v>77</v>
      </c>
      <c r="V96" s="25" t="s">
        <v>77</v>
      </c>
    </row>
    <row r="97" spans="1:24" x14ac:dyDescent="0.25">
      <c r="A97" s="19" t="s">
        <v>50</v>
      </c>
      <c r="B97" s="19" t="s">
        <v>855</v>
      </c>
      <c r="C97" s="19" t="s">
        <v>856</v>
      </c>
      <c r="E97" s="19" t="str">
        <f>IFERROR(VLOOKUP(C97,#REF!, 9, FALSE), "")</f>
        <v/>
      </c>
      <c r="F97" s="19" t="str">
        <f t="shared" si="1"/>
        <v/>
      </c>
      <c r="G97"/>
      <c r="H97"/>
      <c r="I97" s="26" t="s">
        <v>452</v>
      </c>
      <c r="J97" s="19">
        <v>0</v>
      </c>
      <c r="M97" s="19" t="s">
        <v>860</v>
      </c>
      <c r="N97" s="19" t="s">
        <v>861</v>
      </c>
      <c r="O97" s="26" t="s">
        <v>862</v>
      </c>
      <c r="P97"/>
      <c r="Q97" s="26" t="str">
        <f>IFERROR(VLOOKUP($C97,#REF!, 17, FALSE), "")</f>
        <v/>
      </c>
      <c r="R97" s="19" t="str">
        <f>IFERROR(VLOOKUP(C97,#REF!, 15, FALSE), "")</f>
        <v/>
      </c>
      <c r="S97" s="19" t="str">
        <f>IFERROR(VLOOKUP(C97,#REF!, 14, FALSE), "")</f>
        <v/>
      </c>
      <c r="T97" t="s">
        <v>77</v>
      </c>
      <c r="U97" s="25" t="s">
        <v>77</v>
      </c>
      <c r="V97" s="25" t="s">
        <v>77</v>
      </c>
    </row>
    <row r="98" spans="1:24" x14ac:dyDescent="0.25">
      <c r="A98" s="19" t="s">
        <v>50</v>
      </c>
      <c r="B98" s="19" t="s">
        <v>416</v>
      </c>
      <c r="C98" s="19" t="s">
        <v>752</v>
      </c>
      <c r="E98" s="19" t="str">
        <f>IFERROR(VLOOKUP(C98,#REF!, 9, FALSE), "")</f>
        <v/>
      </c>
      <c r="F98" s="19" t="str">
        <f t="shared" si="1"/>
        <v/>
      </c>
      <c r="G98"/>
      <c r="H98"/>
      <c r="I98" s="26" t="s">
        <v>415</v>
      </c>
      <c r="J98" s="19">
        <v>0</v>
      </c>
      <c r="P98"/>
      <c r="Q98" s="26" t="str">
        <f>IFERROR(VLOOKUP($C98,#REF!, 17, FALSE), "")</f>
        <v/>
      </c>
      <c r="R98" s="19" t="str">
        <f>IFERROR(VLOOKUP(C98,#REF!, 15, FALSE), "")</f>
        <v/>
      </c>
      <c r="S98" s="19" t="str">
        <f>IFERROR(VLOOKUP(C98,#REF!, 14, FALSE), "")</f>
        <v/>
      </c>
      <c r="T98" t="s">
        <v>77</v>
      </c>
      <c r="U98" s="25" t="s">
        <v>77</v>
      </c>
      <c r="V98" s="25" t="s">
        <v>77</v>
      </c>
    </row>
    <row r="99" spans="1:24" x14ac:dyDescent="0.25">
      <c r="A99" s="19" t="s">
        <v>50</v>
      </c>
      <c r="B99" s="19" t="s">
        <v>456</v>
      </c>
      <c r="C99" s="19" t="s">
        <v>866</v>
      </c>
      <c r="E99" s="19" t="str">
        <f>IFERROR(VLOOKUP(C99,#REF!, 9, FALSE), "")</f>
        <v/>
      </c>
      <c r="F99" s="19" t="str">
        <f t="shared" si="1"/>
        <v/>
      </c>
      <c r="G99"/>
      <c r="H99"/>
      <c r="I99" s="26" t="s">
        <v>455</v>
      </c>
      <c r="J99" s="19">
        <v>0</v>
      </c>
      <c r="M99" s="19" t="s">
        <v>868</v>
      </c>
      <c r="N99" s="19" t="s">
        <v>738</v>
      </c>
      <c r="O99" s="26" t="s">
        <v>869</v>
      </c>
      <c r="P99" s="26" t="s">
        <v>1048</v>
      </c>
      <c r="Q99" s="26" t="str">
        <f>IFERROR(VLOOKUP($C99,#REF!, 17, FALSE), "")</f>
        <v/>
      </c>
      <c r="R99" s="19" t="str">
        <f>IFERROR(VLOOKUP(C99,#REF!, 15, FALSE), "")</f>
        <v/>
      </c>
      <c r="S99" s="19" t="str">
        <f>IFERROR(VLOOKUP(C99,#REF!, 14, FALSE), "")</f>
        <v/>
      </c>
      <c r="T99" t="s">
        <v>77</v>
      </c>
      <c r="U99" s="25" t="s">
        <v>77</v>
      </c>
      <c r="V99" s="25" t="s">
        <v>77</v>
      </c>
    </row>
    <row r="100" spans="1:24" x14ac:dyDescent="0.25">
      <c r="A100" s="19" t="s">
        <v>50</v>
      </c>
      <c r="B100" s="19" t="s">
        <v>850</v>
      </c>
      <c r="C100" s="19" t="s">
        <v>851</v>
      </c>
      <c r="E100" s="19" t="str">
        <f>IFERROR(VLOOKUP(C100,#REF!, 9, FALSE), "")</f>
        <v/>
      </c>
      <c r="F100" s="19" t="str">
        <f t="shared" si="1"/>
        <v/>
      </c>
      <c r="G100"/>
      <c r="H100"/>
      <c r="I100" s="26" t="s">
        <v>852</v>
      </c>
      <c r="J100" s="19">
        <v>0</v>
      </c>
      <c r="M100" s="19" t="s">
        <v>747</v>
      </c>
      <c r="N100" s="19" t="s">
        <v>854</v>
      </c>
      <c r="O100" s="26" t="s">
        <v>748</v>
      </c>
      <c r="P100" s="26" t="s">
        <v>1049</v>
      </c>
      <c r="Q100" s="26" t="str">
        <f>IFERROR(VLOOKUP($C100,#REF!, 17, FALSE), "")</f>
        <v/>
      </c>
      <c r="R100" s="19" t="str">
        <f>IFERROR(VLOOKUP(C100,#REF!, 15, FALSE), "")</f>
        <v/>
      </c>
      <c r="S100" s="19" t="str">
        <f>IFERROR(VLOOKUP(C100,#REF!, 14, FALSE), "")</f>
        <v/>
      </c>
      <c r="T100" t="s">
        <v>77</v>
      </c>
      <c r="U100" s="25" t="s">
        <v>77</v>
      </c>
      <c r="V100" s="25" t="s">
        <v>77</v>
      </c>
    </row>
    <row r="101" spans="1:24" x14ac:dyDescent="0.25">
      <c r="A101" s="19" t="s">
        <v>50</v>
      </c>
      <c r="B101" s="19" t="s">
        <v>812</v>
      </c>
      <c r="C101" s="19" t="s">
        <v>813</v>
      </c>
      <c r="E101" s="19" t="str">
        <f>IFERROR(VLOOKUP(C101,#REF!, 9, FALSE), "")</f>
        <v/>
      </c>
      <c r="F101" s="19" t="str">
        <f t="shared" si="1"/>
        <v/>
      </c>
      <c r="G101"/>
      <c r="H101"/>
      <c r="I101" s="26" t="s">
        <v>814</v>
      </c>
      <c r="J101" s="19">
        <v>0</v>
      </c>
      <c r="M101" s="19" t="s">
        <v>818</v>
      </c>
      <c r="N101" s="19" t="s">
        <v>572</v>
      </c>
      <c r="O101" s="26" t="s">
        <v>819</v>
      </c>
      <c r="P101" s="26" t="s">
        <v>1050</v>
      </c>
      <c r="Q101" s="26" t="str">
        <f>IFERROR(VLOOKUP($C101,#REF!, 17, FALSE), "")</f>
        <v/>
      </c>
      <c r="R101" s="19" t="str">
        <f>IFERROR(VLOOKUP(C101,#REF!, 15, FALSE), "")</f>
        <v/>
      </c>
      <c r="S101" s="19" t="str">
        <f>IFERROR(VLOOKUP(C101,#REF!, 14, FALSE), "")</f>
        <v/>
      </c>
      <c r="T101" t="s">
        <v>77</v>
      </c>
      <c r="U101" s="25" t="s">
        <v>77</v>
      </c>
      <c r="V101" s="25" t="s">
        <v>77</v>
      </c>
    </row>
    <row r="102" spans="1:24" x14ac:dyDescent="0.25">
      <c r="A102" s="19" t="s">
        <v>50</v>
      </c>
      <c r="B102" s="19" t="s">
        <v>431</v>
      </c>
      <c r="C102" s="19" t="s">
        <v>777</v>
      </c>
      <c r="D102" s="19" t="s">
        <v>258</v>
      </c>
      <c r="E102" s="19" t="str">
        <f>IFERROR(VLOOKUP(C102,#REF!, 9, FALSE), "")</f>
        <v/>
      </c>
      <c r="F102" s="19" t="str">
        <f t="shared" si="1"/>
        <v>E14 7HA</v>
      </c>
      <c r="G102">
        <v>51.51144</v>
      </c>
      <c r="H102">
        <v>-2.8652011000000002E-2</v>
      </c>
      <c r="I102" s="26" t="s">
        <v>430</v>
      </c>
      <c r="J102" s="19">
        <v>109</v>
      </c>
      <c r="M102" s="19" t="s">
        <v>781</v>
      </c>
      <c r="N102" s="19" t="s">
        <v>470</v>
      </c>
      <c r="O102" s="26" t="s">
        <v>782</v>
      </c>
      <c r="P102" s="26" t="s">
        <v>1051</v>
      </c>
      <c r="Q102" s="26" t="str">
        <f>IFERROR(VLOOKUP($C102,#REF!, 17, FALSE), "")</f>
        <v/>
      </c>
      <c r="R102" s="19" t="str">
        <f>IFERROR(VLOOKUP(C102,#REF!, 15, FALSE), "")</f>
        <v/>
      </c>
      <c r="S102" s="19" t="str">
        <f>IFERROR(VLOOKUP(C102,#REF!, 14, FALSE), "")</f>
        <v/>
      </c>
      <c r="T102" t="s">
        <v>77</v>
      </c>
      <c r="U102" s="25" t="s">
        <v>77</v>
      </c>
      <c r="V102" s="25" t="s">
        <v>77</v>
      </c>
      <c r="W102" s="19" t="s">
        <v>1052</v>
      </c>
      <c r="X102" s="19" t="s">
        <v>1053</v>
      </c>
    </row>
    <row r="103" spans="1:24" x14ac:dyDescent="0.25">
      <c r="A103" s="19" t="s">
        <v>50</v>
      </c>
      <c r="B103" s="19" t="s">
        <v>40</v>
      </c>
      <c r="C103" s="19" t="s">
        <v>780</v>
      </c>
      <c r="D103" s="19" t="s">
        <v>1054</v>
      </c>
      <c r="E103" s="19" t="str">
        <f>IFERROR(VLOOKUP(C103,#REF!, 9, FALSE), "")</f>
        <v/>
      </c>
      <c r="F103" s="19" t="str">
        <f t="shared" si="1"/>
        <v>E14 7HP</v>
      </c>
      <c r="G103">
        <v>51.511521000000002</v>
      </c>
      <c r="H103">
        <v>-3.1357896000000003E-2</v>
      </c>
      <c r="I103" s="26" t="s">
        <v>432</v>
      </c>
      <c r="J103" s="19">
        <v>0</v>
      </c>
      <c r="P103"/>
      <c r="Q103" s="26" t="str">
        <f>IFERROR(VLOOKUP($C103,#REF!, 17, FALSE), "")</f>
        <v/>
      </c>
      <c r="R103" s="19" t="str">
        <f>IFERROR(VLOOKUP(C103,#REF!, 15, FALSE), "")</f>
        <v/>
      </c>
      <c r="S103" s="19" t="str">
        <f>IFERROR(VLOOKUP(C103,#REF!, 14, FALSE), "")</f>
        <v/>
      </c>
      <c r="T103" s="26" t="s">
        <v>138</v>
      </c>
      <c r="U103" s="26" t="s">
        <v>101</v>
      </c>
      <c r="V103" s="26" t="s">
        <v>193</v>
      </c>
    </row>
    <row r="104" spans="1:24" x14ac:dyDescent="0.25">
      <c r="A104" s="19" t="s">
        <v>50</v>
      </c>
      <c r="B104" s="19" t="s">
        <v>409</v>
      </c>
      <c r="C104" s="19" t="s">
        <v>740</v>
      </c>
      <c r="D104" s="19" t="s">
        <v>270</v>
      </c>
      <c r="E104" s="19" t="str">
        <f>IFERROR(VLOOKUP(C104,#REF!, 9, FALSE), "")</f>
        <v/>
      </c>
      <c r="F104" s="19" t="str">
        <f t="shared" si="1"/>
        <v>E3 5TG</v>
      </c>
      <c r="G104">
        <v>51.531364000000004</v>
      </c>
      <c r="H104">
        <v>-4.0248490999999997E-2</v>
      </c>
      <c r="I104" s="26" t="s">
        <v>408</v>
      </c>
      <c r="J104" s="19">
        <v>104</v>
      </c>
      <c r="M104" s="19" t="s">
        <v>744</v>
      </c>
      <c r="N104" s="19" t="s">
        <v>470</v>
      </c>
      <c r="O104" s="26" t="s">
        <v>745</v>
      </c>
      <c r="P104" s="26" t="s">
        <v>1055</v>
      </c>
      <c r="Q104" s="26" t="str">
        <f>IFERROR(VLOOKUP($C104,#REF!, 17, FALSE), "")</f>
        <v/>
      </c>
      <c r="R104" s="19" t="str">
        <f>IFERROR(VLOOKUP(C104,#REF!, 15, FALSE), "")</f>
        <v/>
      </c>
      <c r="S104" s="19" t="str">
        <f>IFERROR(VLOOKUP(C104,#REF!, 14, FALSE), "")</f>
        <v/>
      </c>
      <c r="T104" s="26" t="s">
        <v>133</v>
      </c>
      <c r="U104" s="26" t="s">
        <v>94</v>
      </c>
      <c r="V104" s="26" t="s">
        <v>185</v>
      </c>
      <c r="W104" s="19" t="s">
        <v>1056</v>
      </c>
      <c r="X104" s="19" t="s">
        <v>1057</v>
      </c>
    </row>
    <row r="105" spans="1:24" x14ac:dyDescent="0.25">
      <c r="A105" s="19" t="s">
        <v>50</v>
      </c>
      <c r="B105" s="19" t="s">
        <v>466</v>
      </c>
      <c r="C105" s="19" t="s">
        <v>793</v>
      </c>
      <c r="D105" s="19" t="s">
        <v>268</v>
      </c>
      <c r="E105" s="19" t="str">
        <f>IFERROR(VLOOKUP(C105,#REF!, 9, FALSE), "")</f>
        <v/>
      </c>
      <c r="F105" s="19" t="str">
        <f t="shared" si="1"/>
        <v>E1 0NR</v>
      </c>
      <c r="G105">
        <v>51.516883</v>
      </c>
      <c r="H105">
        <v>-4.1691713999999998E-2</v>
      </c>
      <c r="I105" s="26" t="s">
        <v>441</v>
      </c>
      <c r="J105" s="19">
        <v>107</v>
      </c>
      <c r="M105" s="19" t="s">
        <v>797</v>
      </c>
      <c r="N105" s="19" t="s">
        <v>470</v>
      </c>
      <c r="O105" s="26" t="s">
        <v>798</v>
      </c>
      <c r="P105" s="26" t="s">
        <v>1058</v>
      </c>
      <c r="Q105" s="26" t="str">
        <f>IFERROR(VLOOKUP($C105,#REF!, 17, FALSE), "")</f>
        <v/>
      </c>
      <c r="R105" s="19" t="str">
        <f>IFERROR(VLOOKUP(C105,#REF!, 15, FALSE), "")</f>
        <v/>
      </c>
      <c r="S105" s="19" t="str">
        <f>IFERROR(VLOOKUP(C105,#REF!, 14, FALSE), "")</f>
        <v/>
      </c>
      <c r="T105" s="26" t="s">
        <v>144</v>
      </c>
      <c r="U105" s="25">
        <v>0</v>
      </c>
      <c r="V105" s="26" t="s">
        <v>201</v>
      </c>
      <c r="W105" s="19" t="s">
        <v>1059</v>
      </c>
      <c r="X105" s="19" t="s">
        <v>1060</v>
      </c>
    </row>
    <row r="106" spans="1:24" x14ac:dyDescent="0.25">
      <c r="A106" s="19" t="s">
        <v>50</v>
      </c>
      <c r="B106" s="19" t="s">
        <v>434</v>
      </c>
      <c r="C106" s="19" t="s">
        <v>783</v>
      </c>
      <c r="D106" s="19" t="s">
        <v>1061</v>
      </c>
      <c r="E106" s="19" t="str">
        <f>IFERROR(VLOOKUP(C106,#REF!, 9, FALSE), "")</f>
        <v/>
      </c>
      <c r="F106" s="19" t="str">
        <f t="shared" si="1"/>
        <v>E1 0BH</v>
      </c>
      <c r="G106">
        <v>51.510415999999999</v>
      </c>
      <c r="H106">
        <v>-6.0559639999999998E-2</v>
      </c>
      <c r="I106" s="26" t="s">
        <v>433</v>
      </c>
      <c r="J106" s="19">
        <v>51</v>
      </c>
      <c r="M106" s="19" t="s">
        <v>785</v>
      </c>
      <c r="N106" s="19" t="s">
        <v>470</v>
      </c>
      <c r="O106" s="26" t="s">
        <v>786</v>
      </c>
      <c r="P106" s="26" t="s">
        <v>1062</v>
      </c>
      <c r="Q106" s="26" t="str">
        <f>IFERROR(VLOOKUP($C106,#REF!, 17, FALSE), "")</f>
        <v/>
      </c>
      <c r="R106" s="19" t="str">
        <f>IFERROR(VLOOKUP(C106,#REF!, 15, FALSE), "")</f>
        <v/>
      </c>
      <c r="S106" s="19" t="str">
        <f>IFERROR(VLOOKUP(C106,#REF!, 14, FALSE), "")</f>
        <v/>
      </c>
      <c r="T106">
        <v>0</v>
      </c>
      <c r="U106" s="26" t="s">
        <v>106</v>
      </c>
      <c r="V106" s="26" t="s">
        <v>199</v>
      </c>
      <c r="W106" s="19" t="s">
        <v>1063</v>
      </c>
      <c r="X106" s="19" t="s">
        <v>1064</v>
      </c>
    </row>
    <row r="107" spans="1:24" x14ac:dyDescent="0.25">
      <c r="A107" s="19" t="s">
        <v>50</v>
      </c>
      <c r="B107" s="19" t="s">
        <v>411</v>
      </c>
      <c r="C107" s="19" t="s">
        <v>743</v>
      </c>
      <c r="D107" s="19" t="s">
        <v>252</v>
      </c>
      <c r="E107" s="19" t="str">
        <f>IFERROR(VLOOKUP(C107,#REF!, 9, FALSE), "")</f>
        <v/>
      </c>
      <c r="F107" s="19" t="str">
        <f t="shared" si="1"/>
        <v>E2 9JD</v>
      </c>
      <c r="G107">
        <v>51.531272000000001</v>
      </c>
      <c r="H107">
        <v>-4.7663258E-2</v>
      </c>
      <c r="I107" s="26" t="s">
        <v>410</v>
      </c>
      <c r="J107" s="19">
        <v>42</v>
      </c>
      <c r="M107" s="19" t="s">
        <v>747</v>
      </c>
      <c r="N107" s="19" t="s">
        <v>470</v>
      </c>
      <c r="O107" s="26" t="s">
        <v>748</v>
      </c>
      <c r="P107" s="26" t="s">
        <v>1065</v>
      </c>
      <c r="Q107" s="26" t="str">
        <f>IFERROR(VLOOKUP($C107,#REF!, 17, FALSE), "")</f>
        <v/>
      </c>
      <c r="R107" s="19" t="str">
        <f>IFERROR(VLOOKUP(C107,#REF!, 15, FALSE), "")</f>
        <v/>
      </c>
      <c r="S107" s="19" t="str">
        <f>IFERROR(VLOOKUP(C107,#REF!, 14, FALSE), "")</f>
        <v/>
      </c>
      <c r="T107" s="26" t="s">
        <v>133</v>
      </c>
      <c r="U107" s="26" t="s">
        <v>95</v>
      </c>
      <c r="V107" s="26" t="s">
        <v>186</v>
      </c>
      <c r="W107" s="19" t="s">
        <v>1066</v>
      </c>
      <c r="X107" s="19" t="s">
        <v>1067</v>
      </c>
    </row>
    <row r="108" spans="1:24" x14ac:dyDescent="0.25">
      <c r="A108" s="19" t="s">
        <v>50</v>
      </c>
      <c r="B108" s="19" t="s">
        <v>48</v>
      </c>
      <c r="C108" s="19" t="s">
        <v>746</v>
      </c>
      <c r="D108" s="19" t="s">
        <v>281</v>
      </c>
      <c r="E108" s="19" t="str">
        <f>IFERROR(VLOOKUP(C108,#REF!, 9, FALSE), "")</f>
        <v/>
      </c>
      <c r="F108" s="19" t="str">
        <f t="shared" si="1"/>
        <v>E2 9PA</v>
      </c>
      <c r="G108">
        <v>51.527659</v>
      </c>
      <c r="H108">
        <v>-5.4838771000000001E-2</v>
      </c>
      <c r="I108" s="26" t="s">
        <v>412</v>
      </c>
      <c r="J108" s="19">
        <v>92</v>
      </c>
      <c r="M108" s="19" t="s">
        <v>750</v>
      </c>
      <c r="N108" s="19" t="s">
        <v>495</v>
      </c>
      <c r="O108" s="26" t="s">
        <v>751</v>
      </c>
      <c r="P108" s="26" t="s">
        <v>1068</v>
      </c>
      <c r="Q108" s="26" t="str">
        <f>IFERROR(VLOOKUP($C108,#REF!, 17, FALSE), "")</f>
        <v/>
      </c>
      <c r="R108" s="19" t="str">
        <f>IFERROR(VLOOKUP(C108,#REF!, 15, FALSE), "")</f>
        <v/>
      </c>
      <c r="S108" s="19" t="str">
        <f>IFERROR(VLOOKUP(C108,#REF!, 14, FALSE), "")</f>
        <v/>
      </c>
      <c r="T108" s="26" t="s">
        <v>107</v>
      </c>
      <c r="U108" s="26" t="s">
        <v>107</v>
      </c>
      <c r="V108" s="26" t="s">
        <v>200</v>
      </c>
      <c r="W108" s="19" t="s">
        <v>1069</v>
      </c>
      <c r="X108" s="19" t="s">
        <v>1070</v>
      </c>
    </row>
    <row r="109" spans="1:24" x14ac:dyDescent="0.25">
      <c r="A109" s="19" t="s">
        <v>50</v>
      </c>
      <c r="B109" s="19" t="s">
        <v>689</v>
      </c>
      <c r="C109" s="19" t="s">
        <v>849</v>
      </c>
      <c r="E109" s="19" t="str">
        <f>IFERROR(VLOOKUP(C109,#REF!, 9, FALSE), "")</f>
        <v/>
      </c>
      <c r="F109" s="19" t="str">
        <f t="shared" si="1"/>
        <v/>
      </c>
      <c r="G109"/>
      <c r="H109"/>
      <c r="I109" s="26" t="s">
        <v>691</v>
      </c>
      <c r="J109" s="19">
        <v>0</v>
      </c>
      <c r="M109" s="19" t="s">
        <v>698</v>
      </c>
      <c r="N109" s="19" t="s">
        <v>572</v>
      </c>
      <c r="O109" s="26" t="s">
        <v>699</v>
      </c>
      <c r="P109" s="26" t="s">
        <v>997</v>
      </c>
      <c r="Q109" s="26" t="str">
        <f>IFERROR(VLOOKUP($C109,#REF!, 17, FALSE), "")</f>
        <v/>
      </c>
      <c r="R109" s="19" t="str">
        <f>IFERROR(VLOOKUP(C109,#REF!, 15, FALSE), "")</f>
        <v/>
      </c>
      <c r="S109" s="19" t="str">
        <f>IFERROR(VLOOKUP(C109,#REF!, 14, FALSE), "")</f>
        <v/>
      </c>
      <c r="T109" t="s">
        <v>77</v>
      </c>
      <c r="U109" s="25" t="s">
        <v>77</v>
      </c>
      <c r="V109" s="25" t="s">
        <v>77</v>
      </c>
    </row>
    <row r="110" spans="1:24" x14ac:dyDescent="0.25">
      <c r="A110" s="19" t="s">
        <v>50</v>
      </c>
      <c r="B110" s="19" t="s">
        <v>424</v>
      </c>
      <c r="C110" s="19" t="s">
        <v>767</v>
      </c>
      <c r="D110" s="19" t="s">
        <v>257</v>
      </c>
      <c r="E110" s="19" t="str">
        <f>IFERROR(VLOOKUP(C110,#REF!, 9, FALSE), "")</f>
        <v/>
      </c>
      <c r="F110" s="19" t="str">
        <f t="shared" si="1"/>
        <v>E14 8LH</v>
      </c>
      <c r="G110">
        <v>51.499136</v>
      </c>
      <c r="H110">
        <v>-2.3736838999999999E-2</v>
      </c>
      <c r="I110" s="26" t="s">
        <v>423</v>
      </c>
      <c r="J110" s="19">
        <v>40</v>
      </c>
      <c r="M110" s="19" t="s">
        <v>769</v>
      </c>
      <c r="N110" s="19" t="s">
        <v>560</v>
      </c>
      <c r="O110" s="26" t="s">
        <v>770</v>
      </c>
      <c r="P110" s="26" t="s">
        <v>81</v>
      </c>
      <c r="Q110" s="26" t="str">
        <f>IFERROR(VLOOKUP($C110,#REF!, 17, FALSE), "")</f>
        <v/>
      </c>
      <c r="R110" s="19" t="str">
        <f>IFERROR(VLOOKUP(C110,#REF!, 15, FALSE), "")</f>
        <v/>
      </c>
      <c r="S110" s="19" t="str">
        <f>IFERROR(VLOOKUP(C110,#REF!, 14, FALSE), "")</f>
        <v/>
      </c>
      <c r="T110" s="26" t="s">
        <v>137</v>
      </c>
      <c r="U110" s="25">
        <v>0</v>
      </c>
      <c r="V110" s="26" t="s">
        <v>192</v>
      </c>
      <c r="W110" s="19" t="s">
        <v>1041</v>
      </c>
      <c r="X110" s="19" t="s">
        <v>1042</v>
      </c>
    </row>
    <row r="111" spans="1:24" x14ac:dyDescent="0.25">
      <c r="A111" s="19" t="s">
        <v>50</v>
      </c>
      <c r="B111" s="19" t="s">
        <v>705</v>
      </c>
      <c r="C111" s="19" t="s">
        <v>840</v>
      </c>
      <c r="E111" s="19" t="str">
        <f>IFERROR(VLOOKUP(C111,#REF!, 9, FALSE), "")</f>
        <v/>
      </c>
      <c r="F111" s="19" t="str">
        <f t="shared" si="1"/>
        <v/>
      </c>
      <c r="G111"/>
      <c r="H111"/>
      <c r="I111" s="26" t="s">
        <v>707</v>
      </c>
      <c r="J111" s="19">
        <v>0</v>
      </c>
      <c r="M111" s="19" t="s">
        <v>711</v>
      </c>
      <c r="N111" s="19" t="s">
        <v>572</v>
      </c>
      <c r="O111" s="26" t="s">
        <v>712</v>
      </c>
      <c r="P111" s="26" t="s">
        <v>1005</v>
      </c>
      <c r="Q111" s="26" t="str">
        <f>IFERROR(VLOOKUP($C111,#REF!, 17, FALSE), "")</f>
        <v/>
      </c>
      <c r="R111" s="19" t="str">
        <f>IFERROR(VLOOKUP(C111,#REF!, 15, FALSE), "")</f>
        <v/>
      </c>
      <c r="S111" s="19" t="str">
        <f>IFERROR(VLOOKUP(C111,#REF!, 14, FALSE), "")</f>
        <v/>
      </c>
      <c r="T111" t="s">
        <v>77</v>
      </c>
      <c r="U111" s="25" t="s">
        <v>77</v>
      </c>
      <c r="V111" s="25" t="s">
        <v>77</v>
      </c>
    </row>
    <row r="112" spans="1:24" x14ac:dyDescent="0.25">
      <c r="A112" s="19" t="s">
        <v>50</v>
      </c>
      <c r="B112" s="19" t="s">
        <v>863</v>
      </c>
      <c r="C112" s="19" t="s">
        <v>864</v>
      </c>
      <c r="E112" s="19" t="str">
        <f>IFERROR(VLOOKUP(C112,#REF!, 9, FALSE), "")</f>
        <v/>
      </c>
      <c r="F112" s="19" t="str">
        <f t="shared" si="1"/>
        <v/>
      </c>
      <c r="G112"/>
      <c r="H112"/>
      <c r="I112" s="26" t="s">
        <v>454</v>
      </c>
      <c r="J112" s="19">
        <v>0</v>
      </c>
      <c r="M112" s="19" t="s">
        <v>744</v>
      </c>
      <c r="N112" s="19" t="s">
        <v>693</v>
      </c>
      <c r="O112" s="26" t="s">
        <v>745</v>
      </c>
      <c r="P112"/>
      <c r="Q112" s="26" t="str">
        <f>IFERROR(VLOOKUP($C112,#REF!, 17, FALSE), "")</f>
        <v/>
      </c>
      <c r="R112" s="19" t="str">
        <f>IFERROR(VLOOKUP(C112,#REF!, 15, FALSE), "")</f>
        <v/>
      </c>
      <c r="S112" s="19" t="str">
        <f>IFERROR(VLOOKUP(C112,#REF!, 14, FALSE), "")</f>
        <v/>
      </c>
      <c r="T112" t="s">
        <v>77</v>
      </c>
      <c r="U112" s="25" t="s">
        <v>77</v>
      </c>
      <c r="V112" s="25" t="s">
        <v>77</v>
      </c>
    </row>
    <row r="113" spans="1:24" x14ac:dyDescent="0.25">
      <c r="A113" s="19" t="s">
        <v>50</v>
      </c>
      <c r="B113" s="19" t="s">
        <v>35</v>
      </c>
      <c r="C113" s="19" t="s">
        <v>771</v>
      </c>
      <c r="D113" s="19" t="s">
        <v>280</v>
      </c>
      <c r="E113" s="19" t="str">
        <f>IFERROR(VLOOKUP(C113,#REF!, 9, FALSE), "")</f>
        <v/>
      </c>
      <c r="F113" s="19" t="str">
        <f t="shared" si="1"/>
        <v>E3 3AH</v>
      </c>
      <c r="G113">
        <v>51.528162999999999</v>
      </c>
      <c r="H113">
        <v>-1.8342409E-2</v>
      </c>
      <c r="I113" s="26" t="s">
        <v>427</v>
      </c>
      <c r="J113" s="19">
        <v>90</v>
      </c>
      <c r="M113" s="19" t="s">
        <v>775</v>
      </c>
      <c r="N113" s="19" t="s">
        <v>470</v>
      </c>
      <c r="O113" s="26" t="s">
        <v>776</v>
      </c>
      <c r="P113" s="26" t="s">
        <v>1071</v>
      </c>
      <c r="Q113" s="26" t="str">
        <f>IFERROR(VLOOKUP($C113,#REF!, 17, FALSE), "")</f>
        <v/>
      </c>
      <c r="R113" s="19" t="str">
        <f>IFERROR(VLOOKUP(C113,#REF!, 15, FALSE), "")</f>
        <v/>
      </c>
      <c r="S113" s="19" t="str">
        <f>IFERROR(VLOOKUP(C113,#REF!, 14, FALSE), "")</f>
        <v/>
      </c>
      <c r="T113" s="26" t="s">
        <v>134</v>
      </c>
      <c r="U113" s="26" t="s">
        <v>98</v>
      </c>
      <c r="V113" s="26" t="s">
        <v>189</v>
      </c>
      <c r="W113" s="19" t="s">
        <v>1072</v>
      </c>
      <c r="X113" s="19" t="s">
        <v>1073</v>
      </c>
    </row>
    <row r="114" spans="1:24" x14ac:dyDescent="0.25">
      <c r="A114" s="19" t="s">
        <v>50</v>
      </c>
      <c r="B114" s="19" t="s">
        <v>436</v>
      </c>
      <c r="C114" s="19" t="s">
        <v>784</v>
      </c>
      <c r="D114" s="19" t="s">
        <v>266</v>
      </c>
      <c r="E114" s="19" t="str">
        <f>IFERROR(VLOOKUP(C114,#REF!, 9, FALSE), "")</f>
        <v/>
      </c>
      <c r="F114" s="19" t="str">
        <f t="shared" si="1"/>
        <v>E1 0BQ</v>
      </c>
      <c r="G114">
        <v>51.510215000000002</v>
      </c>
      <c r="H114">
        <v>-5.4933388E-2</v>
      </c>
      <c r="I114" s="26" t="s">
        <v>435</v>
      </c>
      <c r="J114" s="19">
        <v>60</v>
      </c>
      <c r="M114" s="19" t="s">
        <v>788</v>
      </c>
      <c r="N114" s="19" t="s">
        <v>470</v>
      </c>
      <c r="O114" s="26" t="s">
        <v>789</v>
      </c>
      <c r="P114" s="26" t="s">
        <v>1074</v>
      </c>
      <c r="Q114" s="26" t="str">
        <f>IFERROR(VLOOKUP($C114,#REF!, 17, FALSE), "")</f>
        <v/>
      </c>
      <c r="R114" s="19" t="str">
        <f>IFERROR(VLOOKUP(C114,#REF!, 15, FALSE), "")</f>
        <v/>
      </c>
      <c r="S114" s="19" t="str">
        <f>IFERROR(VLOOKUP(C114,#REF!, 14, FALSE), "")</f>
        <v/>
      </c>
      <c r="T114" s="26" t="s">
        <v>143</v>
      </c>
      <c r="U114" s="25">
        <v>0</v>
      </c>
      <c r="V114" s="26" t="s">
        <v>198</v>
      </c>
      <c r="W114" s="19" t="s">
        <v>1075</v>
      </c>
      <c r="X114" s="19" t="s">
        <v>1076</v>
      </c>
    </row>
    <row r="115" spans="1:24" x14ac:dyDescent="0.25">
      <c r="A115" s="19" t="s">
        <v>50</v>
      </c>
      <c r="B115" s="19" t="s">
        <v>407</v>
      </c>
      <c r="C115" s="19" t="s">
        <v>736</v>
      </c>
      <c r="D115" s="19" t="s">
        <v>271</v>
      </c>
      <c r="E115" s="19" t="str">
        <f>IFERROR(VLOOKUP(C115,#REF!, 9, FALSE), "")</f>
        <v/>
      </c>
      <c r="F115" s="19" t="str">
        <f t="shared" si="1"/>
        <v>E2 6DT</v>
      </c>
      <c r="G115">
        <v>51.525098999999997</v>
      </c>
      <c r="H115">
        <v>-6.8095186000000002E-2</v>
      </c>
      <c r="I115" s="26" t="s">
        <v>406</v>
      </c>
      <c r="J115" s="19">
        <v>63</v>
      </c>
      <c r="M115" s="19" t="s">
        <v>741</v>
      </c>
      <c r="N115" s="19" t="s">
        <v>470</v>
      </c>
      <c r="O115" s="26" t="s">
        <v>742</v>
      </c>
      <c r="P115" s="26" t="s">
        <v>80</v>
      </c>
      <c r="Q115" s="26" t="str">
        <f>IFERROR(VLOOKUP($C115,#REF!, 17, FALSE), "")</f>
        <v/>
      </c>
      <c r="R115" s="19" t="str">
        <f>IFERROR(VLOOKUP(C115,#REF!, 15, FALSE), "")</f>
        <v/>
      </c>
      <c r="S115" s="19" t="str">
        <f>IFERROR(VLOOKUP(C115,#REF!, 14, FALSE), "")</f>
        <v/>
      </c>
      <c r="T115" s="26" t="s">
        <v>133</v>
      </c>
      <c r="U115" s="26" t="s">
        <v>96</v>
      </c>
      <c r="V115" s="26" t="s">
        <v>187</v>
      </c>
      <c r="W115" s="19" t="s">
        <v>1077</v>
      </c>
      <c r="X115" s="19" t="s">
        <v>1078</v>
      </c>
    </row>
    <row r="116" spans="1:24" x14ac:dyDescent="0.25">
      <c r="A116" s="19" t="s">
        <v>50</v>
      </c>
      <c r="B116" s="19" t="s">
        <v>574</v>
      </c>
      <c r="C116" s="19" t="s">
        <v>846</v>
      </c>
      <c r="E116" s="19" t="str">
        <f>IFERROR(VLOOKUP(C116,#REF!, 9, FALSE), "")</f>
        <v/>
      </c>
      <c r="F116" s="19" t="str">
        <f t="shared" si="1"/>
        <v/>
      </c>
      <c r="G116"/>
      <c r="H116"/>
      <c r="I116" s="26" t="s">
        <v>576</v>
      </c>
      <c r="J116" s="19">
        <v>0</v>
      </c>
      <c r="M116" s="19" t="s">
        <v>582</v>
      </c>
      <c r="N116" s="19" t="s">
        <v>572</v>
      </c>
      <c r="O116" s="26" t="s">
        <v>583</v>
      </c>
      <c r="P116" s="26" t="s">
        <v>936</v>
      </c>
      <c r="Q116" s="26" t="str">
        <f>IFERROR(VLOOKUP($C116,#REF!, 17, FALSE), "")</f>
        <v/>
      </c>
      <c r="R116" s="19" t="str">
        <f>IFERROR(VLOOKUP(C116,#REF!, 15, FALSE), "")</f>
        <v/>
      </c>
      <c r="S116" s="19" t="str">
        <f>IFERROR(VLOOKUP(C116,#REF!, 14, FALSE), "")</f>
        <v/>
      </c>
      <c r="T116" t="s">
        <v>77</v>
      </c>
      <c r="U116" s="25" t="s">
        <v>77</v>
      </c>
      <c r="V116" s="25" t="s">
        <v>77</v>
      </c>
    </row>
    <row r="117" spans="1:24" x14ac:dyDescent="0.25">
      <c r="A117" s="19" t="s">
        <v>50</v>
      </c>
      <c r="B117" s="19" t="s">
        <v>757</v>
      </c>
      <c r="C117" s="19" t="s">
        <v>756</v>
      </c>
      <c r="D117" s="19" t="s">
        <v>263</v>
      </c>
      <c r="E117" s="19" t="str">
        <f>IFERROR(VLOOKUP(C117,#REF!, 9, FALSE), "")</f>
        <v/>
      </c>
      <c r="F117" s="19" t="str">
        <f t="shared" si="1"/>
        <v>E14 0PT</v>
      </c>
      <c r="G117">
        <v>51.514231000000002</v>
      </c>
      <c r="H117">
        <v>-4.9524992999999996E-3</v>
      </c>
      <c r="I117" s="26" t="s">
        <v>418</v>
      </c>
      <c r="J117" s="19">
        <v>344</v>
      </c>
      <c r="M117" s="19" t="s">
        <v>761</v>
      </c>
      <c r="N117" s="19" t="s">
        <v>762</v>
      </c>
      <c r="O117" s="26" t="s">
        <v>763</v>
      </c>
      <c r="P117" s="26" t="s">
        <v>1079</v>
      </c>
      <c r="Q117" s="26" t="str">
        <f>IFERROR(VLOOKUP($C117,#REF!, 17, FALSE), "")</f>
        <v/>
      </c>
      <c r="R117" s="19" t="str">
        <f>IFERROR(VLOOKUP(C117,#REF!, 15, FALSE), "")</f>
        <v/>
      </c>
      <c r="S117" s="19" t="str">
        <f>IFERROR(VLOOKUP(C117,#REF!, 14, FALSE), "")</f>
        <v/>
      </c>
      <c r="T117" t="s">
        <v>77</v>
      </c>
      <c r="U117" s="25" t="s">
        <v>77</v>
      </c>
      <c r="V117" s="25" t="s">
        <v>77</v>
      </c>
    </row>
    <row r="118" spans="1:24" x14ac:dyDescent="0.25">
      <c r="A118" s="19" t="s">
        <v>50</v>
      </c>
      <c r="B118" s="19" t="s">
        <v>429</v>
      </c>
      <c r="C118" s="19" t="s">
        <v>774</v>
      </c>
      <c r="D118" s="19" t="s">
        <v>1080</v>
      </c>
      <c r="E118" s="19" t="str">
        <f>IFERROR(VLOOKUP(C118,#REF!, 9, FALSE), "")</f>
        <v/>
      </c>
      <c r="F118" s="19" t="str">
        <f t="shared" si="1"/>
        <v>E9 5HT</v>
      </c>
      <c r="G118">
        <v>51.539682999999997</v>
      </c>
      <c r="H118">
        <v>-2.8498850999999999E-2</v>
      </c>
      <c r="I118" s="26" t="s">
        <v>428</v>
      </c>
      <c r="J118" s="19">
        <v>129</v>
      </c>
      <c r="M118" s="19" t="s">
        <v>778</v>
      </c>
      <c r="N118" s="19" t="s">
        <v>470</v>
      </c>
      <c r="O118" s="26" t="s">
        <v>779</v>
      </c>
      <c r="P118" s="26" t="s">
        <v>1081</v>
      </c>
      <c r="Q118" s="26" t="str">
        <f>IFERROR(VLOOKUP($C118,#REF!, 17, FALSE), "")</f>
        <v/>
      </c>
      <c r="R118" s="19" t="str">
        <f>IFERROR(VLOOKUP(C118,#REF!, 15, FALSE), "")</f>
        <v/>
      </c>
      <c r="S118" s="19" t="str">
        <f>IFERROR(VLOOKUP(C118,#REF!, 14, FALSE), "")</f>
        <v/>
      </c>
      <c r="T118" s="26" t="s">
        <v>140</v>
      </c>
      <c r="U118" s="26" t="s">
        <v>103</v>
      </c>
      <c r="V118" s="26" t="s">
        <v>195</v>
      </c>
      <c r="W118" s="19" t="s">
        <v>1082</v>
      </c>
      <c r="X118" s="19" t="s">
        <v>1083</v>
      </c>
    </row>
    <row r="119" spans="1:24" x14ac:dyDescent="0.25">
      <c r="A119" s="19" t="s">
        <v>50</v>
      </c>
      <c r="B119" s="19" t="s">
        <v>443</v>
      </c>
      <c r="C119" s="19" t="s">
        <v>796</v>
      </c>
      <c r="D119" s="19" t="s">
        <v>254</v>
      </c>
      <c r="E119" s="19" t="str">
        <f>IFERROR(VLOOKUP(C119,#REF!, 9, FALSE), "")</f>
        <v/>
      </c>
      <c r="F119" s="19" t="str">
        <f t="shared" si="1"/>
        <v>E3 4AR</v>
      </c>
      <c r="G119">
        <v>51.517195000000001</v>
      </c>
      <c r="H119">
        <v>-2.9153035000000001E-2</v>
      </c>
      <c r="I119" s="26" t="s">
        <v>442</v>
      </c>
      <c r="J119" s="19">
        <v>79</v>
      </c>
      <c r="M119" s="19" t="s">
        <v>800</v>
      </c>
      <c r="N119" s="19" t="s">
        <v>470</v>
      </c>
      <c r="O119" s="26" t="s">
        <v>801</v>
      </c>
      <c r="P119" s="26" t="s">
        <v>1084</v>
      </c>
      <c r="Q119" s="26" t="str">
        <f>IFERROR(VLOOKUP($C119,#REF!, 17, FALSE), "")</f>
        <v/>
      </c>
      <c r="R119" s="19" t="str">
        <f>IFERROR(VLOOKUP(C119,#REF!, 15, FALSE), "")</f>
        <v/>
      </c>
      <c r="S119" s="19" t="str">
        <f>IFERROR(VLOOKUP(C119,#REF!, 14, FALSE), "")</f>
        <v/>
      </c>
      <c r="T119" s="26" t="s">
        <v>135</v>
      </c>
      <c r="U119" s="26" t="s">
        <v>99</v>
      </c>
      <c r="V119" s="26" t="s">
        <v>190</v>
      </c>
      <c r="W119" s="19" t="s">
        <v>1085</v>
      </c>
      <c r="X119" s="19" t="s">
        <v>1086</v>
      </c>
    </row>
    <row r="120" spans="1:24" x14ac:dyDescent="0.25">
      <c r="A120" s="19" t="s">
        <v>50</v>
      </c>
      <c r="B120" s="19" t="s">
        <v>440</v>
      </c>
      <c r="C120" s="19" t="s">
        <v>790</v>
      </c>
      <c r="D120" s="19" t="s">
        <v>264</v>
      </c>
      <c r="E120" s="19" t="str">
        <f>IFERROR(VLOOKUP(C120,#REF!, 9, FALSE), "")</f>
        <v/>
      </c>
      <c r="F120" s="19" t="str">
        <f t="shared" si="1"/>
        <v>E1W 3DH</v>
      </c>
      <c r="G120">
        <v>51.509518</v>
      </c>
      <c r="H120">
        <v>-5.3046399000000001E-2</v>
      </c>
      <c r="I120" s="26" t="s">
        <v>439</v>
      </c>
      <c r="J120" s="19">
        <v>244</v>
      </c>
      <c r="M120" s="19" t="s">
        <v>794</v>
      </c>
      <c r="N120" s="19" t="s">
        <v>470</v>
      </c>
      <c r="O120" s="26" t="s">
        <v>795</v>
      </c>
      <c r="P120" s="26" t="s">
        <v>1087</v>
      </c>
      <c r="Q120" s="26" t="str">
        <f>IFERROR(VLOOKUP($C120,#REF!, 17, FALSE), "")</f>
        <v/>
      </c>
      <c r="R120" s="19" t="str">
        <f>IFERROR(VLOOKUP(C120,#REF!, 15, FALSE), "")</f>
        <v/>
      </c>
      <c r="S120" s="19" t="str">
        <f>IFERROR(VLOOKUP(C120,#REF!, 14, FALSE), "")</f>
        <v/>
      </c>
      <c r="T120" s="26" t="s">
        <v>141</v>
      </c>
      <c r="U120" s="26" t="s">
        <v>104</v>
      </c>
      <c r="V120" s="26" t="s">
        <v>196</v>
      </c>
      <c r="W120" s="19" t="s">
        <v>1088</v>
      </c>
      <c r="X120" s="19" t="s">
        <v>1089</v>
      </c>
    </row>
    <row r="121" spans="1:24" x14ac:dyDescent="0.25">
      <c r="A121" s="19" t="s">
        <v>50</v>
      </c>
      <c r="B121" s="19" t="s">
        <v>843</v>
      </c>
      <c r="C121" s="19" t="s">
        <v>844</v>
      </c>
      <c r="E121" s="19" t="str">
        <f>IFERROR(VLOOKUP(C121,#REF!, 9, FALSE), "")</f>
        <v/>
      </c>
      <c r="F121" s="19" t="str">
        <f t="shared" si="1"/>
        <v/>
      </c>
      <c r="G121"/>
      <c r="H121"/>
      <c r="I121" s="26" t="s">
        <v>845</v>
      </c>
      <c r="J121" s="19">
        <v>0</v>
      </c>
      <c r="M121" s="19" t="s">
        <v>847</v>
      </c>
      <c r="N121" s="19" t="s">
        <v>572</v>
      </c>
      <c r="O121" s="26" t="s">
        <v>848</v>
      </c>
      <c r="P121" s="26" t="s">
        <v>1090</v>
      </c>
      <c r="Q121" s="26" t="str">
        <f>IFERROR(VLOOKUP($C121,#REF!, 17, FALSE), "")</f>
        <v/>
      </c>
      <c r="R121" s="19" t="str">
        <f>IFERROR(VLOOKUP(C121,#REF!, 15, FALSE), "")</f>
        <v/>
      </c>
      <c r="S121" s="19" t="str">
        <f>IFERROR(VLOOKUP(C121,#REF!, 14, FALSE), "")</f>
        <v/>
      </c>
      <c r="T121" t="s">
        <v>77</v>
      </c>
      <c r="U121" s="25" t="s">
        <v>77</v>
      </c>
      <c r="V121" s="25" t="s">
        <v>77</v>
      </c>
    </row>
    <row r="122" spans="1:24" x14ac:dyDescent="0.25">
      <c r="A122" s="19" t="s">
        <v>50</v>
      </c>
      <c r="B122" s="19" t="s">
        <v>815</v>
      </c>
      <c r="C122" s="19" t="s">
        <v>816</v>
      </c>
      <c r="E122" s="19" t="str">
        <f>IFERROR(VLOOKUP(C122,#REF!, 9, FALSE), "")</f>
        <v/>
      </c>
      <c r="F122" s="19" t="str">
        <f t="shared" si="1"/>
        <v/>
      </c>
      <c r="G122"/>
      <c r="H122"/>
      <c r="I122" s="26" t="s">
        <v>817</v>
      </c>
      <c r="J122" s="19">
        <v>0</v>
      </c>
      <c r="M122" s="19" t="s">
        <v>823</v>
      </c>
      <c r="N122" s="19" t="s">
        <v>572</v>
      </c>
      <c r="O122" s="26" t="s">
        <v>824</v>
      </c>
      <c r="P122" s="26" t="s">
        <v>1091</v>
      </c>
      <c r="Q122" s="26" t="str">
        <f>IFERROR(VLOOKUP($C122,#REF!, 17, FALSE), "")</f>
        <v/>
      </c>
      <c r="R122" s="19" t="str">
        <f>IFERROR(VLOOKUP(C122,#REF!, 15, FALSE), "")</f>
        <v/>
      </c>
      <c r="S122" s="19" t="str">
        <f>IFERROR(VLOOKUP(C122,#REF!, 14, FALSE), "")</f>
        <v/>
      </c>
      <c r="T122" t="s">
        <v>77</v>
      </c>
      <c r="U122" s="25" t="s">
        <v>77</v>
      </c>
      <c r="V122" s="25" t="s">
        <v>77</v>
      </c>
    </row>
    <row r="123" spans="1:24" x14ac:dyDescent="0.25">
      <c r="A123" s="19" t="s">
        <v>50</v>
      </c>
      <c r="B123" s="19" t="s">
        <v>414</v>
      </c>
      <c r="C123" s="19" t="s">
        <v>749</v>
      </c>
      <c r="D123" s="19" t="s">
        <v>253</v>
      </c>
      <c r="E123" s="19" t="str">
        <f>IFERROR(VLOOKUP(C123,#REF!, 9, FALSE), "")</f>
        <v/>
      </c>
      <c r="F123" s="19" t="str">
        <f t="shared" si="1"/>
        <v>E2 7AE</v>
      </c>
      <c r="G123">
        <v>51.529953999999996</v>
      </c>
      <c r="H123">
        <v>-6.4213211000000006E-2</v>
      </c>
      <c r="I123" s="26" t="s">
        <v>413</v>
      </c>
      <c r="J123" s="19">
        <v>119</v>
      </c>
      <c r="M123" s="19" t="s">
        <v>753</v>
      </c>
      <c r="N123" s="19" t="s">
        <v>470</v>
      </c>
      <c r="O123" s="26" t="s">
        <v>754</v>
      </c>
      <c r="P123" s="26" t="s">
        <v>1092</v>
      </c>
      <c r="Q123" s="26" t="str">
        <f>IFERROR(VLOOKUP($C123,#REF!, 17, FALSE), "")</f>
        <v/>
      </c>
      <c r="R123" s="19" t="str">
        <f>IFERROR(VLOOKUP(C123,#REF!, 15, FALSE), "")</f>
        <v/>
      </c>
      <c r="S123" s="19" t="str">
        <f>IFERROR(VLOOKUP(C123,#REF!, 14, FALSE), "")</f>
        <v/>
      </c>
      <c r="T123" s="26" t="s">
        <v>133</v>
      </c>
      <c r="U123" s="26" t="s">
        <v>97</v>
      </c>
      <c r="V123" s="26" t="s">
        <v>188</v>
      </c>
      <c r="W123" s="19" t="s">
        <v>1093</v>
      </c>
      <c r="X123" s="19" t="s">
        <v>1094</v>
      </c>
    </row>
    <row r="124" spans="1:24" x14ac:dyDescent="0.25">
      <c r="A124" s="19" t="s">
        <v>50</v>
      </c>
      <c r="B124" s="19" t="s">
        <v>438</v>
      </c>
      <c r="C124" s="19" t="s">
        <v>787</v>
      </c>
      <c r="D124" s="19" t="s">
        <v>260</v>
      </c>
      <c r="E124" s="19" t="str">
        <f>IFERROR(VLOOKUP(C124,#REF!, 9, FALSE), "")</f>
        <v/>
      </c>
      <c r="F124" s="19" t="str">
        <f t="shared" si="1"/>
        <v>E1W 2RW</v>
      </c>
      <c r="G124">
        <v>51.505381</v>
      </c>
      <c r="H124">
        <v>-5.7905906E-2</v>
      </c>
      <c r="I124" s="26" t="s">
        <v>437</v>
      </c>
      <c r="J124" s="19">
        <v>104</v>
      </c>
      <c r="M124" s="19" t="s">
        <v>791</v>
      </c>
      <c r="N124" s="19" t="s">
        <v>470</v>
      </c>
      <c r="O124" s="26" t="s">
        <v>792</v>
      </c>
      <c r="P124" s="26" t="s">
        <v>1095</v>
      </c>
      <c r="Q124" s="26" t="str">
        <f>IFERROR(VLOOKUP($C124,#REF!, 17, FALSE), "")</f>
        <v/>
      </c>
      <c r="R124" s="19" t="str">
        <f>IFERROR(VLOOKUP(C124,#REF!, 15, FALSE), "")</f>
        <v/>
      </c>
      <c r="S124" s="19" t="str">
        <f>IFERROR(VLOOKUP(C124,#REF!, 14, FALSE), "")</f>
        <v/>
      </c>
      <c r="T124" s="26" t="s">
        <v>139</v>
      </c>
      <c r="U124" s="26" t="s">
        <v>102</v>
      </c>
      <c r="V124" s="26" t="s">
        <v>194</v>
      </c>
      <c r="W124" s="19" t="s">
        <v>1096</v>
      </c>
      <c r="X124" s="19" t="s">
        <v>1097</v>
      </c>
    </row>
    <row r="125" spans="1:24" x14ac:dyDescent="0.25">
      <c r="A125" s="19" t="s">
        <v>50</v>
      </c>
      <c r="B125" s="19" t="s">
        <v>467</v>
      </c>
      <c r="C125" s="19" t="s">
        <v>802</v>
      </c>
      <c r="E125" s="19" t="str">
        <f>IFERROR(VLOOKUP(C125,#REF!, 9, FALSE), "")</f>
        <v/>
      </c>
      <c r="F125" s="19" t="str">
        <f t="shared" si="1"/>
        <v/>
      </c>
      <c r="G125">
        <v>51.507644999999997</v>
      </c>
      <c r="H125">
        <v>-2.3844205E-2</v>
      </c>
      <c r="I125" s="26" t="s">
        <v>446</v>
      </c>
      <c r="J125" s="19">
        <v>0</v>
      </c>
      <c r="M125" s="19" t="s">
        <v>807</v>
      </c>
      <c r="N125" s="19" t="s">
        <v>560</v>
      </c>
      <c r="O125" s="26" t="s">
        <v>808</v>
      </c>
      <c r="P125" s="26" t="s">
        <v>1098</v>
      </c>
      <c r="Q125" s="26" t="str">
        <f>IFERROR(VLOOKUP($C125,#REF!, 17, FALSE), "")</f>
        <v/>
      </c>
      <c r="R125" s="19" t="str">
        <f>IFERROR(VLOOKUP(C125,#REF!, 15, FALSE), "")</f>
        <v/>
      </c>
      <c r="S125" s="19" t="str">
        <f>IFERROR(VLOOKUP(C125,#REF!, 14, FALSE), "")</f>
        <v/>
      </c>
      <c r="T125" s="26" t="s">
        <v>138</v>
      </c>
      <c r="U125" s="25">
        <v>0</v>
      </c>
      <c r="V125" s="26" t="s">
        <v>193</v>
      </c>
    </row>
    <row r="126" spans="1:24" x14ac:dyDescent="0.25">
      <c r="A126" s="19" t="s">
        <v>50</v>
      </c>
      <c r="B126" s="19" t="s">
        <v>820</v>
      </c>
      <c r="C126" s="19" t="s">
        <v>821</v>
      </c>
      <c r="E126" s="19" t="str">
        <f>IFERROR(VLOOKUP(C126,#REF!, 9, FALSE), "")</f>
        <v/>
      </c>
      <c r="F126" s="19" t="str">
        <f t="shared" si="1"/>
        <v/>
      </c>
      <c r="G126"/>
      <c r="H126"/>
      <c r="I126" s="26" t="s">
        <v>822</v>
      </c>
      <c r="J126" s="19">
        <v>0</v>
      </c>
      <c r="M126" s="19" t="s">
        <v>828</v>
      </c>
      <c r="N126" s="19" t="s">
        <v>572</v>
      </c>
      <c r="O126" s="26" t="s">
        <v>829</v>
      </c>
      <c r="P126" s="26" t="s">
        <v>1099</v>
      </c>
      <c r="Q126" s="26" t="str">
        <f>IFERROR(VLOOKUP($C126,#REF!, 17, FALSE), "")</f>
        <v/>
      </c>
      <c r="R126" s="19" t="str">
        <f>IFERROR(VLOOKUP(C126,#REF!, 15, FALSE), "")</f>
        <v/>
      </c>
      <c r="S126" s="19" t="str">
        <f>IFERROR(VLOOKUP(C126,#REF!, 14, FALSE), "")</f>
        <v/>
      </c>
      <c r="T126" t="s">
        <v>77</v>
      </c>
      <c r="U126" s="25" t="s">
        <v>77</v>
      </c>
      <c r="V126" s="25" t="s">
        <v>77</v>
      </c>
    </row>
    <row r="127" spans="1:24" x14ac:dyDescent="0.25">
      <c r="A127" s="19" t="s">
        <v>50</v>
      </c>
      <c r="B127" s="19" t="s">
        <v>835</v>
      </c>
      <c r="C127" s="19" t="s">
        <v>836</v>
      </c>
      <c r="E127" s="19" t="str">
        <f>IFERROR(VLOOKUP(C127,#REF!, 9, FALSE), "")</f>
        <v/>
      </c>
      <c r="F127" s="19" t="str">
        <f t="shared" si="1"/>
        <v/>
      </c>
      <c r="I127" s="26" t="s">
        <v>837</v>
      </c>
      <c r="J127" s="19">
        <v>0</v>
      </c>
      <c r="M127" s="19" t="s">
        <v>841</v>
      </c>
      <c r="N127" s="19" t="s">
        <v>572</v>
      </c>
      <c r="O127" s="26" t="s">
        <v>842</v>
      </c>
      <c r="P127" s="26" t="s">
        <v>1100</v>
      </c>
      <c r="Q127" s="26" t="str">
        <f>IFERROR(VLOOKUP($C127,#REF!, 17, FALSE), "")</f>
        <v/>
      </c>
      <c r="R127" s="19" t="str">
        <f>IFERROR(VLOOKUP(C127,#REF!, 15, FALSE), "")</f>
        <v/>
      </c>
      <c r="S127" s="19" t="str">
        <f>IFERROR(VLOOKUP(C127,#REF!, 14, FALSE), "")</f>
        <v/>
      </c>
      <c r="T127" t="s">
        <v>77</v>
      </c>
      <c r="U127" s="25" t="s">
        <v>77</v>
      </c>
      <c r="V127" s="25" t="s">
        <v>77</v>
      </c>
    </row>
    <row r="128" spans="1:24" x14ac:dyDescent="0.25">
      <c r="A128" s="19" t="s">
        <v>50</v>
      </c>
      <c r="B128" s="19" t="s">
        <v>825</v>
      </c>
      <c r="C128" s="19" t="s">
        <v>826</v>
      </c>
      <c r="E128" s="19" t="str">
        <f>IFERROR(VLOOKUP(C128,#REF!, 9, FALSE), "")</f>
        <v/>
      </c>
      <c r="F128" s="19" t="str">
        <f t="shared" si="1"/>
        <v/>
      </c>
      <c r="I128" s="26" t="s">
        <v>827</v>
      </c>
      <c r="J128" s="19">
        <v>0</v>
      </c>
      <c r="M128" s="19" t="s">
        <v>833</v>
      </c>
      <c r="N128" s="19" t="s">
        <v>572</v>
      </c>
      <c r="O128" s="26" t="s">
        <v>834</v>
      </c>
      <c r="P128" s="26" t="s">
        <v>1101</v>
      </c>
      <c r="Q128" s="26" t="str">
        <f>IFERROR(VLOOKUP($C128,#REF!, 17, FALSE), "")</f>
        <v/>
      </c>
      <c r="R128" s="19" t="str">
        <f>IFERROR(VLOOKUP(C128,#REF!, 15, FALSE), "")</f>
        <v/>
      </c>
      <c r="S128" s="19" t="str">
        <f>IFERROR(VLOOKUP(C128,#REF!, 14, FALSE), "")</f>
        <v/>
      </c>
      <c r="T128" t="s">
        <v>77</v>
      </c>
      <c r="U128" s="25" t="s">
        <v>77</v>
      </c>
      <c r="V128" s="25" t="s">
        <v>77</v>
      </c>
    </row>
    <row r="129" spans="1:22" x14ac:dyDescent="0.25">
      <c r="A129" s="19" t="s">
        <v>50</v>
      </c>
      <c r="B129" s="19" t="s">
        <v>458</v>
      </c>
      <c r="C129" s="19" t="s">
        <v>867</v>
      </c>
      <c r="E129" s="19" t="str">
        <f>IFERROR(VLOOKUP(C129,#REF!, 9, FALSE), "")</f>
        <v/>
      </c>
      <c r="F129" s="19" t="str">
        <f t="shared" si="1"/>
        <v/>
      </c>
      <c r="I129" s="26" t="s">
        <v>457</v>
      </c>
      <c r="J129" s="19">
        <v>0</v>
      </c>
      <c r="P129" s="26" t="s">
        <v>1102</v>
      </c>
      <c r="Q129" s="26" t="str">
        <f>IFERROR(VLOOKUP($C129,#REF!, 17, FALSE), "")</f>
        <v/>
      </c>
      <c r="R129" s="19" t="str">
        <f>IFERROR(VLOOKUP(C129,#REF!, 15, FALSE), "")</f>
        <v/>
      </c>
      <c r="S129" s="19" t="str">
        <f>IFERROR(VLOOKUP(C129,#REF!, 14, FALSE), "")</f>
        <v/>
      </c>
      <c r="T129" t="s">
        <v>77</v>
      </c>
      <c r="U129" s="25" t="s">
        <v>77</v>
      </c>
      <c r="V129" s="25" t="s">
        <v>77</v>
      </c>
    </row>
    <row r="130" spans="1:22" x14ac:dyDescent="0.25">
      <c r="A130" s="19" t="s">
        <v>50</v>
      </c>
      <c r="B130" s="19" t="s">
        <v>859</v>
      </c>
      <c r="C130" s="19" t="s">
        <v>856</v>
      </c>
      <c r="E130" s="19" t="str">
        <f>IFERROR(VLOOKUP(C130,#REF!, 9, FALSE), "")</f>
        <v/>
      </c>
      <c r="F130" s="19" t="str">
        <f t="shared" si="1"/>
        <v/>
      </c>
      <c r="I130" s="26" t="s">
        <v>453</v>
      </c>
      <c r="J130" s="19">
        <v>0</v>
      </c>
      <c r="M130" s="19" t="s">
        <v>860</v>
      </c>
      <c r="N130" s="19" t="s">
        <v>865</v>
      </c>
      <c r="O130" s="26" t="s">
        <v>862</v>
      </c>
      <c r="Q130" s="26" t="str">
        <f>IFERROR(VLOOKUP($C130,#REF!, 17, FALSE), "")</f>
        <v/>
      </c>
      <c r="R130" s="19" t="str">
        <f>IFERROR(VLOOKUP(C130,#REF!, 15, FALSE), "")</f>
        <v/>
      </c>
      <c r="S130" s="19" t="str">
        <f>IFERROR(VLOOKUP(C130,#REF!, 14, FALSE), "")</f>
        <v/>
      </c>
      <c r="T130" t="s">
        <v>77</v>
      </c>
      <c r="U130" s="25" t="s">
        <v>77</v>
      </c>
      <c r="V130" s="25" t="s">
        <v>77</v>
      </c>
    </row>
    <row r="131" spans="1:22" x14ac:dyDescent="0.25">
      <c r="A131" s="19" t="s">
        <v>50</v>
      </c>
      <c r="B131" s="19" t="s">
        <v>451</v>
      </c>
      <c r="C131" s="19" t="s">
        <v>853</v>
      </c>
      <c r="E131" s="19" t="str">
        <f>IFERROR(VLOOKUP(C131,#REF!, 9, FALSE), "")</f>
        <v/>
      </c>
      <c r="F131" s="19" t="str">
        <f t="shared" ref="F131:F133" si="2">IF("" &lt;&gt; D131, D131, E131)</f>
        <v/>
      </c>
      <c r="I131" s="26" t="s">
        <v>450</v>
      </c>
      <c r="J131" s="19">
        <v>0</v>
      </c>
      <c r="M131" s="19" t="s">
        <v>857</v>
      </c>
      <c r="N131" s="19" t="s">
        <v>729</v>
      </c>
      <c r="O131" s="26" t="s">
        <v>858</v>
      </c>
      <c r="Q131" s="26" t="str">
        <f>IFERROR(VLOOKUP($C131,#REF!, 17, FALSE), "")</f>
        <v/>
      </c>
      <c r="R131" s="19" t="str">
        <f>IFERROR(VLOOKUP(C131,#REF!, 15, FALSE), "")</f>
        <v/>
      </c>
      <c r="S131" s="19" t="str">
        <f>IFERROR(VLOOKUP(C131,#REF!, 14, FALSE), "")</f>
        <v/>
      </c>
      <c r="T131" s="26" t="str">
        <f>IFERROR(VLOOKUP(C131,#REF!, 18, FALSE), "")</f>
        <v/>
      </c>
      <c r="U131" s="25" t="str">
        <f>IFERROR(VLOOKUP(C131,#REF!, 19, FALSE), "")</f>
        <v/>
      </c>
      <c r="V131" s="25" t="str">
        <f>IFERROR(VLOOKUP($C131,#REF!, 20, FALSE), "")</f>
        <v/>
      </c>
    </row>
    <row r="132" spans="1:22" x14ac:dyDescent="0.25">
      <c r="E132" s="19" t="str">
        <f>IFERROR(VLOOKUP(C132,#REF!, 9, FALSE), "")</f>
        <v/>
      </c>
      <c r="F132" s="19" t="str">
        <f t="shared" si="2"/>
        <v/>
      </c>
      <c r="J132" s="19">
        <v>0</v>
      </c>
      <c r="Q132" s="26" t="str">
        <f>IFERROR(VLOOKUP($C132,#REF!, 17, FALSE), "")</f>
        <v/>
      </c>
      <c r="R132" s="19" t="str">
        <f>IFERROR(VLOOKUP(C132,#REF!, 15, FALSE), "")</f>
        <v/>
      </c>
      <c r="S132" s="19" t="str">
        <f>IFERROR(VLOOKUP(C132,#REF!, 14, FALSE), "")</f>
        <v/>
      </c>
      <c r="T132" s="26" t="str">
        <f>IFERROR(VLOOKUP(C132,#REF!, 18, FALSE), "")</f>
        <v/>
      </c>
      <c r="U132" s="25" t="str">
        <f>IFERROR(VLOOKUP(C132,#REF!, 19, FALSE), "")</f>
        <v/>
      </c>
      <c r="V132" s="25" t="str">
        <f>IFERROR(VLOOKUP($C132,#REF!, 20, FALSE), "")</f>
        <v/>
      </c>
    </row>
    <row r="133" spans="1:22" x14ac:dyDescent="0.25">
      <c r="E133" s="19" t="str">
        <f>IFERROR(VLOOKUP(C133,#REF!, 9, FALSE), "")</f>
        <v/>
      </c>
      <c r="F133" s="19" t="str">
        <f t="shared" si="2"/>
        <v/>
      </c>
      <c r="J133" s="19">
        <v>0</v>
      </c>
      <c r="Q133" s="26" t="str">
        <f>IFERROR(VLOOKUP($C133,#REF!, 17, FALSE), "")</f>
        <v/>
      </c>
      <c r="R133" s="19" t="str">
        <f>IFERROR(VLOOKUP(C133,#REF!, 15, FALSE), "")</f>
        <v/>
      </c>
      <c r="S133" s="19" t="str">
        <f>IFERROR(VLOOKUP(C133,#REF!, 14, FALSE), "")</f>
        <v/>
      </c>
      <c r="T133" s="26" t="str">
        <f>IFERROR(VLOOKUP(C133,#REF!, 18, FALSE), "")</f>
        <v/>
      </c>
      <c r="U133" s="25" t="str">
        <f>IFERROR(VLOOKUP(C133,#REF!, 19, FALSE), "")</f>
        <v/>
      </c>
      <c r="V133" s="25" t="str">
        <f>IFERROR(VLOOKUP($C133,#REF!, 20, FALSE), "")</f>
        <v/>
      </c>
    </row>
  </sheetData>
  <autoFilter ref="A1:X133"/>
  <hyperlinks>
    <hyperlink ref="I11" r:id="rId1"/>
    <hyperlink ref="I2" r:id="rId2"/>
    <hyperlink ref="I3" r:id="rId3"/>
    <hyperlink ref="I4" r:id="rId4"/>
    <hyperlink ref="I5" r:id="rId5"/>
    <hyperlink ref="I6" r:id="rId6"/>
    <hyperlink ref="I7" r:id="rId7"/>
    <hyperlink ref="I8" r:id="rId8"/>
    <hyperlink ref="I9" r:id="rId9"/>
    <hyperlink ref="I10" r:id="rId10"/>
    <hyperlink ref="I12" r:id="rId11"/>
    <hyperlink ref="I13" r:id="rId12"/>
    <hyperlink ref="I14" r:id="rId13"/>
    <hyperlink ref="I15" r:id="rId14"/>
    <hyperlink ref="I16" r:id="rId15"/>
    <hyperlink ref="I17" r:id="rId16"/>
    <hyperlink ref="I18" r:id="rId17"/>
    <hyperlink ref="I19" r:id="rId18"/>
    <hyperlink ref="I20" r:id="rId19"/>
    <hyperlink ref="I21" r:id="rId20"/>
    <hyperlink ref="I22" r:id="rId21"/>
    <hyperlink ref="I23" r:id="rId22"/>
    <hyperlink ref="I24" r:id="rId23"/>
    <hyperlink ref="I25" r:id="rId24"/>
    <hyperlink ref="I26" r:id="rId25"/>
    <hyperlink ref="I27" r:id="rId26"/>
    <hyperlink ref="I28" r:id="rId27"/>
    <hyperlink ref="I29" r:id="rId28"/>
    <hyperlink ref="I30" r:id="rId29"/>
    <hyperlink ref="I31" r:id="rId30"/>
    <hyperlink ref="I32" r:id="rId31"/>
    <hyperlink ref="I33" r:id="rId32"/>
    <hyperlink ref="I34" r:id="rId33"/>
    <hyperlink ref="I35" r:id="rId34"/>
    <hyperlink ref="I36" r:id="rId35"/>
    <hyperlink ref="I37" r:id="rId36"/>
    <hyperlink ref="I38" r:id="rId37"/>
    <hyperlink ref="I39" r:id="rId38"/>
    <hyperlink ref="I40" r:id="rId39"/>
    <hyperlink ref="I41" r:id="rId40"/>
    <hyperlink ref="I42" r:id="rId41"/>
    <hyperlink ref="I43" r:id="rId42"/>
    <hyperlink ref="I44" r:id="rId43"/>
    <hyperlink ref="I45" r:id="rId44"/>
    <hyperlink ref="I46" r:id="rId45"/>
    <hyperlink ref="I47" r:id="rId46"/>
    <hyperlink ref="I48" r:id="rId47"/>
    <hyperlink ref="I49" r:id="rId48"/>
    <hyperlink ref="I50" r:id="rId49"/>
    <hyperlink ref="I51" r:id="rId50"/>
    <hyperlink ref="I52" r:id="rId51"/>
    <hyperlink ref="I53" r:id="rId52"/>
    <hyperlink ref="I54" r:id="rId53"/>
    <hyperlink ref="I55" r:id="rId54"/>
    <hyperlink ref="I56" r:id="rId55"/>
    <hyperlink ref="I57" r:id="rId56"/>
    <hyperlink ref="I58" r:id="rId57"/>
    <hyperlink ref="I59" r:id="rId58"/>
    <hyperlink ref="I60" r:id="rId59"/>
    <hyperlink ref="I61" r:id="rId60"/>
    <hyperlink ref="I62" r:id="rId61"/>
    <hyperlink ref="I63" r:id="rId62"/>
    <hyperlink ref="I64" r:id="rId63"/>
    <hyperlink ref="I65" r:id="rId64"/>
    <hyperlink ref="I66" r:id="rId65"/>
    <hyperlink ref="I67" r:id="rId66"/>
    <hyperlink ref="I68" r:id="rId67"/>
    <hyperlink ref="I69" r:id="rId68"/>
    <hyperlink ref="I70" r:id="rId69"/>
    <hyperlink ref="I71" r:id="rId70"/>
    <hyperlink ref="I72" r:id="rId71"/>
    <hyperlink ref="I73" r:id="rId72"/>
    <hyperlink ref="I74" r:id="rId73"/>
    <hyperlink ref="I75" r:id="rId74"/>
    <hyperlink ref="I76" r:id="rId75"/>
    <hyperlink ref="I77" r:id="rId76"/>
    <hyperlink ref="I78" r:id="rId77"/>
    <hyperlink ref="I79" r:id="rId78"/>
    <hyperlink ref="I80" r:id="rId79"/>
    <hyperlink ref="I81" r:id="rId80"/>
    <hyperlink ref="I82" r:id="rId81"/>
    <hyperlink ref="I83" r:id="rId82"/>
    <hyperlink ref="I84" r:id="rId83"/>
    <hyperlink ref="I85" r:id="rId84"/>
    <hyperlink ref="I86" r:id="rId85"/>
    <hyperlink ref="I87" r:id="rId86"/>
    <hyperlink ref="I88" r:id="rId87"/>
    <hyperlink ref="I89" r:id="rId88"/>
    <hyperlink ref="I90" r:id="rId89"/>
    <hyperlink ref="I91" r:id="rId90"/>
    <hyperlink ref="I92" r:id="rId91"/>
    <hyperlink ref="I93" r:id="rId92"/>
    <hyperlink ref="I94" r:id="rId93"/>
    <hyperlink ref="I95" r:id="rId94"/>
    <hyperlink ref="I96" r:id="rId95"/>
    <hyperlink ref="I97" r:id="rId96"/>
    <hyperlink ref="I98" r:id="rId97"/>
    <hyperlink ref="I99" r:id="rId98"/>
    <hyperlink ref="I100" r:id="rId99"/>
    <hyperlink ref="I101" r:id="rId100"/>
    <hyperlink ref="I102" r:id="rId101"/>
    <hyperlink ref="I103" r:id="rId102"/>
    <hyperlink ref="I104" r:id="rId103"/>
    <hyperlink ref="I105" r:id="rId104"/>
    <hyperlink ref="I106" r:id="rId105"/>
    <hyperlink ref="I107" r:id="rId106"/>
    <hyperlink ref="I108" r:id="rId107"/>
    <hyperlink ref="I109" r:id="rId108"/>
    <hyperlink ref="I110" r:id="rId109"/>
    <hyperlink ref="I111" r:id="rId110"/>
    <hyperlink ref="I112" r:id="rId111"/>
    <hyperlink ref="I113" r:id="rId112"/>
    <hyperlink ref="I114" r:id="rId113"/>
    <hyperlink ref="I115" r:id="rId114"/>
    <hyperlink ref="I116" r:id="rId115"/>
    <hyperlink ref="I117" r:id="rId116"/>
    <hyperlink ref="I118" r:id="rId117"/>
    <hyperlink ref="I119" r:id="rId118"/>
    <hyperlink ref="I120" r:id="rId119"/>
    <hyperlink ref="I121" r:id="rId120"/>
    <hyperlink ref="I122" r:id="rId121"/>
    <hyperlink ref="I123" r:id="rId122"/>
    <hyperlink ref="I124" r:id="rId123"/>
    <hyperlink ref="I125" r:id="rId124"/>
    <hyperlink ref="I126" r:id="rId125"/>
    <hyperlink ref="I127" r:id="rId126"/>
    <hyperlink ref="I128" r:id="rId127"/>
    <hyperlink ref="I129" r:id="rId128"/>
    <hyperlink ref="I130" r:id="rId129"/>
    <hyperlink ref="I131" r:id="rId130"/>
    <hyperlink ref="P3" r:id="rId131" display="https://http/www.hackneymarshteam.org.uk"/>
    <hyperlink ref="P4" r:id="rId132" display="http://www.hackneymarshteam.org.uk/"/>
    <hyperlink ref="P5" r:id="rId133" display="https://www.gracechurchhackney.org.uk/"/>
    <hyperlink ref="P6" r:id="rId134" display="http://www.holytrinity.hackney.sch.uk/"/>
    <hyperlink ref="P11" r:id="rId135" display="https://hackney.church/"/>
    <hyperlink ref="P12" r:id="rId136" display="https://www.stsaviourspriory.org.uk/"/>
    <hyperlink ref="P13" r:id="rId137" display="http://www.standrewsn16.org/"/>
    <hyperlink ref="P14" r:id="rId138" display="http://www.hoxtonchurch.org.uk/"/>
    <hyperlink ref="P15" r:id="rId139" display="https://saintbarnabasdalston.org.uk/"/>
    <hyperlink ref="P17" r:id="rId140" display="https://www.holybart.com/"/>
    <hyperlink ref="P19" r:id="rId141" display="https://www.stjamesclapton.co.uk/"/>
    <hyperlink ref="P20" r:id="rId142" display="http://www.johnjames.hackney.sch.uk/"/>
    <hyperlink ref="P21" r:id="rId143" display="http://www.st-johnjerusalem.hackney.sch.uk/"/>
    <hyperlink ref="P22" r:id="rId144" display="http://www.sjoj.co.uk/"/>
    <hyperlink ref="P23" r:id="rId145" display="http://www.st-john.hackney.sch.uk/"/>
    <hyperlink ref="P24" r:id="rId146" display="https://www.stjohnshoxton.org.uk/"/>
    <hyperlink ref="P25" r:id="rId147" display="https://www.sjebp.com/"/>
    <hyperlink ref="P26" r:id="rId148" display="https://www.stjh.org.uk/"/>
    <hyperlink ref="P27" r:id="rId149"/>
    <hyperlink ref="P28" r:id="rId150"/>
    <hyperlink ref="P29" r:id="rId151" display="http://www.stmaryofeton.org.uk/"/>
    <hyperlink ref="P30" r:id="rId152" display="https://www.stmaryn16.org/"/>
    <hyperlink ref="P31" r:id="rId153"/>
    <hyperlink ref="P32" r:id="rId154"/>
    <hyperlink ref="P33" r:id="rId155"/>
    <hyperlink ref="P34" r:id="rId156" display="https://www.stmchurch.co.uk/"/>
    <hyperlink ref="P35" r:id="rId157" display="https://www.stmichaelslondonfields.org.uk/"/>
    <hyperlink ref="P37" r:id="rId158" display="http://www.stolaveschurch.co.uk/"/>
    <hyperlink ref="P38" r:id="rId159" display="http://stpaulswesthackney.org/"/>
    <hyperlink ref="P39" r:id="rId160" display="http://www.spsm.hackney.sch.uk/"/>
    <hyperlink ref="P40" r:id="rId161" display="http://www.stpeterdebeauvoir.org.uk/"/>
    <hyperlink ref="P41" r:id="rId162" display="https://www.saintthomasclapton.org/"/>
    <hyperlink ref="P42" r:id="rId163"/>
    <hyperlink ref="P43" r:id="rId164" display="http://www.allsaintsislington.org/"/>
    <hyperlink ref="P44" r:id="rId165" display="http://www.christchurchhighbury.com/"/>
    <hyperlink ref="P45" r:id="rId166"/>
    <hyperlink ref="P46" r:id="rId167" display="https://www.cityymca.org/"/>
    <hyperlink ref="P47" r:id="rId168"/>
    <hyperlink ref="P50" r:id="rId169" display="http://www.hopechurchislington.org/"/>
    <hyperlink ref="P53" r:id="rId170" display="https://nagsheadcc.com/"/>
    <hyperlink ref="P54" r:id="rId171" display="http://www.holyredeemerclerkenwell.com/"/>
    <hyperlink ref="P55" r:id="rId172" display="https://www.standrewsislington.com/"/>
    <hyperlink ref="P56" r:id="rId173" display="http://www.standrewsn19.org/"/>
    <hyperlink ref="P57" r:id="rId174"/>
    <hyperlink ref="P58" r:id="rId175" display="http://www.staugustine.org.uk/"/>
    <hyperlink ref="P59" r:id="rId176" display="https://www.stclementfinsbury.org/"/>
    <hyperlink ref="P60" r:id="rId177" display="http://www.stgeorgestufnellpark.org/"/>
    <hyperlink ref="P61" r:id="rId178"/>
    <hyperlink ref="P62" r:id="rId179" display="https://www.stjamesislington.org/"/>
    <hyperlink ref="P63" r:id="rId180" display="http://www.stjohnsupperholloway.church/"/>
    <hyperlink ref="P64" r:id="rId181"/>
    <hyperlink ref="P65" r:id="rId182"/>
    <hyperlink ref="P66" r:id="rId183" display="http://stjudestpauls.co.uk/"/>
    <hyperlink ref="P67" r:id="rId184" display="http://www.sjsp.org.uk/"/>
    <hyperlink ref="P68" r:id="rId185" display="http://www.saintlukeschurch.org.uk/"/>
    <hyperlink ref="P69" r:id="rId186" display="http://www.st-lukes.towerhamlets.sch.uk/"/>
    <hyperlink ref="P70" r:id="rId187" display="https://www.stmarks-clerkenwell.co.uk/"/>
    <hyperlink ref="P71" r:id="rId188" display="https://www.tollingtonparish.org.uk/"/>
    <hyperlink ref="P72" r:id="rId189"/>
    <hyperlink ref="P73" r:id="rId190" display="http://www.stmaryshornseyrise.org.uk/"/>
    <hyperlink ref="P74" r:id="rId191" display="https://www.stmaryislington.org/"/>
    <hyperlink ref="P75" r:id="rId192" display="http://www.smmacademy.org/"/>
    <hyperlink ref="P76" r:id="rId193"/>
    <hyperlink ref="P78" r:id="rId194" display="https://www.saint-silas.org.uk/"/>
    <hyperlink ref="P79" r:id="rId195" display="http://www.ststephenscanonbury.org.uk/"/>
    <hyperlink ref="P80" r:id="rId196" display="https://www.stthomaschurch.co.uk/"/>
    <hyperlink ref="P82" r:id="rId197" display="http://www.thecharterhouse.org/"/>
    <hyperlink ref="P83" r:id="rId198" display="http://www.churchonthecorner.org.uk/"/>
    <hyperlink ref="P86" r:id="rId199" display="https://www.trinityislington.org/"/>
    <hyperlink ref="P87" r:id="rId200" display="http://www.allhallowsbow.org.uk/"/>
    <hyperlink ref="P88" r:id="rId201" display="http://www.parishofpoplar.org/"/>
    <hyperlink ref="P90" r:id="rId202" display="https://www.canarywharfchaplaincy.co.uk/"/>
    <hyperlink ref="P91" r:id="rId203" display="http://www.parishiod.org.uk/"/>
    <hyperlink ref="P92" r:id="rId204" display="http://www.christchurchprimarybricklane.org/"/>
    <hyperlink ref="P93" r:id="rId205" display="https://www.parishiod.org.uk/"/>
    <hyperlink ref="P94" r:id="rId206" display="http://www.ccspits.org/"/>
    <hyperlink ref="P99" r:id="rId207" display="http://www.faith.qmul.ac.uk/"/>
    <hyperlink ref="P100" r:id="rId208" display="http://www.rainesfoundation.org.uk/"/>
    <hyperlink ref="P101" r:id="rId209" display="http://www.sjcr.net/"/>
    <hyperlink ref="P102" r:id="rId210" display="http://www.stanneslimehouse.org/"/>
    <hyperlink ref="P104" r:id="rId211" display="http://www.stbarnabasbethnalgreen.org/"/>
    <hyperlink ref="P105" r:id="rId212" display="http://www.stdunstanstepney.com/"/>
    <hyperlink ref="P106" r:id="rId213" display="http://www.stgeorgeintheeast.org/"/>
    <hyperlink ref="P107" r:id="rId214" display="http://stjamesthelessbg.org.uk/"/>
    <hyperlink ref="P108" r:id="rId215" display="https://www.stjohnonbethnalgreen.org/"/>
    <hyperlink ref="P109" r:id="rId216"/>
    <hyperlink ref="P110" r:id="rId217"/>
    <hyperlink ref="P111" r:id="rId218" display="http://www.st-lukes.towerhamlets.sch.uk/"/>
    <hyperlink ref="P113" r:id="rId219"/>
    <hyperlink ref="P114" r:id="rId220" display="http://stmaryscablest.blogspot.com/"/>
    <hyperlink ref="P115" r:id="rId221"/>
    <hyperlink ref="P116" r:id="rId222"/>
    <hyperlink ref="P117" r:id="rId223" display="http://stnicholaspoplar.org/"/>
    <hyperlink ref="P118" r:id="rId224" display="http://www.stpauloldford.com/"/>
    <hyperlink ref="P119" r:id="rId225" display="http://www.stpaulsbowcommon.org.uk/"/>
    <hyperlink ref="P120" r:id="rId226" display="http://sps.church/"/>
    <hyperlink ref="P121" r:id="rId227"/>
    <hyperlink ref="P122" r:id="rId228" display="http://www.st-pauls.towerhamlets.sch.uk/"/>
    <hyperlink ref="P123" r:id="rId229" display="https://www.stpetersbethnalgreen.org/"/>
    <hyperlink ref="P124" r:id="rId230" display="http://www.stpeterslondondocks.org.uk/"/>
    <hyperlink ref="P125" r:id="rId231" display="https://www.stpetersbarge.org/"/>
    <hyperlink ref="P126" r:id="rId232"/>
    <hyperlink ref="P127" r:id="rId233" display="http://www.stsavioursschool.org.uk/"/>
    <hyperlink ref="P128" r:id="rId234" display="http://www.stepneygreencoat.towerhamlets.sch.uk/"/>
    <hyperlink ref="P129" r:id="rId235" display="https://www.rfsk.org.uk/"/>
    <hyperlink ref="Q2" r:id="rId236" display="=IFERROR(VLOOKUP($C2, DataFromWikipedia!A:T, 17, FALSE), &quot;&quot;)"/>
    <hyperlink ref="Q3" r:id="rId237" display="=IFERROR(VLOOKUP($C3, DataFromWikipedia!A:T, 17, FALSE), &quot;&quot;)"/>
    <hyperlink ref="Q4" r:id="rId238" display="=IFERROR(VLOOKUP($C4, DataFromWikipedia!A:T, 17, FALSE), &quot;&quot;)"/>
    <hyperlink ref="Q5" r:id="rId239" display="=IFERROR(VLOOKUP($C5, DataFromWikipedia!A:T, 17, FALSE), &quot;&quot;)"/>
    <hyperlink ref="Q6" r:id="rId240" display="=IFERROR(VLOOKUP($C6, DataFromWikipedia!A:T, 17, FALSE), &quot;&quot;)"/>
    <hyperlink ref="Q7" r:id="rId241" display="=IFERROR(VLOOKUP($C7, DataFromWikipedia!A:T, 17, FALSE), &quot;&quot;)"/>
    <hyperlink ref="Q8" r:id="rId242" display="=IFERROR(VLOOKUP($C8, DataFromWikipedia!A:T, 17, FALSE), &quot;&quot;)"/>
    <hyperlink ref="Q9" r:id="rId243" display="=IFERROR(VLOOKUP($C9, DataFromWikipedia!A:T, 17, FALSE), &quot;&quot;)"/>
    <hyperlink ref="Q10" r:id="rId244" display="=IFERROR(VLOOKUP($C10, DataFromWikipedia!A:T, 17, FALSE), &quot;&quot;)"/>
    <hyperlink ref="Q11" r:id="rId245" display="=IFERROR(VLOOKUP($C11, DataFromWikipedia!A:T, 17, FALSE), &quot;&quot;)"/>
    <hyperlink ref="Q12" r:id="rId246" display="=IFERROR(VLOOKUP($C12, DataFromWikipedia!A:T, 17, FALSE), &quot;&quot;)"/>
    <hyperlink ref="Q13" r:id="rId247" display="=IFERROR(VLOOKUP($C13, DataFromWikipedia!A:T, 17, FALSE), &quot;&quot;)"/>
    <hyperlink ref="Q14" r:id="rId248" display="=IFERROR(VLOOKUP($C14, DataFromWikipedia!A:T, 17, FALSE), &quot;&quot;)"/>
    <hyperlink ref="Q15" r:id="rId249" display="=IFERROR(VLOOKUP($C15, DataFromWikipedia!A:T, 17, FALSE), &quot;&quot;)"/>
    <hyperlink ref="Q16" r:id="rId250" display="=IFERROR(VLOOKUP($C16, DataFromWikipedia!A:T, 17, FALSE), &quot;&quot;)"/>
    <hyperlink ref="Q17" r:id="rId251" display="=IFERROR(VLOOKUP($C17, DataFromWikipedia!A:T, 17, FALSE), &quot;&quot;)"/>
    <hyperlink ref="Q18" r:id="rId252" display="=IFERROR(VLOOKUP($C18, DataFromWikipedia!A:T, 17, FALSE), &quot;&quot;)"/>
    <hyperlink ref="Q19" r:id="rId253" display="=IFERROR(VLOOKUP($C19, DataFromWikipedia!A:T, 17, FALSE), &quot;&quot;)"/>
    <hyperlink ref="Q20" r:id="rId254" display="=IFERROR(VLOOKUP($C20, DataFromWikipedia!A:T, 17, FALSE), &quot;&quot;)"/>
    <hyperlink ref="Q21" r:id="rId255" display="=IFERROR(VLOOKUP($C21, DataFromWikipedia!A:T, 17, FALSE), &quot;&quot;)"/>
    <hyperlink ref="Q22" r:id="rId256" display="=IFERROR(VLOOKUP($C22, DataFromWikipedia!A:T, 17, FALSE), &quot;&quot;)"/>
    <hyperlink ref="Q23" r:id="rId257" display="=IFERROR(VLOOKUP($C23, DataFromWikipedia!A:T, 17, FALSE), &quot;&quot;)"/>
    <hyperlink ref="Q24" r:id="rId258" display="=IFERROR(VLOOKUP($C24, DataFromWikipedia!A:T, 17, FALSE), &quot;&quot;)"/>
    <hyperlink ref="Q25" r:id="rId259" display="=IFERROR(VLOOKUP($C25, DataFromWikipedia!A:T, 17, FALSE), &quot;&quot;)"/>
    <hyperlink ref="Q26" r:id="rId260" display="=IFERROR(VLOOKUP($C26, DataFromWikipedia!A:T, 17, FALSE), &quot;&quot;)"/>
    <hyperlink ref="Q27" r:id="rId261" display="=IFERROR(VLOOKUP($C27, DataFromWikipedia!A:T, 17, FALSE), &quot;&quot;)"/>
    <hyperlink ref="Q28" r:id="rId262" display="=IFERROR(VLOOKUP($C28, DataFromWikipedia!A:T, 17, FALSE), &quot;&quot;)"/>
    <hyperlink ref="Q29" r:id="rId263" display="=IFERROR(VLOOKUP($C29, DataFromWikipedia!A:T, 17, FALSE), &quot;&quot;)"/>
    <hyperlink ref="Q30" r:id="rId264" display="=IFERROR(VLOOKUP($C30, DataFromWikipedia!A:T, 17, FALSE), &quot;&quot;)"/>
    <hyperlink ref="Q31" r:id="rId265" display="=IFERROR(VLOOKUP($C31, DataFromWikipedia!A:T, 17, FALSE), &quot;&quot;)"/>
    <hyperlink ref="Q32" r:id="rId266" display="=IFERROR(VLOOKUP($C32, DataFromWikipedia!A:T, 17, FALSE), &quot;&quot;)"/>
    <hyperlink ref="Q33" r:id="rId267" display="=IFERROR(VLOOKUP($C33, DataFromWikipedia!A:T, 17, FALSE), &quot;&quot;)"/>
    <hyperlink ref="Q34" r:id="rId268" display="=IFERROR(VLOOKUP($C34, DataFromWikipedia!A:T, 17, FALSE), &quot;&quot;)"/>
    <hyperlink ref="Q35" r:id="rId269" display="=IFERROR(VLOOKUP($C35, DataFromWikipedia!A:T, 17, FALSE), &quot;&quot;)"/>
    <hyperlink ref="Q36" r:id="rId270" display="=IFERROR(VLOOKUP($C36, DataFromWikipedia!A:T, 17, FALSE), &quot;&quot;)"/>
    <hyperlink ref="Q37" r:id="rId271" display="=IFERROR(VLOOKUP($C37, DataFromWikipedia!A:T, 17, FALSE), &quot;&quot;)"/>
    <hyperlink ref="Q38" r:id="rId272" display="=IFERROR(VLOOKUP($C38, DataFromWikipedia!A:T, 17, FALSE), &quot;&quot;)"/>
    <hyperlink ref="Q39" r:id="rId273" display="=IFERROR(VLOOKUP($C39, DataFromWikipedia!A:T, 17, FALSE), &quot;&quot;)"/>
    <hyperlink ref="Q40" r:id="rId274" display="=IFERROR(VLOOKUP($C40, DataFromWikipedia!A:T, 17, FALSE), &quot;&quot;)"/>
    <hyperlink ref="Q41" r:id="rId275" display="=IFERROR(VLOOKUP($C41, DataFromWikipedia!A:T, 17, FALSE), &quot;&quot;)"/>
    <hyperlink ref="Q42" r:id="rId276" display="=IFERROR(VLOOKUP($C42, DataFromWikipedia!A:T, 17, FALSE), &quot;&quot;)"/>
    <hyperlink ref="Q44" r:id="rId277" display="=IFERROR(VLOOKUP($C44, DataFromWikipedia!A:T, 17, FALSE), &quot;&quot;)"/>
    <hyperlink ref="Q45" r:id="rId278" display="=IFERROR(VLOOKUP($C45, DataFromWikipedia!A:T, 17, FALSE), &quot;&quot;)"/>
    <hyperlink ref="Q46" r:id="rId279" display="=IFERROR(VLOOKUP($C46, DataFromWikipedia!A:T, 17, FALSE), &quot;&quot;)"/>
    <hyperlink ref="Q47" r:id="rId280" display="=IFERROR(VLOOKUP($C47, DataFromWikipedia!A:T, 17, FALSE), &quot;&quot;)"/>
    <hyperlink ref="Q48" r:id="rId281" display="=IFERROR(VLOOKUP($C48, DataFromWikipedia!A:T, 17, FALSE), &quot;&quot;)"/>
    <hyperlink ref="Q49" r:id="rId282" display="=IFERROR(VLOOKUP($C49, DataFromWikipedia!A:T, 17, FALSE), &quot;&quot;)"/>
    <hyperlink ref="Q50" r:id="rId283" display="=IFERROR(VLOOKUP($C50, DataFromWikipedia!A:T, 17, FALSE), &quot;&quot;)"/>
    <hyperlink ref="Q51" r:id="rId284" display="=IFERROR(VLOOKUP($C51, DataFromWikipedia!A:T, 17, FALSE), &quot;&quot;)"/>
    <hyperlink ref="Q52" r:id="rId285" display="=IFERROR(VLOOKUP($C52, DataFromWikipedia!A:T, 17, FALSE), &quot;&quot;)"/>
    <hyperlink ref="Q53" r:id="rId286" display="=IFERROR(VLOOKUP($C53, DataFromWikipedia!A:T, 17, FALSE), &quot;&quot;)"/>
    <hyperlink ref="Q54" r:id="rId287" display="=IFERROR(VLOOKUP($C54, DataFromWikipedia!A:T, 17, FALSE), &quot;&quot;)"/>
    <hyperlink ref="Q55" r:id="rId288" display="=IFERROR(VLOOKUP($C55, DataFromWikipedia!A:T, 17, FALSE), &quot;&quot;)"/>
    <hyperlink ref="Q56" r:id="rId289" display="=IFERROR(VLOOKUP($C56, DataFromWikipedia!A:T, 17, FALSE), &quot;&quot;)"/>
    <hyperlink ref="Q57" r:id="rId290" display="=IFERROR(VLOOKUP($C57, DataFromWikipedia!A:T, 17, FALSE), &quot;&quot;)"/>
    <hyperlink ref="Q58" r:id="rId291" display="=IFERROR(VLOOKUP($C58, DataFromWikipedia!A:T, 17, FALSE), &quot;&quot;)"/>
    <hyperlink ref="Q59" r:id="rId292" display="=IFERROR(VLOOKUP($C59, DataFromWikipedia!A:T, 17, FALSE), &quot;&quot;)"/>
    <hyperlink ref="Q60" r:id="rId293" display="=IFERROR(VLOOKUP($C60, DataFromWikipedia!A:T, 17, FALSE), &quot;&quot;)"/>
    <hyperlink ref="Q61" r:id="rId294" display="=IFERROR(VLOOKUP($C61, DataFromWikipedia!A:T, 17, FALSE), &quot;&quot;)"/>
    <hyperlink ref="Q62" r:id="rId295" display="=IFERROR(VLOOKUP($C62, DataFromWikipedia!A:T, 17, FALSE), &quot;&quot;)"/>
    <hyperlink ref="Q63" r:id="rId296" display="=IFERROR(VLOOKUP($C63, DataFromWikipedia!A:T, 17, FALSE), &quot;&quot;)"/>
    <hyperlink ref="Q64" r:id="rId297" display="=IFERROR(VLOOKUP($C64, DataFromWikipedia!A:T, 17, FALSE), &quot;&quot;)"/>
    <hyperlink ref="Q65" r:id="rId298" display="=IFERROR(VLOOKUP($C65, DataFromWikipedia!A:T, 17, FALSE), &quot;&quot;)"/>
    <hyperlink ref="Q66" r:id="rId299" display="=IFERROR(VLOOKUP($C66, DataFromWikipedia!A:T, 17, FALSE), &quot;&quot;)"/>
    <hyperlink ref="Q67" r:id="rId300" display="=IFERROR(VLOOKUP($C67, DataFromWikipedia!A:T, 17, FALSE), &quot;&quot;)"/>
    <hyperlink ref="Q68" r:id="rId301" display="=IFERROR(VLOOKUP($C68, DataFromWikipedia!A:T, 17, FALSE), &quot;&quot;)"/>
    <hyperlink ref="Q69" r:id="rId302" display="=IFERROR(VLOOKUP($C69, DataFromWikipedia!A:T, 17, FALSE), &quot;&quot;)"/>
    <hyperlink ref="Q70" r:id="rId303" display="=IFERROR(VLOOKUP($C70, DataFromWikipedia!A:T, 17, FALSE), &quot;&quot;)"/>
    <hyperlink ref="Q71" r:id="rId304" display="=IFERROR(VLOOKUP($C71, DataFromWikipedia!A:T, 17, FALSE), &quot;&quot;)"/>
    <hyperlink ref="Q72" r:id="rId305" display="=IFERROR(VLOOKUP($C72, DataFromWikipedia!A:T, 17, FALSE), &quot;&quot;)"/>
    <hyperlink ref="Q73" r:id="rId306" display="=IFERROR(VLOOKUP($C73, DataFromWikipedia!A:T, 17, FALSE), &quot;&quot;)"/>
    <hyperlink ref="Q74" r:id="rId307" display="=IFERROR(VLOOKUP($C74, DataFromWikipedia!A:T, 17, FALSE), &quot;&quot;)"/>
    <hyperlink ref="Q75" r:id="rId308" display="=IFERROR(VLOOKUP($C75, DataFromWikipedia!A:T, 17, FALSE), &quot;&quot;)"/>
    <hyperlink ref="Q76" r:id="rId309" display="=IFERROR(VLOOKUP($C76, DataFromWikipedia!A:T, 17, FALSE), &quot;&quot;)"/>
    <hyperlink ref="Q77" r:id="rId310" display="=IFERROR(VLOOKUP($C77, DataFromWikipedia!A:T, 17, FALSE), &quot;&quot;)"/>
    <hyperlink ref="Q78" r:id="rId311" display="=IFERROR(VLOOKUP($C78, DataFromWikipedia!A:T, 17, FALSE), &quot;&quot;)"/>
    <hyperlink ref="Q79" r:id="rId312" display="=IFERROR(VLOOKUP($C79, DataFromWikipedia!A:T, 17, FALSE), &quot;&quot;)"/>
    <hyperlink ref="Q80" r:id="rId313" display="=IFERROR(VLOOKUP($C80, DataFromWikipedia!A:T, 17, FALSE), &quot;&quot;)"/>
    <hyperlink ref="Q81" r:id="rId314" display="=IFERROR(VLOOKUP($C81, DataFromWikipedia!A:T, 17, FALSE), &quot;&quot;)"/>
    <hyperlink ref="Q82" r:id="rId315" display="=IFERROR(VLOOKUP($C82, DataFromWikipedia!A:T, 17, FALSE), &quot;&quot;)"/>
    <hyperlink ref="Q84" r:id="rId316" display="=IFERROR(VLOOKUP($C84, DataFromWikipedia!A:T, 17, FALSE), &quot;&quot;)"/>
    <hyperlink ref="Q85" r:id="rId317" display="=IFERROR(VLOOKUP($C85, DataFromWikipedia!A:T, 17, FALSE), &quot;&quot;)"/>
    <hyperlink ref="Q86" r:id="rId318" display="=IFERROR(VLOOKUP($C86, DataFromWikipedia!A:T, 17, FALSE), &quot;&quot;)"/>
    <hyperlink ref="Q87" r:id="rId319" display="=IFERROR(VLOOKUP($C87, DataFromWikipedia!A:T, 17, FALSE), &quot;&quot;)"/>
    <hyperlink ref="Q88" r:id="rId320" display="=IFERROR(VLOOKUP($C88, DataFromWikipedia!A:T, 17, FALSE), &quot;&quot;)"/>
    <hyperlink ref="Q89" r:id="rId321" display="=IFERROR(VLOOKUP($C89, DataFromWikipedia!A:T, 17, FALSE), &quot;&quot;)"/>
    <hyperlink ref="Q90" r:id="rId322" display="=IFERROR(VLOOKUP($C90, DataFromWikipedia!A:T, 17, FALSE), &quot;&quot;)"/>
    <hyperlink ref="Q91" r:id="rId323" display="=IFERROR(VLOOKUP($C91, DataFromWikipedia!A:T, 17, FALSE), &quot;&quot;)"/>
    <hyperlink ref="Q92" r:id="rId324" display="=IFERROR(VLOOKUP($C92, DataFromWikipedia!A:T, 17, FALSE), &quot;&quot;)"/>
    <hyperlink ref="Q93" r:id="rId325" display="=IFERROR(VLOOKUP($C93, DataFromWikipedia!A:T, 17, FALSE), &quot;&quot;)"/>
    <hyperlink ref="Q94" r:id="rId326" display="=IFERROR(VLOOKUP($C94, DataFromWikipedia!A:T, 17, FALSE), &quot;&quot;)"/>
    <hyperlink ref="Q95" r:id="rId327" display="=IFERROR(VLOOKUP($C95, DataFromWikipedia!A:T, 17, FALSE), &quot;&quot;)"/>
    <hyperlink ref="Q96" r:id="rId328" display="=IFERROR(VLOOKUP($C96, DataFromWikipedia!A:T, 17, FALSE), &quot;&quot;)"/>
    <hyperlink ref="Q97" r:id="rId329" display="=IFERROR(VLOOKUP($C97, DataFromWikipedia!A:T, 17, FALSE), &quot;&quot;)"/>
    <hyperlink ref="Q98" r:id="rId330" display="=IFERROR(VLOOKUP($C98, DataFromWikipedia!A:T, 17, FALSE), &quot;&quot;)"/>
    <hyperlink ref="Q99" r:id="rId331" display="=IFERROR(VLOOKUP($C99, DataFromWikipedia!A:T, 17, FALSE), &quot;&quot;)"/>
    <hyperlink ref="Q100" r:id="rId332" display="=IFERROR(VLOOKUP($C100, DataFromWikipedia!A:T, 17, FALSE), &quot;&quot;)"/>
    <hyperlink ref="Q101" r:id="rId333" display="=IFERROR(VLOOKUP($C101, DataFromWikipedia!A:T, 17, FALSE), &quot;&quot;)"/>
    <hyperlink ref="Q102" r:id="rId334" display="=IFERROR(VLOOKUP($C102, DataFromWikipedia!A:T, 17, FALSE), &quot;&quot;)"/>
    <hyperlink ref="Q103" r:id="rId335" display="=IFERROR(VLOOKUP($C103, DataFromWikipedia!A:T, 17, FALSE), &quot;&quot;)"/>
    <hyperlink ref="Q104" r:id="rId336" display="=IFERROR(VLOOKUP($C104, DataFromWikipedia!A:T, 17, FALSE), &quot;&quot;)"/>
    <hyperlink ref="Q105" r:id="rId337" display="=IFERROR(VLOOKUP($C105, DataFromWikipedia!A:T, 17, FALSE), &quot;&quot;)"/>
    <hyperlink ref="Q106" r:id="rId338" display="=IFERROR(VLOOKUP($C106, DataFromWikipedia!A:T, 17, FALSE), &quot;&quot;)"/>
    <hyperlink ref="Q107" r:id="rId339" display="=IFERROR(VLOOKUP($C107, DataFromWikipedia!A:T, 17, FALSE), &quot;&quot;)"/>
    <hyperlink ref="Q108" r:id="rId340" display="=IFERROR(VLOOKUP($C108, DataFromWikipedia!A:T, 17, FALSE), &quot;&quot;)"/>
    <hyperlink ref="Q109" r:id="rId341" display="=IFERROR(VLOOKUP($C109, DataFromWikipedia!A:T, 17, FALSE), &quot;&quot;)"/>
    <hyperlink ref="Q110" r:id="rId342" display="=IFERROR(VLOOKUP($C110, DataFromWikipedia!A:T, 17, FALSE), &quot;&quot;)"/>
    <hyperlink ref="Q111" r:id="rId343" display="=IFERROR(VLOOKUP($C111, DataFromWikipedia!A:T, 17, FALSE), &quot;&quot;)"/>
    <hyperlink ref="Q112" r:id="rId344" display="=IFERROR(VLOOKUP($C112, DataFromWikipedia!A:T, 17, FALSE), &quot;&quot;)"/>
    <hyperlink ref="Q113" r:id="rId345" display="=IFERROR(VLOOKUP($C113, DataFromWikipedia!A:T, 17, FALSE), &quot;&quot;)"/>
    <hyperlink ref="Q114" r:id="rId346" display="=IFERROR(VLOOKUP($C114, DataFromWikipedia!A:T, 17, FALSE), &quot;&quot;)"/>
    <hyperlink ref="Q115" r:id="rId347" display="=IFERROR(VLOOKUP($C115, DataFromWikipedia!A:T, 17, FALSE), &quot;&quot;)"/>
    <hyperlink ref="Q116" r:id="rId348" display="=IFERROR(VLOOKUP($C116, DataFromWikipedia!A:T, 17, FALSE), &quot;&quot;)"/>
    <hyperlink ref="Q117" r:id="rId349" display="=IFERROR(VLOOKUP($C117, DataFromWikipedia!A:T, 17, FALSE), &quot;&quot;)"/>
    <hyperlink ref="Q118" r:id="rId350" display="=IFERROR(VLOOKUP($C118, DataFromWikipedia!A:T, 17, FALSE), &quot;&quot;)"/>
    <hyperlink ref="Q119" r:id="rId351" display="=IFERROR(VLOOKUP($C119, DataFromWikipedia!A:T, 17, FALSE), &quot;&quot;)"/>
    <hyperlink ref="Q120" r:id="rId352" display="=IFERROR(VLOOKUP($C120, DataFromWikipedia!A:T, 17, FALSE), &quot;&quot;)"/>
    <hyperlink ref="Q121" r:id="rId353" display="=IFERROR(VLOOKUP($C121, DataFromWikipedia!A:T, 17, FALSE), &quot;&quot;)"/>
    <hyperlink ref="Q122" r:id="rId354" display="=IFERROR(VLOOKUP($C122, DataFromWikipedia!A:T, 17, FALSE), &quot;&quot;)"/>
    <hyperlink ref="Q123" r:id="rId355" display="=IFERROR(VLOOKUP($C123, DataFromWikipedia!A:T, 17, FALSE), &quot;&quot;)"/>
    <hyperlink ref="Q124" r:id="rId356" display="=IFERROR(VLOOKUP($C124, DataFromWikipedia!A:T, 17, FALSE), &quot;&quot;)"/>
    <hyperlink ref="Q125" r:id="rId357" display="=IFERROR(VLOOKUP($C125, DataFromWikipedia!A:T, 17, FALSE), &quot;&quot;)"/>
    <hyperlink ref="Q126" r:id="rId358" display="=IFERROR(VLOOKUP($C126, DataFromWikipedia!A:T, 17, FALSE), &quot;&quot;)"/>
    <hyperlink ref="Q127" r:id="rId359" display="=IFERROR(VLOOKUP($C127, DataFromWikipedia!A:T, 17, FALSE), &quot;&quot;)"/>
    <hyperlink ref="Q128" r:id="rId360" display="=IFERROR(VLOOKUP($C128, DataFromWikipedia!A:T, 17, FALSE), &quot;&quot;)"/>
    <hyperlink ref="Q129" r:id="rId361" display="=IFERROR(VLOOKUP($C129, DataFromWikipedia!A:T, 17, FALSE), &quot;&quot;)"/>
    <hyperlink ref="Q130" r:id="rId362" display="=IFERROR(VLOOKUP($C130, DataFromWikipedia!A:T, 17, FALSE), &quot;&quot;)"/>
    <hyperlink ref="Q131" r:id="rId363" display="=IFERROR(VLOOKUP($C131, DataFromWikipedia!A:T, 17, FALSE), &quot;&quot;)"/>
    <hyperlink ref="Q132" r:id="rId364" display="=IFERROR(VLOOKUP($C132, DataFromWikipedia!A:T, 17, FALSE), &quot;&quot;)"/>
    <hyperlink ref="Q133" r:id="rId365" display="=IFERROR(VLOOKUP($C133, DataFromWikipedia!A:T, 17, FALSE), &quot;&quot;)"/>
    <hyperlink ref="T5" r:id="rId366"/>
    <hyperlink ref="T7" r:id="rId367"/>
    <hyperlink ref="T8" r:id="rId368"/>
    <hyperlink ref="T9" r:id="rId369"/>
    <hyperlink ref="T13" r:id="rId370"/>
    <hyperlink ref="T14" r:id="rId371"/>
    <hyperlink ref="T17" r:id="rId372"/>
    <hyperlink ref="T18" r:id="rId373"/>
    <hyperlink ref="T19" r:id="rId374"/>
    <hyperlink ref="T22" r:id="rId375"/>
    <hyperlink ref="T24" r:id="rId376"/>
    <hyperlink ref="T27" r:id="rId377"/>
    <hyperlink ref="T28" r:id="rId378"/>
    <hyperlink ref="T29" r:id="rId379"/>
    <hyperlink ref="T30" r:id="rId380"/>
    <hyperlink ref="T32" r:id="rId381"/>
    <hyperlink ref="T35" r:id="rId382"/>
    <hyperlink ref="T36" r:id="rId383"/>
    <hyperlink ref="T37" r:id="rId384"/>
    <hyperlink ref="T38" r:id="rId385"/>
    <hyperlink ref="T40" r:id="rId386"/>
    <hyperlink ref="T41" r:id="rId387"/>
    <hyperlink ref="T44" r:id="rId388"/>
    <hyperlink ref="T48" r:id="rId389"/>
    <hyperlink ref="T54" r:id="rId390"/>
    <hyperlink ref="T58" r:id="rId391"/>
    <hyperlink ref="T59" r:id="rId392"/>
    <hyperlink ref="T60" r:id="rId393"/>
    <hyperlink ref="T61" r:id="rId394"/>
    <hyperlink ref="T62" r:id="rId395"/>
    <hyperlink ref="T63" r:id="rId396"/>
    <hyperlink ref="T71" r:id="rId397"/>
    <hyperlink ref="T73" r:id="rId398"/>
    <hyperlink ref="T74" r:id="rId399"/>
    <hyperlink ref="T77" r:id="rId400"/>
    <hyperlink ref="T78" r:id="rId401"/>
    <hyperlink ref="T79" r:id="rId402"/>
    <hyperlink ref="T80" r:id="rId403"/>
    <hyperlink ref="T86" r:id="rId404"/>
    <hyperlink ref="T87" r:id="rId405"/>
    <hyperlink ref="T93" r:id="rId406"/>
    <hyperlink ref="T94" r:id="rId407"/>
    <hyperlink ref="T103" r:id="rId408"/>
    <hyperlink ref="T104" r:id="rId409"/>
    <hyperlink ref="T105" r:id="rId410"/>
    <hyperlink ref="T107" r:id="rId411"/>
    <hyperlink ref="T108" r:id="rId412"/>
    <hyperlink ref="T110" r:id="rId413"/>
    <hyperlink ref="T113" r:id="rId414"/>
    <hyperlink ref="T114" r:id="rId415"/>
    <hyperlink ref="T115" r:id="rId416"/>
    <hyperlink ref="T118" r:id="rId417"/>
    <hyperlink ref="T119" r:id="rId418"/>
    <hyperlink ref="T120" r:id="rId419"/>
    <hyperlink ref="T123" r:id="rId420"/>
    <hyperlink ref="T124" r:id="rId421"/>
    <hyperlink ref="T125" r:id="rId422"/>
    <hyperlink ref="T131" r:id="rId423" display="=IFERROR(VLOOKUP(C131, DataFromWikipedia!A:T, 18, FALSE), &quot;&quot;)"/>
    <hyperlink ref="T132" r:id="rId424" display="=IFERROR(VLOOKUP(C132, DataFromWikipedia!A:T, 18, FALSE), &quot;&quot;)"/>
    <hyperlink ref="T133" r:id="rId425" display="=IFERROR(VLOOKUP(C133, DataFromWikipedia!A:T, 18, FALSE), &quot;&quot;)"/>
    <hyperlink ref="U13" r:id="rId426"/>
    <hyperlink ref="U24" r:id="rId427"/>
    <hyperlink ref="U27" r:id="rId428"/>
    <hyperlink ref="U34" r:id="rId429"/>
    <hyperlink ref="U44" r:id="rId430"/>
    <hyperlink ref="U54" r:id="rId431"/>
    <hyperlink ref="U59" r:id="rId432"/>
    <hyperlink ref="U61" r:id="rId433"/>
    <hyperlink ref="U62" r:id="rId434"/>
    <hyperlink ref="U74" r:id="rId435"/>
    <hyperlink ref="U87" r:id="rId436"/>
    <hyperlink ref="U94" r:id="rId437"/>
    <hyperlink ref="U103" r:id="rId438"/>
    <hyperlink ref="U104" r:id="rId439"/>
    <hyperlink ref="U106" r:id="rId440"/>
    <hyperlink ref="U107" r:id="rId441"/>
    <hyperlink ref="U108" r:id="rId442"/>
    <hyperlink ref="U113" r:id="rId443"/>
    <hyperlink ref="U115" r:id="rId444"/>
    <hyperlink ref="U118" r:id="rId445"/>
    <hyperlink ref="U119" r:id="rId446"/>
    <hyperlink ref="U120" r:id="rId447"/>
    <hyperlink ref="U123" r:id="rId448"/>
    <hyperlink ref="U124" r:id="rId449"/>
    <hyperlink ref="O4" r:id="rId450"/>
    <hyperlink ref="O5" r:id="rId451"/>
    <hyperlink ref="O6" r:id="rId452"/>
    <hyperlink ref="O8" r:id="rId453"/>
    <hyperlink ref="O9" r:id="rId454"/>
    <hyperlink ref="O11" r:id="rId455"/>
    <hyperlink ref="O12" r:id="rId456"/>
    <hyperlink ref="O13" r:id="rId457"/>
    <hyperlink ref="O14" r:id="rId458"/>
    <hyperlink ref="O16" r:id="rId459"/>
    <hyperlink ref="O17" r:id="rId460"/>
    <hyperlink ref="O18" r:id="rId461"/>
    <hyperlink ref="O19" r:id="rId462"/>
    <hyperlink ref="O20" r:id="rId463"/>
    <hyperlink ref="O21" r:id="rId464"/>
    <hyperlink ref="O22" r:id="rId465"/>
    <hyperlink ref="O23" r:id="rId466"/>
    <hyperlink ref="O24" r:id="rId467"/>
    <hyperlink ref="O25" r:id="rId468"/>
    <hyperlink ref="O26" r:id="rId469"/>
    <hyperlink ref="O27" r:id="rId470"/>
    <hyperlink ref="O28" r:id="rId471"/>
    <hyperlink ref="O29" r:id="rId472"/>
    <hyperlink ref="O30" r:id="rId473"/>
    <hyperlink ref="O31" r:id="rId474"/>
    <hyperlink ref="O32" r:id="rId475"/>
    <hyperlink ref="O33" r:id="rId476"/>
    <hyperlink ref="O34" r:id="rId477"/>
    <hyperlink ref="O35" r:id="rId478"/>
    <hyperlink ref="O36" r:id="rId479"/>
    <hyperlink ref="O37" r:id="rId480"/>
    <hyperlink ref="O38" r:id="rId481"/>
    <hyperlink ref="O39" r:id="rId482"/>
    <hyperlink ref="O40" r:id="rId483"/>
    <hyperlink ref="O41" r:id="rId484"/>
    <hyperlink ref="O42" r:id="rId485"/>
    <hyperlink ref="O43" r:id="rId486"/>
    <hyperlink ref="O44" r:id="rId487"/>
    <hyperlink ref="O45" r:id="rId488"/>
    <hyperlink ref="O47" r:id="rId489"/>
    <hyperlink ref="O49" r:id="rId490"/>
    <hyperlink ref="O50" r:id="rId491"/>
    <hyperlink ref="O54" r:id="rId492"/>
    <hyperlink ref="O55" r:id="rId493"/>
    <hyperlink ref="O56" r:id="rId494"/>
    <hyperlink ref="O57" r:id="rId495"/>
    <hyperlink ref="O58" r:id="rId496"/>
    <hyperlink ref="O59" r:id="rId497"/>
    <hyperlink ref="O60" r:id="rId498"/>
    <hyperlink ref="O61" r:id="rId499"/>
    <hyperlink ref="O62" r:id="rId500"/>
    <hyperlink ref="O63" r:id="rId501"/>
    <hyperlink ref="O64" r:id="rId502"/>
    <hyperlink ref="O65" r:id="rId503"/>
    <hyperlink ref="O66" r:id="rId504"/>
    <hyperlink ref="O67" r:id="rId505"/>
    <hyperlink ref="O68" r:id="rId506"/>
    <hyperlink ref="O69" r:id="rId507"/>
    <hyperlink ref="O70" r:id="rId508"/>
    <hyperlink ref="O71" r:id="rId509"/>
    <hyperlink ref="O72" r:id="rId510"/>
    <hyperlink ref="O73" r:id="rId511"/>
    <hyperlink ref="O74" r:id="rId512"/>
    <hyperlink ref="O75" r:id="rId513"/>
    <hyperlink ref="O76" r:id="rId514"/>
    <hyperlink ref="O77" r:id="rId515"/>
    <hyperlink ref="O78" r:id="rId516"/>
    <hyperlink ref="O79" r:id="rId517"/>
    <hyperlink ref="O80" r:id="rId518"/>
    <hyperlink ref="O82" r:id="rId519"/>
    <hyperlink ref="O83" r:id="rId520"/>
    <hyperlink ref="O84" r:id="rId521"/>
    <hyperlink ref="O85" r:id="rId522"/>
    <hyperlink ref="O86" r:id="rId523"/>
    <hyperlink ref="O87" r:id="rId524"/>
    <hyperlink ref="O88" r:id="rId525"/>
    <hyperlink ref="O89" r:id="rId526"/>
    <hyperlink ref="O90" r:id="rId527"/>
    <hyperlink ref="O91" r:id="rId528"/>
    <hyperlink ref="O92" r:id="rId529"/>
    <hyperlink ref="O93" r:id="rId530"/>
    <hyperlink ref="O94" r:id="rId531"/>
    <hyperlink ref="O95" r:id="rId532"/>
    <hyperlink ref="O97" r:id="rId533"/>
    <hyperlink ref="O99" r:id="rId534"/>
    <hyperlink ref="O100" r:id="rId535"/>
    <hyperlink ref="O101" r:id="rId536"/>
    <hyperlink ref="O102" r:id="rId537"/>
    <hyperlink ref="O104" r:id="rId538"/>
    <hyperlink ref="O105" r:id="rId539"/>
    <hyperlink ref="O106" r:id="rId540"/>
    <hyperlink ref="O107" r:id="rId541"/>
    <hyperlink ref="O108" r:id="rId542"/>
    <hyperlink ref="O109" r:id="rId543"/>
    <hyperlink ref="O110" r:id="rId544"/>
    <hyperlink ref="O111" r:id="rId545"/>
    <hyperlink ref="O112" r:id="rId546"/>
    <hyperlink ref="O113" r:id="rId547"/>
    <hyperlink ref="O114" r:id="rId548"/>
    <hyperlink ref="O115" r:id="rId549"/>
    <hyperlink ref="O116" r:id="rId550"/>
    <hyperlink ref="O117" r:id="rId551"/>
    <hyperlink ref="O118" r:id="rId552"/>
    <hyperlink ref="O119" r:id="rId553"/>
    <hyperlink ref="O120" r:id="rId554"/>
    <hyperlink ref="O121" r:id="rId555"/>
    <hyperlink ref="O122" r:id="rId556"/>
    <hyperlink ref="O123" r:id="rId557"/>
    <hyperlink ref="O124" r:id="rId558"/>
    <hyperlink ref="O125" r:id="rId559"/>
    <hyperlink ref="O126" r:id="rId560"/>
    <hyperlink ref="O127" r:id="rId561"/>
    <hyperlink ref="O128" r:id="rId562"/>
    <hyperlink ref="O130" r:id="rId563"/>
    <hyperlink ref="O131" r:id="rId564"/>
    <hyperlink ref="V5" r:id="rId565"/>
    <hyperlink ref="V7" r:id="rId566"/>
    <hyperlink ref="V8" r:id="rId567"/>
    <hyperlink ref="V9" r:id="rId568"/>
    <hyperlink ref="V13" r:id="rId569"/>
    <hyperlink ref="V14" r:id="rId570"/>
    <hyperlink ref="V15" r:id="rId571"/>
    <hyperlink ref="V17" r:id="rId572"/>
    <hyperlink ref="V18" r:id="rId573"/>
    <hyperlink ref="V19" r:id="rId574"/>
    <hyperlink ref="V22" r:id="rId575"/>
    <hyperlink ref="V24" r:id="rId576"/>
    <hyperlink ref="V25" r:id="rId577"/>
    <hyperlink ref="V27" r:id="rId578"/>
    <hyperlink ref="V28" r:id="rId579"/>
    <hyperlink ref="V29" r:id="rId580"/>
    <hyperlink ref="V30" r:id="rId581"/>
    <hyperlink ref="V32" r:id="rId582"/>
    <hyperlink ref="V34" r:id="rId583"/>
    <hyperlink ref="V35" r:id="rId584"/>
    <hyperlink ref="V36" r:id="rId585"/>
    <hyperlink ref="V37" r:id="rId586"/>
    <hyperlink ref="V38" r:id="rId587"/>
    <hyperlink ref="V40" r:id="rId588"/>
    <hyperlink ref="V41" r:id="rId589"/>
    <hyperlink ref="V44" r:id="rId590"/>
    <hyperlink ref="V48" r:id="rId591"/>
    <hyperlink ref="V54" r:id="rId592"/>
    <hyperlink ref="V56" r:id="rId593"/>
    <hyperlink ref="V58" r:id="rId594"/>
    <hyperlink ref="V59" r:id="rId595"/>
    <hyperlink ref="V60" r:id="rId596"/>
    <hyperlink ref="V61" r:id="rId597"/>
    <hyperlink ref="V62" r:id="rId598"/>
    <hyperlink ref="V63" r:id="rId599"/>
    <hyperlink ref="V67" r:id="rId600"/>
    <hyperlink ref="V68" r:id="rId601"/>
    <hyperlink ref="V71" r:id="rId602"/>
    <hyperlink ref="V73" r:id="rId603"/>
    <hyperlink ref="V74" r:id="rId604"/>
    <hyperlink ref="V77" r:id="rId605"/>
    <hyperlink ref="V78" r:id="rId606"/>
    <hyperlink ref="V79" r:id="rId607"/>
    <hyperlink ref="V80" r:id="rId608"/>
    <hyperlink ref="V86" r:id="rId609"/>
    <hyperlink ref="V87" r:id="rId610"/>
    <hyperlink ref="V93" r:id="rId611"/>
    <hyperlink ref="V94" r:id="rId612"/>
    <hyperlink ref="V103" r:id="rId613"/>
    <hyperlink ref="V104" r:id="rId614"/>
    <hyperlink ref="V105" r:id="rId615"/>
    <hyperlink ref="V106" r:id="rId616"/>
    <hyperlink ref="V107" r:id="rId617"/>
    <hyperlink ref="V108" r:id="rId618"/>
    <hyperlink ref="V110" r:id="rId619"/>
    <hyperlink ref="V113" r:id="rId620"/>
    <hyperlink ref="V114" r:id="rId621"/>
    <hyperlink ref="V115" r:id="rId622"/>
    <hyperlink ref="V118" r:id="rId623"/>
    <hyperlink ref="V119" r:id="rId624"/>
    <hyperlink ref="V120" r:id="rId625"/>
    <hyperlink ref="V123" r:id="rId626"/>
    <hyperlink ref="V124" r:id="rId627"/>
    <hyperlink ref="V125" r:id="rId628"/>
    <hyperlink ref="Q43" r:id="rId629"/>
    <hyperlink ref="Q83" r:id="rId630"/>
  </hyperlinks>
  <pageMargins left="0.7" right="0.7" top="0.75" bottom="0.75" header="0.3" footer="0.3"/>
  <pageSetup paperSize="9" orientation="portrait" r:id="rId63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READ_ME</vt:lpstr>
      <vt:lpstr>Data</vt:lpstr>
      <vt:lpstr>Configuration</vt:lpstr>
      <vt:lpstr>FullList</vt:lpstr>
      <vt:lpstr>DateLastUpdated</vt:lpstr>
      <vt:lpstr>LinkDetails</vt:lpstr>
      <vt:lpstr>PopupDetails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Jamie</cp:lastModifiedBy>
  <dcterms:created xsi:type="dcterms:W3CDTF">2020-04-15T09:19:01Z</dcterms:created>
  <dcterms:modified xsi:type="dcterms:W3CDTF">2020-04-17T11:32:41Z</dcterms:modified>
</cp:coreProperties>
</file>