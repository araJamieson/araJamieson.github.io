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activeTab="4"/>
  </bookViews>
  <sheets>
    <sheet name="READ_ME" sheetId="2" r:id="rId1"/>
    <sheet name="Data" sheetId="8" r:id="rId2"/>
    <sheet name="Configuration" sheetId="5" r:id="rId3"/>
    <sheet name="FullList" sheetId="9" r:id="rId4"/>
    <sheet name="FromAndy" sheetId="10" r:id="rId5"/>
  </sheets>
  <functionGroups builtInGroupCount="18"/>
  <definedNames>
    <definedName name="_xlnm._FilterDatabase" localSheetId="1" hidden="1">Data!$A$1:$AS$1</definedName>
    <definedName name="_xlnm._FilterDatabase" localSheetId="4" hidden="1">FromAndy!$A$1:$L$72</definedName>
    <definedName name="_xlnm._FilterDatabase" localSheetId="3" hidden="1">FullList!$A$1:$X$133</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K5" i="10" l="1"/>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AH3" i="8" l="1"/>
  <c r="AH4" i="8"/>
  <c r="AH5" i="8"/>
  <c r="AH6" i="8"/>
  <c r="AH7" i="8"/>
  <c r="AH8" i="8"/>
  <c r="AH9" i="8"/>
  <c r="AH10" i="8"/>
  <c r="AH11" i="8"/>
  <c r="AH12" i="8"/>
  <c r="AH13" i="8"/>
  <c r="AH14" i="8"/>
  <c r="AH15" i="8"/>
  <c r="AH16" i="8"/>
  <c r="AH17" i="8"/>
  <c r="AH18" i="8"/>
  <c r="AH19" i="8"/>
  <c r="AH20" i="8"/>
  <c r="AH21" i="8"/>
  <c r="AH22" i="8"/>
  <c r="AH23" i="8"/>
  <c r="AH24" i="8"/>
  <c r="AH25" i="8"/>
  <c r="AH26" i="8"/>
  <c r="AH27" i="8"/>
  <c r="AH28" i="8"/>
  <c r="AH29" i="8"/>
  <c r="AH30" i="8"/>
  <c r="AH31" i="8"/>
  <c r="AH32" i="8"/>
  <c r="AH33" i="8"/>
  <c r="AH34" i="8"/>
  <c r="AH35" i="8"/>
  <c r="AH36" i="8"/>
  <c r="AH37" i="8"/>
  <c r="AH38" i="8"/>
  <c r="AH39" i="8"/>
  <c r="AH40" i="8"/>
  <c r="AH41" i="8"/>
  <c r="AH42" i="8"/>
  <c r="AH43" i="8"/>
  <c r="AH44" i="8"/>
  <c r="AH45" i="8"/>
  <c r="AH46" i="8"/>
  <c r="AH47" i="8"/>
  <c r="AH48" i="8"/>
  <c r="AH49" i="8"/>
  <c r="AH50" i="8"/>
  <c r="AH51" i="8"/>
  <c r="AH52" i="8"/>
  <c r="AH53" i="8"/>
  <c r="AH54" i="8"/>
  <c r="AH55" i="8"/>
  <c r="AH56" i="8"/>
  <c r="AH57" i="8"/>
  <c r="AH58" i="8"/>
  <c r="AH59" i="8"/>
  <c r="AH60" i="8"/>
  <c r="AH61" i="8"/>
  <c r="AH62" i="8"/>
  <c r="AH63" i="8"/>
  <c r="AH64" i="8"/>
  <c r="AH65" i="8"/>
  <c r="AH66" i="8"/>
  <c r="AH67" i="8"/>
  <c r="AH68" i="8"/>
  <c r="AH69" i="8"/>
  <c r="AH70" i="8"/>
  <c r="AH71" i="8"/>
  <c r="AH72" i="8"/>
  <c r="AH73" i="8"/>
  <c r="AH74" i="8"/>
  <c r="AH75" i="8"/>
  <c r="AH76" i="8"/>
  <c r="AH77" i="8"/>
  <c r="AH78" i="8"/>
  <c r="AH79" i="8"/>
  <c r="AH80" i="8"/>
  <c r="AH81" i="8"/>
  <c r="AH82" i="8"/>
  <c r="AH83" i="8"/>
  <c r="AH84" i="8"/>
  <c r="AH85" i="8"/>
  <c r="AH86" i="8"/>
  <c r="AH87" i="8"/>
  <c r="AH88" i="8"/>
  <c r="AH89" i="8"/>
  <c r="AD3" i="8"/>
  <c r="AD4" i="8"/>
  <c r="AD5" i="8"/>
  <c r="AD6" i="8"/>
  <c r="AD7" i="8"/>
  <c r="AD8" i="8"/>
  <c r="AD9" i="8"/>
  <c r="AD10" i="8"/>
  <c r="AD11" i="8"/>
  <c r="AD12" i="8"/>
  <c r="AD13" i="8"/>
  <c r="AD14" i="8"/>
  <c r="AD15" i="8"/>
  <c r="AD16" i="8"/>
  <c r="AD17" i="8"/>
  <c r="AD18" i="8"/>
  <c r="AD19" i="8"/>
  <c r="AD20" i="8"/>
  <c r="AD21" i="8"/>
  <c r="AD22" i="8"/>
  <c r="AD23" i="8"/>
  <c r="AD24" i="8"/>
  <c r="AD25" i="8"/>
  <c r="AD26" i="8"/>
  <c r="AD27" i="8"/>
  <c r="AD28" i="8"/>
  <c r="AD29" i="8"/>
  <c r="AD30" i="8"/>
  <c r="AD31" i="8"/>
  <c r="AD32" i="8"/>
  <c r="AD33" i="8"/>
  <c r="AD34" i="8"/>
  <c r="AD35" i="8"/>
  <c r="AD36" i="8"/>
  <c r="AD37" i="8"/>
  <c r="AD38" i="8"/>
  <c r="AD39" i="8"/>
  <c r="AD40" i="8"/>
  <c r="AD41" i="8"/>
  <c r="AD42" i="8"/>
  <c r="AD43" i="8"/>
  <c r="AD44" i="8"/>
  <c r="AD45" i="8"/>
  <c r="AD46" i="8"/>
  <c r="AD47" i="8"/>
  <c r="AD48" i="8"/>
  <c r="AD49" i="8"/>
  <c r="AD50" i="8"/>
  <c r="AD51" i="8"/>
  <c r="AD52" i="8"/>
  <c r="AD53" i="8"/>
  <c r="AD54" i="8"/>
  <c r="AD55" i="8"/>
  <c r="AD56" i="8"/>
  <c r="AD57" i="8"/>
  <c r="AD58" i="8"/>
  <c r="AD59" i="8"/>
  <c r="AD60" i="8"/>
  <c r="AD61" i="8"/>
  <c r="AD62" i="8"/>
  <c r="AD63" i="8"/>
  <c r="AD64" i="8"/>
  <c r="AD65" i="8"/>
  <c r="AD66" i="8"/>
  <c r="AD67" i="8"/>
  <c r="AD68" i="8"/>
  <c r="AD69" i="8"/>
  <c r="AD70" i="8"/>
  <c r="AD71" i="8"/>
  <c r="AD72" i="8"/>
  <c r="AD73" i="8"/>
  <c r="AD74" i="8"/>
  <c r="AD75" i="8"/>
  <c r="AD76" i="8"/>
  <c r="AD77" i="8"/>
  <c r="AD78" i="8"/>
  <c r="AD79" i="8"/>
  <c r="AD80" i="8"/>
  <c r="AD81" i="8"/>
  <c r="AD82" i="8"/>
  <c r="AD83" i="8"/>
  <c r="AD84" i="8"/>
  <c r="AD85" i="8"/>
  <c r="AD86" i="8"/>
  <c r="AD87" i="8"/>
  <c r="AD88" i="8"/>
  <c r="AD89" i="8"/>
  <c r="AD2" i="8"/>
  <c r="AQ89" i="8" l="1"/>
  <c r="H89" i="8"/>
  <c r="G89" i="8"/>
  <c r="Z89" i="8" s="1"/>
  <c r="F89" i="8"/>
  <c r="AQ3" i="8" l="1"/>
  <c r="AQ4" i="8"/>
  <c r="AQ5"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0" i="8"/>
  <c r="AQ51" i="8"/>
  <c r="AQ52" i="8"/>
  <c r="AQ53" i="8"/>
  <c r="AQ54" i="8"/>
  <c r="AQ55" i="8"/>
  <c r="AQ56" i="8"/>
  <c r="AQ57" i="8"/>
  <c r="AQ58" i="8"/>
  <c r="AQ59" i="8"/>
  <c r="AQ60" i="8"/>
  <c r="AQ61" i="8"/>
  <c r="AQ62" i="8"/>
  <c r="AQ63" i="8"/>
  <c r="AQ64" i="8"/>
  <c r="AQ65" i="8"/>
  <c r="AQ66" i="8"/>
  <c r="AQ67" i="8"/>
  <c r="AQ68" i="8"/>
  <c r="AQ69" i="8"/>
  <c r="AQ70" i="8"/>
  <c r="AQ71" i="8"/>
  <c r="AQ72" i="8"/>
  <c r="AQ73" i="8"/>
  <c r="AQ74" i="8"/>
  <c r="AQ75" i="8"/>
  <c r="AQ76" i="8"/>
  <c r="AQ77" i="8"/>
  <c r="AQ78" i="8"/>
  <c r="AQ79" i="8"/>
  <c r="AQ80" i="8"/>
  <c r="AQ81" i="8"/>
  <c r="AQ82" i="8"/>
  <c r="AQ83" i="8"/>
  <c r="AQ84" i="8"/>
  <c r="AQ85" i="8"/>
  <c r="AQ86" i="8"/>
  <c r="AQ87" i="8"/>
  <c r="AQ88" i="8"/>
  <c r="AQ2" i="8"/>
  <c r="F3" i="8" l="1"/>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2" i="8"/>
  <c r="G3" i="8"/>
  <c r="H3" i="8"/>
  <c r="G4" i="8"/>
  <c r="H4" i="8"/>
  <c r="G5" i="8"/>
  <c r="Z5" i="8" s="1"/>
  <c r="H5" i="8"/>
  <c r="G6" i="8"/>
  <c r="H6" i="8"/>
  <c r="G7" i="8"/>
  <c r="Z7" i="8" s="1"/>
  <c r="H7" i="8"/>
  <c r="G8" i="8"/>
  <c r="H8" i="8"/>
  <c r="G9" i="8"/>
  <c r="Z9" i="8" s="1"/>
  <c r="H9" i="8"/>
  <c r="G10" i="8"/>
  <c r="H10" i="8"/>
  <c r="G11" i="8"/>
  <c r="Z11" i="8" s="1"/>
  <c r="H11" i="8"/>
  <c r="G12" i="8"/>
  <c r="H12" i="8"/>
  <c r="G13" i="8"/>
  <c r="Z13" i="8" s="1"/>
  <c r="H13" i="8"/>
  <c r="G14" i="8"/>
  <c r="H14" i="8"/>
  <c r="G15" i="8"/>
  <c r="Z15" i="8" s="1"/>
  <c r="H15" i="8"/>
  <c r="G16" i="8"/>
  <c r="H16" i="8"/>
  <c r="G17" i="8"/>
  <c r="Z17" i="8" s="1"/>
  <c r="H17" i="8"/>
  <c r="G18" i="8"/>
  <c r="H18" i="8"/>
  <c r="G19" i="8"/>
  <c r="Z19" i="8" s="1"/>
  <c r="H19" i="8"/>
  <c r="G20" i="8"/>
  <c r="H20" i="8"/>
  <c r="G21" i="8"/>
  <c r="Z21" i="8" s="1"/>
  <c r="H21" i="8"/>
  <c r="G22" i="8"/>
  <c r="H22" i="8"/>
  <c r="G23" i="8"/>
  <c r="Z23" i="8" s="1"/>
  <c r="H23" i="8"/>
  <c r="G24" i="8"/>
  <c r="H24" i="8"/>
  <c r="G25" i="8"/>
  <c r="Z25" i="8" s="1"/>
  <c r="H25" i="8"/>
  <c r="G26" i="8"/>
  <c r="H26" i="8"/>
  <c r="G27" i="8"/>
  <c r="Z27" i="8" s="1"/>
  <c r="H27" i="8"/>
  <c r="G28" i="8"/>
  <c r="H28" i="8"/>
  <c r="G29" i="8"/>
  <c r="Z29" i="8" s="1"/>
  <c r="H29" i="8"/>
  <c r="G30" i="8"/>
  <c r="H30" i="8"/>
  <c r="G31" i="8"/>
  <c r="Z31" i="8" s="1"/>
  <c r="H31" i="8"/>
  <c r="G32" i="8"/>
  <c r="H32" i="8"/>
  <c r="G33" i="8"/>
  <c r="Z33" i="8" s="1"/>
  <c r="H33" i="8"/>
  <c r="G34" i="8"/>
  <c r="H34" i="8"/>
  <c r="G35" i="8"/>
  <c r="Z35" i="8" s="1"/>
  <c r="H35" i="8"/>
  <c r="G36" i="8"/>
  <c r="Z36" i="8" s="1"/>
  <c r="H36" i="8"/>
  <c r="G37" i="8"/>
  <c r="Z37" i="8" s="1"/>
  <c r="H37" i="8"/>
  <c r="G38" i="8"/>
  <c r="H38" i="8"/>
  <c r="G39" i="8"/>
  <c r="Z39" i="8" s="1"/>
  <c r="H39" i="8"/>
  <c r="G40" i="8"/>
  <c r="Z40" i="8" s="1"/>
  <c r="H40" i="8"/>
  <c r="G41" i="8"/>
  <c r="Z41" i="8" s="1"/>
  <c r="H41" i="8"/>
  <c r="G42" i="8"/>
  <c r="H42" i="8"/>
  <c r="G43" i="8"/>
  <c r="Z43" i="8" s="1"/>
  <c r="H43" i="8"/>
  <c r="G44" i="8"/>
  <c r="H44" i="8"/>
  <c r="G45" i="8"/>
  <c r="Z45" i="8" s="1"/>
  <c r="H45" i="8"/>
  <c r="G46" i="8"/>
  <c r="H46" i="8"/>
  <c r="G47" i="8"/>
  <c r="Z47" i="8" s="1"/>
  <c r="H47" i="8"/>
  <c r="G48" i="8"/>
  <c r="H48" i="8"/>
  <c r="G49" i="8"/>
  <c r="Z49" i="8" s="1"/>
  <c r="H49" i="8"/>
  <c r="G50" i="8"/>
  <c r="H50" i="8"/>
  <c r="G51" i="8"/>
  <c r="Z51" i="8" s="1"/>
  <c r="H51" i="8"/>
  <c r="G52" i="8"/>
  <c r="H52" i="8"/>
  <c r="G53" i="8"/>
  <c r="Z53" i="8" s="1"/>
  <c r="H53" i="8"/>
  <c r="G54" i="8"/>
  <c r="H54" i="8"/>
  <c r="G55" i="8"/>
  <c r="Z55" i="8" s="1"/>
  <c r="H55" i="8"/>
  <c r="G56" i="8"/>
  <c r="H56" i="8"/>
  <c r="G57" i="8"/>
  <c r="Z57" i="8" s="1"/>
  <c r="H57" i="8"/>
  <c r="G58" i="8"/>
  <c r="Z58" i="8" s="1"/>
  <c r="H58" i="8"/>
  <c r="G59" i="8"/>
  <c r="Z59" i="8" s="1"/>
  <c r="H59" i="8"/>
  <c r="G60" i="8"/>
  <c r="H60" i="8"/>
  <c r="G61" i="8"/>
  <c r="Z61" i="8" s="1"/>
  <c r="H61" i="8"/>
  <c r="G62" i="8"/>
  <c r="H62" i="8"/>
  <c r="G63" i="8"/>
  <c r="Z63" i="8" s="1"/>
  <c r="H63" i="8"/>
  <c r="G64" i="8"/>
  <c r="H64" i="8"/>
  <c r="G65" i="8"/>
  <c r="Z65" i="8" s="1"/>
  <c r="H65" i="8"/>
  <c r="G66" i="8"/>
  <c r="H66" i="8"/>
  <c r="G67" i="8"/>
  <c r="Z67" i="8" s="1"/>
  <c r="H67" i="8"/>
  <c r="G68" i="8"/>
  <c r="Z68" i="8" s="1"/>
  <c r="H68" i="8"/>
  <c r="G69" i="8"/>
  <c r="Z69" i="8" s="1"/>
  <c r="H69" i="8"/>
  <c r="G70" i="8"/>
  <c r="Z70" i="8" s="1"/>
  <c r="H70" i="8"/>
  <c r="G71" i="8"/>
  <c r="Z71" i="8" s="1"/>
  <c r="H71" i="8"/>
  <c r="G72" i="8"/>
  <c r="H72" i="8"/>
  <c r="G73" i="8"/>
  <c r="Z73" i="8" s="1"/>
  <c r="H73" i="8"/>
  <c r="G74" i="8"/>
  <c r="H74" i="8"/>
  <c r="G75" i="8"/>
  <c r="Z75" i="8" s="1"/>
  <c r="H75" i="8"/>
  <c r="G76" i="8"/>
  <c r="H76" i="8"/>
  <c r="G77" i="8"/>
  <c r="Z77" i="8" s="1"/>
  <c r="H77" i="8"/>
  <c r="G78" i="8"/>
  <c r="H78" i="8"/>
  <c r="G79" i="8"/>
  <c r="Z79" i="8" s="1"/>
  <c r="H79" i="8"/>
  <c r="G80" i="8"/>
  <c r="H80" i="8"/>
  <c r="G81" i="8"/>
  <c r="Z81" i="8" s="1"/>
  <c r="H81" i="8"/>
  <c r="G82" i="8"/>
  <c r="H82" i="8"/>
  <c r="G83" i="8"/>
  <c r="Z83" i="8" s="1"/>
  <c r="H83" i="8"/>
  <c r="G84" i="8"/>
  <c r="H84" i="8"/>
  <c r="G85" i="8"/>
  <c r="Z85" i="8" s="1"/>
  <c r="H85" i="8"/>
  <c r="G86" i="8"/>
  <c r="H86" i="8"/>
  <c r="G87" i="8"/>
  <c r="Z87" i="8" s="1"/>
  <c r="H87" i="8"/>
  <c r="G88" i="8"/>
  <c r="H88" i="8"/>
  <c r="H2" i="8"/>
  <c r="G2" i="8"/>
  <c r="V133" i="9"/>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Z2" i="8" l="1"/>
  <c r="Z72" i="8"/>
  <c r="Z54" i="8"/>
  <c r="Z34" i="8"/>
  <c r="Z3" i="8"/>
  <c r="Z88" i="8"/>
  <c r="Z84" i="8"/>
  <c r="Z80" i="8"/>
  <c r="Z76" i="8"/>
  <c r="Z64" i="8"/>
  <c r="Z60" i="8"/>
  <c r="Z50" i="8"/>
  <c r="Z46" i="8"/>
  <c r="Z42" i="8"/>
  <c r="Z38" i="8"/>
  <c r="Z30" i="8"/>
  <c r="Z28" i="8"/>
  <c r="Z26" i="8"/>
  <c r="Z24" i="8"/>
  <c r="Z22" i="8"/>
  <c r="Z20" i="8"/>
  <c r="Z18" i="8"/>
  <c r="Z16" i="8"/>
  <c r="Z14" i="8"/>
  <c r="Z12" i="8"/>
  <c r="Z10" i="8"/>
  <c r="Z8" i="8"/>
  <c r="Z6" i="8"/>
  <c r="Z4" i="8"/>
  <c r="Z86" i="8"/>
  <c r="Z82" i="8"/>
  <c r="Z78" i="8"/>
  <c r="Z74" i="8"/>
  <c r="Z66" i="8"/>
  <c r="Z62" i="8"/>
  <c r="Z56" i="8"/>
  <c r="Z52" i="8"/>
  <c r="Z48" i="8"/>
  <c r="Z44" i="8"/>
  <c r="Z32" i="8"/>
</calcChain>
</file>

<file path=xl/sharedStrings.xml><?xml version="1.0" encoding="utf-8"?>
<sst xmlns="http://schemas.openxmlformats.org/spreadsheetml/2006/main" count="3239" uniqueCount="1196">
  <si>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</si>
  <si>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</si>
  <si>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</si>
  <si>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</si>
  <si>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</si>
  <si>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</si>
  <si>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</si>
  <si>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</si>
  <si>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</si>
  <si>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</si>
  <si>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</si>
  <si>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</si>
  <si>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</si>
  <si>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</si>
  <si>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</si>
  <si>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</si>
  <si>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</si>
  <si>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</si>
  <si>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</si>
  <si>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</si>
  <si>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</si>
  <si>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</si>
  <si>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</si>
  <si>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</si>
  <si>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</si>
  <si>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</si>
  <si>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</si>
  <si>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</si>
  <si>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</si>
  <si>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</si>
  <si>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</si>
  <si>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</si>
  <si>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</si>
  <si>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</si>
  <si>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</si>
  <si>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</si>
  <si>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</si>
  <si>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</si>
  <si>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</si>
  <si>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</si>
  <si>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</si>
  <si>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</si>
  <si>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</si>
  <si>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</si>
  <si>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</si>
  <si>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</si>
  <si>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</si>
  <si>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</si>
  <si>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</si>
  <si>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</si>
  <si>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</si>
  <si>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</si>
  <si>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</si>
  <si>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</si>
  <si>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</si>
  <si>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</si>
  <si>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</si>
  <si>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</si>
  <si>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</si>
  <si>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</si>
  <si>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</si>
  <si>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</si>
  <si>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</si>
  <si>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</si>
  <si>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</si>
  <si>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</si>
  <si>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</si>
  <si>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</si>
  <si>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</si>
  <si>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</si>
  <si>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</si>
  <si>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</si>
  <si>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</si>
  <si>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</si>
  <si>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</si>
  <si>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</si>
  <si>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</si>
  <si>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</si>
  <si>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</si>
  <si>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</si>
  <si>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</si>
  <si>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</si>
  <si>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</si>
  <si>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</si>
  <si>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</si>
  <si>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</si>
  <si>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</si>
  <si>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</si>
  <si>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</si>
  <si>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</si>
  <si>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</si>
  <si>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</si>
  <si>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</si>
  <si>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</si>
  <si>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</si>
  <si>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</si>
  <si>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</si>
  <si>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</si>
  <si>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</si>
  <si>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</si>
  <si>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</si>
  <si>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</si>
  <si>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</si>
  <si>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</si>
  <si>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</si>
  <si>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</si>
  <si>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</si>
  <si>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</si>
  <si>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</si>
  <si>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</si>
  <si>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</si>
  <si>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</si>
  <si>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</si>
  <si>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</si>
  <si>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</si>
  <si>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</si>
  <si>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</si>
  <si>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</si>
  <si>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</si>
  <si>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</si>
  <si>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</si>
  <si>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</si>
  <si>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</si>
  <si>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</si>
  <si>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</si>
  <si>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</si>
  <si>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</si>
  <si>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</si>
  <si>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</si>
  <si>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</si>
  <si>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</si>
  <si>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</si>
  <si>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</si>
  <si>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</si>
  <si>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</si>
  <si>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</si>
  <si>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</si>
  <si>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</si>
  <si>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</si>
  <si>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</si>
  <si>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</si>
  <si>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</si>
  <si>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</si>
  <si>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</si>
  <si>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</si>
  <si>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</si>
  <si>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</si>
  <si>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</si>
  <si>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</si>
  <si>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</si>
  <si>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</si>
  <si>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</si>
  <si>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</si>
  <si>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</si>
  <si>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</si>
  <si>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</si>
  <si>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</si>
  <si>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</si>
  <si>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</si>
  <si>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</si>
  <si>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</si>
  <si>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</si>
  <si>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</si>
  <si>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</si>
  <si>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</si>
  <si>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</si>
  <si>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</si>
  <si>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</si>
  <si>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</si>
  <si>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</si>
  <si>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</si>
  <si>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</si>
  <si>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</si>
  <si>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</si>
  <si>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</si>
  <si>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</si>
  <si>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</si>
  <si>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</si>
  <si>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</si>
  <si>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</si>
  <si>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</si>
  <si>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</si>
  <si>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</si>
  <si>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</si>
  <si>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</si>
  <si>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</si>
  <si>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</si>
  <si>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</si>
  <si>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</si>
  <si>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</si>
  <si>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</si>
  <si>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</si>
  <si>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</si>
  <si>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</si>
  <si>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</si>
  <si>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</si>
  <si>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</si>
  <si>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</si>
  <si>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</si>
  <si>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</si>
  <si>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</si>
  <si>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</si>
  <si>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</si>
  <si>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</si>
  <si>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</si>
  <si>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</si>
  <si>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</si>
  <si>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</si>
  <si>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</si>
  <si>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</si>
  <si>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</si>
  <si>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</si>
  <si>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</si>
  <si>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</si>
  <si>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</si>
  <si>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</si>
  <si>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</si>
  <si>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</si>
  <si>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</si>
  <si>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</si>
  <si>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</si>
  <si>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</si>
  <si>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</si>
  <si>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</si>
  <si>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</si>
  <si>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</si>
  <si>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</si>
  <si>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</si>
  <si>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</si>
  <si>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</si>
  <si>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</si>
  <si>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</si>
  <si>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</si>
  <si>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</si>
  <si>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</si>
  <si>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</si>
  <si>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</si>
  <si>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</si>
  <si>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</si>
  <si>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</si>
  <si>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</si>
  <si>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</si>
  <si>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</si>
  <si>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</si>
  <si>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</si>
  <si>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</si>
  <si>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</si>
  <si>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</si>
  <si>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</si>
  <si>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</si>
  <si>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</si>
  <si>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</si>
  <si>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</si>
  <si>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</si>
  <si>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</si>
  <si>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</si>
  <si>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</si>
  <si>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</si>
  <si>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</si>
  <si>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</si>
  <si>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</si>
  <si>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</si>
  <si>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</si>
  <si>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</si>
  <si>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</si>
  <si>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</si>
  <si>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</si>
  <si>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</si>
  <si>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</si>
  <si>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</si>
  <si>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</si>
  <si>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</si>
  <si>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</si>
  <si>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</si>
  <si>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</si>
  <si>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</si>
  <si>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</si>
  <si>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</si>
  <si>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</si>
  <si>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</si>
  <si>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</si>
  <si>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</si>
  <si>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</si>
  <si>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</si>
  <si>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</si>
  <si>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</si>
  <si>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</si>
  <si>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</si>
  <si>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</si>
  <si>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</si>
  <si>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</si>
  <si>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</si>
  <si>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</si>
  <si>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</si>
  <si>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</si>
  <si>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</si>
  <si>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</si>
  <si>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</si>
  <si>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</si>
  <si>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</si>
  <si>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</si>
  <si>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</si>
  <si>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</si>
  <si>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</si>
  <si>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</si>
  <si>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</si>
  <si>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</si>
  <si>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</si>
  <si>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</si>
  <si>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</si>
  <si>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</si>
  <si>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</si>
  <si>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</si>
  <si>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</si>
  <si>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</si>
  <si>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</si>
  <si>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</si>
  <si>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</si>
  <si>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</si>
  <si>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</si>
  <si>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</si>
  <si>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</si>
  <si>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</si>
  <si>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</si>
  <si>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</si>
  <si>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</si>
  <si>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</si>
  <si>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</si>
  <si>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</si>
  <si>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</si>
  <si>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</si>
  <si>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</si>
  <si>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</si>
  <si>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</si>
  <si>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</si>
  <si>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</si>
  <si>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</si>
  <si>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</si>
  <si>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</si>
  <si>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</si>
  <si>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</si>
  <si>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</si>
  <si>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</si>
  <si>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</si>
  <si>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</si>
  <si>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</si>
  <si>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</si>
  <si>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</si>
  <si>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</si>
  <si>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</si>
  <si>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</si>
  <si>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</si>
  <si>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</si>
  <si>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</si>
  <si>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</si>
  <si>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</si>
  <si>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</si>
  <si>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</si>
  <si>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</si>
  <si>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</si>
  <si>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</si>
  <si>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</si>
  <si>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</si>
  <si>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</si>
  <si>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</si>
  <si>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</si>
  <si>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</si>
  <si>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</si>
  <si>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</si>
  <si>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</si>
  <si>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</si>
  <si>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</si>
  <si>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</si>
  <si>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</si>
  <si>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</si>
  <si>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</si>
  <si>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</si>
  <si>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</si>
  <si>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</si>
  <si>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</si>
  <si>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</si>
  <si>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</si>
  <si>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</si>
  <si>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</si>
  <si>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</si>
  <si>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</si>
  <si>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</si>
  <si>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</si>
  <si>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</si>
  <si>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</si>
  <si>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</si>
  <si>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</si>
  <si>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</si>
  <si>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</si>
  <si>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</si>
  <si>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</si>
  <si>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</si>
  <si>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</si>
  <si>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</si>
  <si>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</si>
  <si>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</si>
  <si>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</si>
  <si>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</si>
  <si>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</si>
  <si>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</si>
  <si>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</si>
  <si>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</si>
  <si>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</si>
  <si>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</si>
  <si>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</si>
  <si>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</si>
  <si>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</si>
  <si>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</si>
  <si>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</si>
  <si>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</si>
  <si>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</si>
  <si>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</si>
  <si>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</si>
  <si>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</si>
  <si>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</si>
  <si>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</si>
  <si>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</si>
  <si>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</si>
  <si>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</si>
  <si>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</si>
  <si>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</si>
  <si>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</si>
  <si>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</si>
  <si>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</si>
  <si>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</si>
  <si>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</si>
  <si>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</si>
  <si>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</si>
  <si>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</si>
  <si>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</si>
  <si>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</si>
  <si>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</si>
  <si>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</si>
  <si>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</si>
  <si>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</si>
  <si>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</si>
  <si>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</si>
  <si>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</si>
  <si>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</si>
  <si>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</si>
  <si>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</si>
  <si>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</si>
  <si>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</si>
  <si>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</si>
  <si>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</si>
  <si>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</si>
  <si>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</si>
  <si>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</si>
  <si>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</si>
  <si>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</si>
  <si>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</si>
  <si>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</si>
  <si>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</si>
  <si>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</si>
  <si>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</si>
  <si>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</si>
  <si>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</si>
  <si>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</si>
  <si>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</si>
  <si>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</si>
  <si>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</si>
  <si>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</si>
  <si>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</si>
  <si>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</si>
  <si>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</si>
  <si>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</si>
  <si>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</si>
  <si>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</si>
  <si>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</si>
  <si>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</si>
  <si>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</si>
  <si>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</si>
  <si>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</si>
  <si>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</si>
  <si>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</si>
  <si>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</si>
  <si>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</si>
  <si>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</si>
  <si>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</si>
  <si>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</si>
  <si>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</si>
  <si>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</si>
  <si>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</si>
  <si>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</si>
  <si>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</si>
  <si>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</si>
  <si>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</si>
  <si>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</si>
  <si>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</si>
  <si>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</si>
  <si>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</si>
  <si>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</si>
  <si>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</si>
  <si>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</si>
  <si>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</si>
  <si>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</si>
  <si>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</si>
  <si>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</si>
  <si>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</si>
  <si>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</si>
  <si>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</si>
  <si>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</si>
  <si>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</si>
  <si>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</si>
  <si>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</si>
  <si>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</si>
  <si>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</si>
  <si>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</si>
  <si>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</si>
  <si>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</si>
  <si>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</si>
  <si>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</si>
  <si>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</si>
  <si>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</si>
  <si>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</si>
  <si>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</si>
  <si>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</si>
  <si>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</si>
  <si>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</si>
  <si>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</si>
  <si>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</si>
  <si>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</si>
  <si>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</si>
  <si>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</si>
  <si>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</si>
  <si>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</si>
  <si>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</si>
  <si>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</si>
  <si>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</si>
  <si>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</si>
  <si>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</si>
  <si>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</si>
  <si>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</si>
  <si>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</si>
  <si>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</si>
  <si>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</si>
  <si>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</si>
  <si>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</si>
  <si>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</si>
  <si>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</si>
  <si>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</si>
  <si>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</si>
  <si>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</si>
  <si>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</si>
  <si>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</si>
  <si>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</si>
  <si>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</si>
  <si>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</si>
  <si>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</si>
  <si>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</si>
  <si>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</si>
  <si>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</si>
  <si>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</si>
  <si>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</si>
  <si>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</si>
  <si>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</si>
  <si>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</si>
  <si>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</si>
  <si>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</si>
  <si>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</si>
  <si>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</si>
  <si>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</si>
  <si>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</si>
  <si>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</si>
  <si>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</si>
  <si>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</si>
  <si>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</si>
  <si>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</si>
  <si>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</si>
  <si>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</si>
  <si>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</si>
  <si>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</si>
  <si>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</si>
  <si>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</si>
  <si>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</si>
  <si>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</si>
  <si>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</si>
  <si>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</si>
  <si>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</si>
  <si>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</si>
  <si>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</si>
  <si>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</si>
  <si>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</si>
  <si>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</si>
  <si>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</si>
  <si>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</si>
  <si>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</si>
  <si>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</si>
  <si>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</si>
  <si>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</si>
  <si>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</si>
  <si>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</si>
  <si>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</si>
  <si>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</si>
  <si>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</si>
  <si>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</si>
  <si>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</si>
  <si>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</si>
  <si>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</si>
  <si>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</si>
  <si>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</si>
  <si>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</si>
  <si>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</si>
  <si>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</si>
  <si>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</si>
  <si>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</si>
  <si>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</si>
  <si>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</si>
  <si>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</si>
  <si>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</si>
  <si>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</si>
  <si>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</si>
  <si>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</si>
  <si>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</si>
  <si>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</si>
  <si>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</si>
  <si>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</si>
  <si>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</si>
  <si>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</si>
  <si>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</si>
  <si>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</si>
  <si>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</si>
  <si>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</si>
  <si>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</si>
  <si>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</si>
  <si>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</si>
  <si>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</si>
  <si>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</si>
  <si>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</si>
  <si>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</si>
  <si>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</si>
  <si>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</si>
  <si>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</si>
  <si>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</si>
  <si>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</si>
  <si>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</si>
  <si>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</si>
  <si>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</si>
  <si>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</si>
  <si>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</si>
  <si>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</si>
  <si>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</si>
  <si>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</si>
  <si>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</si>
  <si>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</si>
  <si>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</si>
  <si>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</si>
  <si>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</si>
  <si>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</si>
  <si>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</si>
  <si>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</si>
  <si>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</si>
  <si>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</si>
  <si>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</si>
  <si>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</si>
  <si>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</si>
  <si>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</si>
  <si>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</si>
  <si>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</si>
  <si>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</si>
  <si>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</si>
  <si>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</si>
  <si>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</si>
  <si>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</si>
  <si>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</si>
  <si>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</si>
  <si>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</si>
  <si>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</si>
  <si>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</si>
  <si>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</si>
  <si>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</si>
  <si>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</si>
  <si>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</si>
  <si>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</si>
  <si>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</si>
  <si>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</si>
  <si>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</si>
  <si>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</si>
  <si>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</si>
  <si>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</si>
  <si>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</si>
  <si>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</si>
  <si>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</si>
  <si>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</si>
  <si>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</si>
  <si>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</si>
  <si>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</si>
  <si>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</si>
  <si>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</si>
  <si>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</si>
  <si>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</si>
  <si>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</si>
  <si>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</si>
  <si>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</si>
  <si>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</si>
  <si>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</si>
  <si>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</si>
  <si>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</si>
  <si>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</si>
  <si>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</si>
  <si>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</si>
  <si>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</si>
  <si>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</si>
  <si>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</si>
  <si>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</si>
  <si>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</si>
  <si>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</si>
  <si>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</si>
  <si>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</si>
  <si>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</si>
  <si>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</si>
  <si>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</si>
  <si>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</si>
  <si>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</si>
  <si>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</si>
  <si>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</si>
  <si>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</si>
  <si>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</si>
  <si>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</si>
  <si>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</si>
  <si>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</si>
  <si>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</si>
  <si>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</si>
  <si>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</si>
  <si>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</si>
  <si>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</si>
  <si>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</si>
  <si>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</si>
  <si>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</si>
  <si>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</si>
  <si>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</si>
  <si>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</si>
  <si>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</si>
  <si>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</si>
  <si>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</si>
  <si>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</si>
  <si>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</si>
  <si>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</si>
  <si>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</si>
  <si>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</si>
  <si>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</si>
  <si>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</si>
  <si>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</si>
  <si>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</si>
  <si>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</si>
  <si>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</si>
  <si>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</si>
  <si>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</si>
  <si>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</si>
  <si>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</si>
  <si>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</si>
  <si>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</si>
  <si>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</si>
  <si>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</si>
  <si>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</si>
  <si>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</si>
  <si>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</si>
  <si>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</si>
  <si>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</si>
  <si>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</si>
  <si>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</si>
  <si>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</si>
  <si>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</si>
  <si>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</si>
  <si>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</si>
  <si>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</si>
  <si>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</si>
  <si>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</si>
  <si>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</si>
  <si>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</si>
  <si>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</si>
  <si>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</si>
  <si>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</si>
  <si>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</si>
  <si>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</si>
  <si>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</si>
  <si>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</si>
  <si>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</si>
  <si>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</si>
  <si>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</si>
  <si>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</si>
  <si>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</si>
  <si>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</si>
  <si>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</si>
  <si>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</si>
  <si>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</si>
  <si>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</si>
  <si>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</si>
  <si>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</si>
  <si>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</si>
  <si>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</si>
  <si>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</si>
  <si>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</si>
  <si>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</si>
  <si>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</si>
  <si>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</si>
  <si>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</si>
  <si>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</si>
  <si>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</si>
  <si>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</si>
  <si>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</si>
  <si>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</si>
  <si>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</si>
  <si>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</si>
  <si>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</si>
  <si>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</si>
  <si>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</si>
  <si>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</si>
  <si>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</si>
  <si>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</si>
  <si>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</si>
  <si>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</si>
  <si>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</si>
  <si>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</si>
  <si>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</si>
  <si>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</si>
  <si>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</si>
  <si>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</si>
  <si>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</si>
  <si>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</si>
  <si>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</si>
  <si>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</si>
  <si>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</si>
  <si>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</si>
  <si>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</si>
  <si>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</si>
  <si>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</si>
  <si>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</si>
  <si>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</si>
  <si>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</si>
  <si>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</si>
  <si>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</si>
  <si>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</si>
  <si>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</si>
  <si>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</si>
  <si>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</si>
  <si>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</si>
  <si>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</si>
  <si>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</si>
  <si>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</si>
  <si>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</si>
  <si>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</si>
  <si>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</si>
  <si>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</si>
  <si>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</si>
  <si>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</si>
  <si>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</si>
  <si>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</si>
  <si>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</si>
  <si>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</si>
  <si>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</si>
  <si>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</si>
  <si>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</si>
  <si>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</si>
  <si>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</si>
  <si>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</si>
  <si>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</si>
  <si>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</si>
  <si>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</si>
  <si>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</si>
  <si>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</si>
  <si>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</si>
  <si>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</si>
  <si>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</si>
  <si>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</si>
  <si>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</si>
  <si>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</si>
  <si>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</si>
  <si>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</si>
  <si>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</si>
  <si>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</si>
  <si>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</si>
  <si>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</si>
  <si>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</si>
  <si>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</si>
  <si>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</si>
  <si>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</si>
  <si>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</si>
  <si>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</si>
  <si>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</si>
  <si>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</si>
  <si>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</si>
  <si>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</si>
  <si>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</si>
  <si>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</si>
  <si>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</si>
  <si>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</si>
  <si>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</si>
  <si>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</si>
  <si>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</si>
  <si>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</si>
  <si>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</si>
  <si>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</si>
  <si>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</si>
  <si>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</si>
  <si>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</si>
  <si>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</si>
  <si>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</si>
  <si>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</si>
  <si>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</si>
  <si>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</si>
  <si>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</si>
  <si>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</si>
  <si>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</si>
  <si>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</si>
  <si>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</si>
  <si>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</si>
  <si>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</si>
  <si>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</si>
  <si>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</si>
  <si>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</si>
  <si>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</si>
  <si>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</si>
  <si>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</si>
  <si>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</si>
  <si>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</si>
  <si>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</si>
  <si>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</si>
  <si>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</si>
  <si>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</si>
  <si>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</si>
  <si>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</si>
  <si>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</si>
  <si>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</si>
  <si>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</si>
  <si>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</si>
  <si>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</si>
  <si>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</si>
  <si>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</si>
  <si>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</si>
  <si>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</si>
  <si>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</si>
  <si>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</si>
  <si>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</si>
  <si>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</si>
  <si>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</si>
  <si>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</si>
  <si>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</si>
  <si>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</si>
  <si>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</si>
  <si>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</si>
  <si>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</si>
  <si>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</si>
  <si>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</si>
  <si>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</si>
  <si>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</si>
  <si>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</si>
  <si>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</si>
  <si>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</si>
  <si>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</si>
  <si>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</si>
  <si>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</si>
  <si>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</si>
  <si>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</si>
  <si>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</si>
  <si>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</si>
  <si>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</si>
  <si>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</si>
  <si>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</si>
  <si>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</si>
  <si>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</si>
  <si>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</si>
  <si>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</si>
  <si>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</si>
  <si>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</si>
  <si>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</si>
  <si>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</si>
  <si>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</si>
  <si>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</si>
  <si>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</si>
  <si>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</si>
  <si>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</si>
  <si>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</si>
  <si>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</si>
  <si>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</si>
  <si>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</si>
  <si>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</si>
  <si>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</si>
  <si>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</si>
  <si>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</si>
  <si>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</si>
  <si>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</si>
  <si>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</si>
  <si>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</si>
  <si>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</si>
  <si>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</si>
  <si>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</si>
  <si>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</si>
  <si>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</si>
  <si>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</si>
  <si>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</si>
  <si>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</si>
  <si>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</si>
  <si>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</si>
  <si>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</si>
  <si>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</si>
  <si>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</si>
  <si>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</si>
  <si>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</si>
  <si>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</si>
  <si>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</si>
  <si>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</si>
  <si>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</si>
  <si>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</si>
  <si>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</si>
  <si>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</si>
  <si>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</si>
  <si>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</si>
  <si>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</si>
  <si>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</si>
  <si>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</si>
  <si>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</si>
  <si>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</si>
  <si>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</si>
  <si>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</si>
  <si>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</si>
  <si>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</si>
  <si>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</si>
  <si>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</si>
  <si>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</si>
  <si>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</si>
  <si>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</si>
  <si>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</si>
  <si>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</si>
  <si>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</si>
  <si>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</si>
  <si>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</si>
  <si>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</si>
  <si>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</si>
  <si>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</si>
  <si>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</si>
  <si>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</si>
  <si>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</si>
  <si>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</si>
  <si>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</si>
  <si>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</si>
  <si>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</si>
  <si>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</si>
  <si>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</si>
  <si>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</si>
  <si>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</si>
  <si>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</si>
  <si>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</si>
  <si>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</si>
  <si>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</si>
  <si>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</si>
  <si>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</si>
  <si>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</si>
  <si>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</si>
  <si>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</si>
  <si>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</si>
  <si>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</si>
  <si>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</si>
  <si>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</si>
  <si>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</si>
  <si>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</si>
  <si>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</si>
  <si>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</si>
  <si>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</si>
  <si>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</si>
  <si>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</si>
  <si>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</si>
  <si>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</si>
  <si>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</si>
  <si>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</si>
  <si>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</si>
  <si>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</si>
  <si>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</si>
  <si>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</si>
  <si>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</si>
  <si>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</si>
  <si>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</si>
  <si>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</si>
  <si>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</si>
  <si>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</si>
  <si>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</si>
  <si>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</si>
  <si>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</si>
  <si>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</si>
  <si>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</si>
  <si>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</si>
  <si>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</si>
  <si>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</si>
  <si>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</si>
  <si>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</si>
  <si>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</si>
  <si>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</si>
  <si>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</si>
  <si>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</si>
  <si>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</si>
  <si>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</si>
  <si>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</si>
  <si>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</si>
  <si>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</si>
  <si>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</si>
  <si>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</si>
  <si>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</si>
  <si>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</si>
  <si>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</si>
  <si>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</si>
  <si>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</si>
  <si>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</si>
  <si>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</si>
  <si>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</si>
  <si>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</si>
  <si>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</si>
  <si>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</si>
  <si>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LatitudeFromDirectory</t>
  </si>
  <si>
    <t>LongitudeFromDirectory</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</si>
  <si>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</si>
  <si>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</si>
  <si>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</si>
  <si>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</si>
  <si>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</si>
  <si>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</si>
  <si>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</si>
  <si>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</si>
  <si>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</si>
  <si>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</si>
  <si>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</si>
  <si>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</si>
  <si>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</si>
  <si>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</si>
  <si>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</si>
  <si>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</si>
  <si>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</si>
  <si>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</si>
  <si>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</si>
  <si>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</si>
  <si>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</si>
  <si>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</si>
  <si>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$Church$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</si>
  <si>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PostcodeFromAndy</t>
  </si>
  <si>
    <t>Ref</t>
  </si>
  <si>
    <t>Parish Name</t>
  </si>
  <si>
    <t>churchmanship</t>
  </si>
  <si>
    <t>postcode</t>
  </si>
  <si>
    <t>GC*</t>
  </si>
  <si>
    <t>E</t>
  </si>
  <si>
    <t>H</t>
  </si>
  <si>
    <t>N16</t>
  </si>
  <si>
    <t xml:space="preserve">Holy Trinity &amp; All Saints </t>
  </si>
  <si>
    <t>E8 3DY E8 4EP</t>
  </si>
  <si>
    <t>St Barnabas Homerton</t>
  </si>
  <si>
    <t>3 but</t>
  </si>
  <si>
    <t>St John of Jerusalem S Hackney</t>
  </si>
  <si>
    <t>L</t>
  </si>
  <si>
    <t>3?</t>
  </si>
  <si>
    <t>St Michael London Fields</t>
  </si>
  <si>
    <t>St Paul West Hackney</t>
  </si>
  <si>
    <t>St Andrew Bethune Road</t>
  </si>
  <si>
    <t>4but</t>
  </si>
  <si>
    <t>4?Trad</t>
  </si>
  <si>
    <t>St Michael Stoke Newington</t>
  </si>
  <si>
    <t>St John Brownswood Park</t>
  </si>
  <si>
    <t>St John Hoxton</t>
  </si>
  <si>
    <t>4*</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</si>
  <si>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</si>
  <si>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</si>
  <si>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</si>
  <si>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</si>
  <si>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</si>
  <si>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</si>
  <si>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</si>
  <si>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</si>
  <si>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</si>
  <si>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</si>
  <si>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up</t>
  </si>
  <si>
    <t>St John the Evangelist Upper Holl</t>
  </si>
  <si>
    <t>St Saviour Hanley Road</t>
  </si>
  <si>
    <t>St Stephen Canonbury Road</t>
  </si>
  <si>
    <t xml:space="preserve">Holy Redeemer Clerkenwell  </t>
  </si>
  <si>
    <t>St Mark Myddleton Square</t>
  </si>
  <si>
    <t>Inspire (3005)</t>
  </si>
  <si>
    <t>N7 6DU?</t>
  </si>
  <si>
    <t>4 but</t>
  </si>
  <si>
    <t>King's Cross Church (KXC)</t>
  </si>
  <si>
    <t>St Luke Millwall (BMO)</t>
  </si>
  <si>
    <t>All Hallows Bow</t>
  </si>
  <si>
    <t>St Mary &amp; Holy Trinity Bow</t>
  </si>
  <si>
    <t>St Paul &amp; St Mark Old Ford</t>
  </si>
  <si>
    <t>St Anne Limehouse</t>
  </si>
  <si>
    <t>S George-in-the-East</t>
  </si>
  <si>
    <t>St Dunstan Stepney</t>
  </si>
  <si>
    <t>Ref:0634</t>
  </si>
  <si>
    <t>Ref:3001</t>
  </si>
  <si>
    <t>ChurchmanshipFromAndy</t>
  </si>
  <si>
    <t>*** COL CAN BE DELETED ***</t>
  </si>
  <si>
    <t>MyList</t>
  </si>
  <si>
    <t>AnydNotMe</t>
  </si>
  <si>
    <t>MeNotAndy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</si>
</sst>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3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09">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16" fillId="37" borderId="29" xfId="0" applyFont="1" applyFill="1" applyBorder="1"/>
    <xf numFmtId="0" fontId="0" fillId="0" borderId="34" xfId="0" applyBorder="1"/>
    <xf numFmtId="164" fontId="0" fillId="0" borderId="34" xfId="0" applyNumberFormat="1" applyBorder="1"/>
    <xf numFmtId="49" fontId="0" fillId="0" borderId="34" xfId="0" applyNumberFormat="1" applyBorder="1" applyAlignment="1">
      <alignment horizontal="right"/>
    </xf>
    <xf numFmtId="0" fontId="0" fillId="42" borderId="29" xfId="0" applyFill="1" applyBorder="1"/>
    <xf numFmtId="0" fontId="0" fillId="0" borderId="29" xfId="0" applyFill="1" applyBorder="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
    <dxf>
      <font>
        <b val="0"/>
        <i/>
      </font>
    </dxf>
    <dxf>
      <font>
        <b val="0"/>
        <i/>
      </font>
    </dxf>
    <dxf>
      <font>
        <b val="0"/>
        <i/>
      </font>
    </dxf>
    <dxf>
      <font>
        <b val="0"/>
        <i/>
      </font>
    </dxf>
    <dxf>
      <fill>
        <patternFill>
          <bgColor rgb="FFFFFF00"/>
        </patternFill>
      </fill>
    </dxf>
    <dxf>
      <fill>
        <patternFill>
          <bgColor rgb="FFFFFF00"/>
        </patternFill>
      </fill>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10</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17</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10</xdr:row>
      <xdr:rowOff>152400</xdr:rowOff>
    </xdr:from>
    <xdr:to>
      <xdr:col>8</xdr:col>
      <xdr:colOff>2762250</xdr:colOff>
      <xdr:row>15</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8</xdr:row>
      <xdr:rowOff>57149</xdr:rowOff>
    </xdr:from>
    <xdr:to>
      <xdr:col>8</xdr:col>
      <xdr:colOff>713233</xdr:colOff>
      <xdr:row>10</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Tufnell_Park" TargetMode="External"/><Relationship Id="rId299" Type="http://schemas.openxmlformats.org/officeDocument/2006/relationships/hyperlink" Target="https://www.google.co.uk/maps/search/?api=1&amp;query=51.527596,-0.055146" TargetMode="External"/><Relationship Id="rId21" Type="http://schemas.openxmlformats.org/officeDocument/2006/relationships/hyperlink" Target="https://www.london.anglican.org/directory/st-mary-of-eton-hackney/" TargetMode="External"/><Relationship Id="rId42" Type="http://schemas.openxmlformats.org/officeDocument/2006/relationships/hyperlink" Target="https://www.london.anglican.org/directory/st-george-all-saints-tufnell-park/" TargetMode="External"/><Relationship Id="rId63" Type="http://schemas.openxmlformats.org/officeDocument/2006/relationships/hyperlink" Target="https://www.london.anglican.org/directory/all-saints-poplar-poplar-team-ministry/" TargetMode="External"/><Relationship Id="rId84" Type="http://schemas.openxmlformats.org/officeDocument/2006/relationships/hyperlink" Target="https://www.london.anglican.org/directory/st-paul-bow-common/" TargetMode="External"/><Relationship Id="rId138" Type="http://schemas.openxmlformats.org/officeDocument/2006/relationships/hyperlink" Target="https://en.wikipedia.org/wiki/Bow,_London" TargetMode="External"/><Relationship Id="rId159" Type="http://schemas.openxmlformats.org/officeDocument/2006/relationships/hyperlink" Target="https://en.wikipedia.org/wiki/St_Barnabas%27s,_Bethnal_Green" TargetMode="External"/><Relationship Id="rId324" Type="http://schemas.openxmlformats.org/officeDocument/2006/relationships/hyperlink" Target="https://www.sjebp.com/" TargetMode="External"/><Relationship Id="rId345" Type="http://schemas.openxmlformats.org/officeDocument/2006/relationships/hyperlink" Target="https://www.stclementfinsbury.org/" TargetMode="External"/><Relationship Id="rId366" Type="http://schemas.openxmlformats.org/officeDocument/2006/relationships/hyperlink" Target="https://www.parishiod.org.uk/" TargetMode="External"/><Relationship Id="rId170" Type="http://schemas.openxmlformats.org/officeDocument/2006/relationships/hyperlink" Target="https://www.crockford.org.uk/places/12738/the-benefice-of-hoxton-(st-anne)-(st-columba)" TargetMode="External"/><Relationship Id="rId191" Type="http://schemas.openxmlformats.org/officeDocument/2006/relationships/hyperlink" Target="https://www.crockford.org.uk/places/13031/the-benefice-of-stoke-newington-(st-olave)" TargetMode="External"/><Relationship Id="rId205" Type="http://schemas.openxmlformats.org/officeDocument/2006/relationships/hyperlink" Target="https://www.crockford.org.uk/places/12834/the-benefice-of-mildmay-grove-(st-jude-and-st-paul)" TargetMode="External"/><Relationship Id="rId226" Type="http://schemas.openxmlformats.org/officeDocument/2006/relationships/hyperlink" Target="https://www.crockford.org.uk/places/12947/the-benefice-of-st-george-in-the-east-(st-mary)" TargetMode="External"/><Relationship Id="rId247" Type="http://schemas.openxmlformats.org/officeDocument/2006/relationships/hyperlink" Target="https://www.google.co.uk/maps/search/?api=1&amp;query=51.548829,-0.042604" TargetMode="External"/><Relationship Id="rId107" Type="http://schemas.openxmlformats.org/officeDocument/2006/relationships/hyperlink" Target="https://en.wikipedia.org/wiki/Stoke_Newington_Common" TargetMode="External"/><Relationship Id="rId268" Type="http://schemas.openxmlformats.org/officeDocument/2006/relationships/hyperlink" Target="https://www.google.co.uk/maps/search/?api=1&amp;query=51.54787,-0.10632" TargetMode="External"/><Relationship Id="rId289" Type="http://schemas.openxmlformats.org/officeDocument/2006/relationships/hyperlink" Target="https://www.google.co.uk/maps/search/?api=1&amp;query=51.520814,-0.020428" TargetMode="External"/><Relationship Id="rId11" Type="http://schemas.openxmlformats.org/officeDocument/2006/relationships/hyperlink" Target="https://www.london.anglican.org/directory/st-barnabas-dalston/" TargetMode="External"/><Relationship Id="rId32" Type="http://schemas.openxmlformats.org/officeDocument/2006/relationships/hyperlink" Target="https://www.london.anglican.org/directory/christ-church-highbury/" TargetMode="External"/><Relationship Id="rId53" Type="http://schemas.openxmlformats.org/officeDocument/2006/relationships/hyperlink" Target="https://www.london.anglican.org/directory/st-saviour-hanley-road/" TargetMode="External"/><Relationship Id="rId74" Type="http://schemas.openxmlformats.org/officeDocument/2006/relationships/hyperlink" Target="https://www.london.anglican.org/directory/st-george-in-the-east/" TargetMode="External"/><Relationship Id="rId128" Type="http://schemas.openxmlformats.org/officeDocument/2006/relationships/hyperlink" Target="https://en.wikipedia.org/wiki/Clerkenwell" TargetMode="External"/><Relationship Id="rId149" Type="http://schemas.openxmlformats.org/officeDocument/2006/relationships/hyperlink" Target="https://en.wikipedia.org/wiki/St_Matthias%27_Church,_Stoke_Newington" TargetMode="External"/><Relationship Id="rId314" Type="http://schemas.openxmlformats.org/officeDocument/2006/relationships/hyperlink" Target="http://www.hackneymarshteam.org.uk/" TargetMode="External"/><Relationship Id="rId335" Type="http://schemas.openxmlformats.org/officeDocument/2006/relationships/hyperlink" Target="https://www.saintthomasclapton.org/" TargetMode="External"/><Relationship Id="rId356" Type="http://schemas.openxmlformats.org/officeDocument/2006/relationships/hyperlink" Target="http://www.smmacademy.org/" TargetMode="External"/><Relationship Id="rId377" Type="http://schemas.openxmlformats.org/officeDocument/2006/relationships/hyperlink" Target="https://www.st-matthews.co.uk/"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Hoxton" TargetMode="External"/><Relationship Id="rId160" Type="http://schemas.openxmlformats.org/officeDocument/2006/relationships/hyperlink" Target="https://en.wikipedia.org/wiki/St_George_in_the_East,_Stepney" TargetMode="External"/><Relationship Id="rId181" Type="http://schemas.openxmlformats.org/officeDocument/2006/relationships/hyperlink" Target="https://www.crockford.org.uk/places/12741/the-benefice-of-hoxton-(st-john-the-baptist)-with-ch-ch" TargetMode="External"/><Relationship Id="rId216" Type="http://schemas.openxmlformats.org/officeDocument/2006/relationships/hyperlink" Target="https://www.crockford.org.uk/places/12743/the-benefice-of-isle-of-dogs-(christ-church-and-st-john)-(st-luke)" TargetMode="External"/><Relationship Id="rId237" Type="http://schemas.openxmlformats.org/officeDocument/2006/relationships/hyperlink" Target="https://www.google.co.uk/maps/search/?api=1&amp;query=51.556048,-0.04167" TargetMode="External"/><Relationship Id="rId258" Type="http://schemas.openxmlformats.org/officeDocument/2006/relationships/hyperlink" Target="https://www.google.co.uk/maps/search/?api=1&amp;query=51.563403,-0.058989" TargetMode="External"/><Relationship Id="rId279" Type="http://schemas.openxmlformats.org/officeDocument/2006/relationships/hyperlink" Target="https://www.google.co.uk/maps/search/?api=1&amp;query=51.552457,-0.121323" TargetMode="External"/><Relationship Id="rId22" Type="http://schemas.openxmlformats.org/officeDocument/2006/relationships/hyperlink" Target="https://www.london.anglican.org/directory/st-mary-stoke-newington/" TargetMode="External"/><Relationship Id="rId43" Type="http://schemas.openxmlformats.org/officeDocument/2006/relationships/hyperlink" Target="https://www.london.anglican.org/directory/st-james-clerkenwell/" TargetMode="External"/><Relationship Id="rId64" Type="http://schemas.openxmlformats.org/officeDocument/2006/relationships/hyperlink" Target="https://www.london.anglican.org/directory/christ-church-and-st-john-w-st-luke-isle-of-dogs/" TargetMode="External"/><Relationship Id="rId118" Type="http://schemas.openxmlformats.org/officeDocument/2006/relationships/hyperlink" Target="https://en.wikipedia.org/wiki/Clerkenwell" TargetMode="External"/><Relationship Id="rId139" Type="http://schemas.openxmlformats.org/officeDocument/2006/relationships/hyperlink" Target="https://en.wikipedia.org/wiki/St_George_in_the_East_(parish)" TargetMode="External"/><Relationship Id="rId290" Type="http://schemas.openxmlformats.org/officeDocument/2006/relationships/hyperlink" Target="https://www.google.co.uk/maps/search/?api=1&amp;query=51.510539,-0.011906" TargetMode="External"/><Relationship Id="rId304" Type="http://schemas.openxmlformats.org/officeDocument/2006/relationships/hyperlink" Target="https://www.google.co.uk/maps/search/?api=1&amp;query=51.53262,-0.03081" TargetMode="External"/><Relationship Id="rId325" Type="http://schemas.openxmlformats.org/officeDocument/2006/relationships/hyperlink" Target="http://www.shoreditchchurch.org.uk/" TargetMode="External"/><Relationship Id="rId346" Type="http://schemas.openxmlformats.org/officeDocument/2006/relationships/hyperlink" Target="http://www.stgeorgestufnellpark.org/" TargetMode="External"/><Relationship Id="rId367" Type="http://schemas.openxmlformats.org/officeDocument/2006/relationships/hyperlink" Target="http://www.ccspits.org/" TargetMode="External"/><Relationship Id="rId85" Type="http://schemas.openxmlformats.org/officeDocument/2006/relationships/hyperlink" Target="https://www.london.anglican.org/directory/st-paul-shadwell/" TargetMode="External"/><Relationship Id="rId150" Type="http://schemas.openxmlformats.org/officeDocument/2006/relationships/hyperlink" Target="https://en.wikipedia.org/wiki/Christ_Church_Highbury" TargetMode="External"/><Relationship Id="rId171" Type="http://schemas.openxmlformats.org/officeDocument/2006/relationships/hyperlink" Target="https://www.crockford.org.uk/places/12544/the-benefice-of-dalston-(holy-trinity)-with-st-philip-and-haggerston-all-saints" TargetMode="External"/><Relationship Id="rId192" Type="http://schemas.openxmlformats.org/officeDocument/2006/relationships/hyperlink" Target="https://www.crockford.org.uk/places/13099/the-benefice-of-hackney,-west-(st-paul)" TargetMode="External"/><Relationship Id="rId206" Type="http://schemas.openxmlformats.org/officeDocument/2006/relationships/hyperlink" Target="https://www.crockford.org.uk/places/13108/the-benefice-of-holloway,-west-(st-luke)" TargetMode="External"/><Relationship Id="rId227" Type="http://schemas.openxmlformats.org/officeDocument/2006/relationships/hyperlink" Target="https://www.crockford.org.uk/places/12481/the-benefice-of-bethnal-green-(st-matthew-with-st-james-the-great)" TargetMode="External"/><Relationship Id="rId248" Type="http://schemas.openxmlformats.org/officeDocument/2006/relationships/hyperlink" Target="https://www.google.co.uk/maps/search/?api=1&amp;query=51.576473,-0.06956" TargetMode="External"/><Relationship Id="rId269" Type="http://schemas.openxmlformats.org/officeDocument/2006/relationships/hyperlink" Target="https://www.google.co.uk/maps/search/?api=1&amp;query=51.525483,-0.109214" TargetMode="External"/><Relationship Id="rId12" Type="http://schemas.openxmlformats.org/officeDocument/2006/relationships/hyperlink" Target="https://www.london.anglican.org/directory/st-barnabas-homerton-hackney-marsh-team-ministry/" TargetMode="External"/><Relationship Id="rId33" Type="http://schemas.openxmlformats.org/officeDocument/2006/relationships/hyperlink" Target="https://www.london.anglican.org/directory/emmanuel-hornsey-road/" TargetMode="External"/><Relationship Id="rId108" Type="http://schemas.openxmlformats.org/officeDocument/2006/relationships/hyperlink" Target="https://en.wikipedia.org/wiki/Stoke_Newington" TargetMode="External"/><Relationship Id="rId129" Type="http://schemas.openxmlformats.org/officeDocument/2006/relationships/hyperlink" Target="https://en.wikipedia.org/wiki/Bromley-by-Bow" TargetMode="External"/><Relationship Id="rId280" Type="http://schemas.openxmlformats.org/officeDocument/2006/relationships/hyperlink" Target="https://www.google.co.uk/maps/search/?api=1&amp;query=51.530047,-0.108996" TargetMode="External"/><Relationship Id="rId315" Type="http://schemas.openxmlformats.org/officeDocument/2006/relationships/hyperlink" Target="https://www.gracechurchhackney.org.uk/" TargetMode="External"/><Relationship Id="rId336" Type="http://schemas.openxmlformats.org/officeDocument/2006/relationships/hyperlink" Target="http://www.allsaintsislington.org/" TargetMode="External"/><Relationship Id="rId357" Type="http://schemas.openxmlformats.org/officeDocument/2006/relationships/hyperlink" Target="https://www.saint-silas.org.uk/" TargetMode="External"/><Relationship Id="rId54" Type="http://schemas.openxmlformats.org/officeDocument/2006/relationships/hyperlink" Target="https://www.london.anglican.org/directory/st-silas-pentonville/" TargetMode="External"/><Relationship Id="rId75" Type="http://schemas.openxmlformats.org/officeDocument/2006/relationships/hyperlink" Target="https://www.london.anglican.org/directory/st-james-the-less-bethnal-green/" TargetMode="External"/><Relationship Id="rId96" Type="http://schemas.openxmlformats.org/officeDocument/2006/relationships/hyperlink" Target="https://en.wikipedia.org/wiki/Stamford_Hill" TargetMode="External"/><Relationship Id="rId140" Type="http://schemas.openxmlformats.org/officeDocument/2006/relationships/hyperlink" Target="https://en.wikipedia.org/wiki/Bethnal_Green" TargetMode="External"/><Relationship Id="rId161" Type="http://schemas.openxmlformats.org/officeDocument/2006/relationships/hyperlink" Target="https://en.wikipedia.org/wiki/St_James-the-Less,_Bethnal_Green" TargetMode="External"/><Relationship Id="rId182" Type="http://schemas.openxmlformats.org/officeDocument/2006/relationships/hyperlink" Target="https://www.crockford.org.uk/places/12504/the-benefice-of-brownswood-park-(st-john-the-evangelist)" TargetMode="External"/><Relationship Id="rId217" Type="http://schemas.openxmlformats.org/officeDocument/2006/relationships/hyperlink" Target="https://www.crockford.org.uk/places/13008/the-benefice-of-spitalfields-(christ-church-with-all-saints)" TargetMode="External"/><Relationship Id="rId378" Type="http://schemas.openxmlformats.org/officeDocument/2006/relationships/hyperlink" Target="http://stnicholaspoplar.org/"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04806,0.112953" TargetMode="External"/><Relationship Id="rId259" Type="http://schemas.openxmlformats.org/officeDocument/2006/relationships/hyperlink" Target="https://www.google.co.uk/maps/search/?api=1&amp;query=51.55266,-0.079265" TargetMode="External"/><Relationship Id="rId23" Type="http://schemas.openxmlformats.org/officeDocument/2006/relationships/hyperlink" Target="https://www.london.anglican.org/directory/st-matthew-upper-clapton/" TargetMode="External"/><Relationship Id="rId119" Type="http://schemas.openxmlformats.org/officeDocument/2006/relationships/hyperlink" Target="https://en.wikipedia.org/wiki/Islington" TargetMode="External"/><Relationship Id="rId270" Type="http://schemas.openxmlformats.org/officeDocument/2006/relationships/hyperlink" Target="https://www.google.co.uk/maps/search/?api=1&amp;query=51.541003,-0.115216" TargetMode="External"/><Relationship Id="rId291" Type="http://schemas.openxmlformats.org/officeDocument/2006/relationships/hyperlink" Target="https://www.google.co.uk/maps/search/?api=1&amp;query=51.489075,-0.006311" TargetMode="External"/><Relationship Id="rId305" Type="http://schemas.openxmlformats.org/officeDocument/2006/relationships/hyperlink" Target="https://www.google.co.uk/maps/search/?api=1&amp;query=51.517783,-0.029182" TargetMode="External"/><Relationship Id="rId326" Type="http://schemas.openxmlformats.org/officeDocument/2006/relationships/hyperlink" Target="http://www.stmarkdalston.org.uk/" TargetMode="External"/><Relationship Id="rId347" Type="http://schemas.openxmlformats.org/officeDocument/2006/relationships/hyperlink" Target="http://inspiresaintjames.org/" TargetMode="External"/><Relationship Id="rId44" Type="http://schemas.openxmlformats.org/officeDocument/2006/relationships/hyperlink" Target="https://www.london.anglican.org/directory/st-james-islington/" TargetMode="External"/><Relationship Id="rId65" Type="http://schemas.openxmlformats.org/officeDocument/2006/relationships/hyperlink" Target="https://www.london.anglican.org/directory/christ-church-isle-of-dogs/" TargetMode="External"/><Relationship Id="rId86" Type="http://schemas.openxmlformats.org/officeDocument/2006/relationships/hyperlink" Target="https://www.london.anglican.org/directory/st-peter-bethnal-green/" TargetMode="External"/><Relationship Id="rId130" Type="http://schemas.openxmlformats.org/officeDocument/2006/relationships/hyperlink" Target="https://en.wikipedia.org/wiki/Isle_of_Dogs" TargetMode="External"/><Relationship Id="rId151" Type="http://schemas.openxmlformats.org/officeDocument/2006/relationships/hyperlink" Target="https://en.wikipedia.org/wiki/Our_Most_Holy_Redeemer" TargetMode="External"/><Relationship Id="rId368" Type="http://schemas.openxmlformats.org/officeDocument/2006/relationships/hyperlink" Target="http://www.stanneslimehouse.org/" TargetMode="External"/><Relationship Id="rId172" Type="http://schemas.openxmlformats.org/officeDocument/2006/relationships/hyperlink" Target="https://www.crockford.org.uk/places/12544/the-benefice-of-dalston-(holy-trinity)-with-st-philip-and-haggerston-all-saints" TargetMode="External"/><Relationship Id="rId193" Type="http://schemas.openxmlformats.org/officeDocument/2006/relationships/hyperlink" Target="https://www.crockford.org.uk/places/12547/the-benefice-of-de-beauvoir-town-(st-peter)" TargetMode="External"/><Relationship Id="rId207" Type="http://schemas.openxmlformats.org/officeDocument/2006/relationships/hyperlink" Target="https://www.crockford.org.uk/places/13044/the-benefice-of-tollington-(st-mark)" TargetMode="External"/><Relationship Id="rId228" Type="http://schemas.openxmlformats.org/officeDocument/2006/relationships/hyperlink" Target="https://www.crockford.org.uk/places/12886/the-benefice-of-old-ford-(st-paul)-(st-mark)" TargetMode="External"/><Relationship Id="rId249" Type="http://schemas.openxmlformats.org/officeDocument/2006/relationships/hyperlink" Target="https://www.google.co.uk/maps/search/?api=1&amp;query=51.531642,-0.073274" TargetMode="External"/><Relationship Id="rId13" Type="http://schemas.openxmlformats.org/officeDocument/2006/relationships/hyperlink" Target="https://www.london.anglican.org/directory/st-bartholomew-stamford-hill/" TargetMode="External"/><Relationship Id="rId109" Type="http://schemas.openxmlformats.org/officeDocument/2006/relationships/hyperlink" Target="https://en.wikipedia.org/wiki/West_Hackney" TargetMode="External"/><Relationship Id="rId260" Type="http://schemas.openxmlformats.org/officeDocument/2006/relationships/hyperlink" Target="https://www.google.co.uk/maps/search/?api=1&amp;query=51.540672,-0.064067" TargetMode="External"/><Relationship Id="rId281" Type="http://schemas.openxmlformats.org/officeDocument/2006/relationships/hyperlink" Target="https://www.google.co.uk/maps/search/?api=1&amp;query=51.565186,-0.115699" TargetMode="External"/><Relationship Id="rId316" Type="http://schemas.openxmlformats.org/officeDocument/2006/relationships/hyperlink" Target="https://hackney.church/" TargetMode="External"/><Relationship Id="rId337" Type="http://schemas.openxmlformats.org/officeDocument/2006/relationships/hyperlink" Target="http://www.christchurchhighbury.com/" TargetMode="External"/><Relationship Id="rId34" Type="http://schemas.openxmlformats.org/officeDocument/2006/relationships/hyperlink" Target="https://www.london.anglican.org/directory/hope-church-islington/" TargetMode="External"/><Relationship Id="rId55" Type="http://schemas.openxmlformats.org/officeDocument/2006/relationships/hyperlink" Target="https://www.london.anglican.org/directory/st-stephen-canonbury/" TargetMode="External"/><Relationship Id="rId76" Type="http://schemas.openxmlformats.org/officeDocument/2006/relationships/hyperlink" Target="https://www.london.anglican.org/directory/st-john-on-bethnal-green/" TargetMode="External"/><Relationship Id="rId97" Type="http://schemas.openxmlformats.org/officeDocument/2006/relationships/hyperlink" Target="https://en.wikipedia.org/wiki/Haggerston" TargetMode="External"/><Relationship Id="rId120" Type="http://schemas.openxmlformats.org/officeDocument/2006/relationships/hyperlink" Target="https://en.wikipedia.org/wiki/Upper_Holloway" TargetMode="External"/><Relationship Id="rId141" Type="http://schemas.openxmlformats.org/officeDocument/2006/relationships/hyperlink" Target="https://en.wikipedia.org/wiki/Old_Ford" TargetMode="External"/><Relationship Id="rId358" Type="http://schemas.openxmlformats.org/officeDocument/2006/relationships/hyperlink" Target="http://www.ststephenscanonbury.org.uk/" TargetMode="External"/><Relationship Id="rId379" Type="http://schemas.openxmlformats.org/officeDocument/2006/relationships/hyperlink" Target="http://www.stpauloldford.com/" TargetMode="External"/><Relationship Id="rId7" Type="http://schemas.openxmlformats.org/officeDocument/2006/relationships/hyperlink" Target="https://www.london.anglican.org/directory/holy-trinity-dalston-with-all-saints-haggerston/" TargetMode="External"/><Relationship Id="rId162" Type="http://schemas.openxmlformats.org/officeDocument/2006/relationships/hyperlink" Target="https://en.wikipedia.org/wiki/St_John_on_Bethnal_Green" TargetMode="External"/><Relationship Id="rId183" Type="http://schemas.openxmlformats.org/officeDocument/2006/relationships/hyperlink" Target="https://www.crockford.org.uk/places/12977/the-benefice-of-shoreditch-(st-leonard)-with-st-michael" TargetMode="External"/><Relationship Id="rId218" Type="http://schemas.openxmlformats.org/officeDocument/2006/relationships/hyperlink" Target="https://www.crockford.org.uk/places/12794/the-benefice-of-limehouse-(st-anne)-(st-peter)" TargetMode="External"/><Relationship Id="rId239" Type="http://schemas.openxmlformats.org/officeDocument/2006/relationships/hyperlink" Target="https://www.google.co.uk/maps/search/?api=1&amp;query=51.533785,-0.082290279" TargetMode="External"/><Relationship Id="rId250" Type="http://schemas.openxmlformats.org/officeDocument/2006/relationships/hyperlink" Target="https://www.google.co.uk/maps/search/?api=1&amp;query=51.549911,-0.061197" TargetMode="External"/><Relationship Id="rId271" Type="http://schemas.openxmlformats.org/officeDocument/2006/relationships/hyperlink" Target="https://www.google.co.uk/maps/search/?api=1&amp;query=51.569478,-0.135682" TargetMode="External"/><Relationship Id="rId292" Type="http://schemas.openxmlformats.org/officeDocument/2006/relationships/hyperlink" Target="https://www.google.co.uk/maps/search/?api=1&amp;query=51.489075,-0.006311" TargetMode="External"/><Relationship Id="rId306" Type="http://schemas.openxmlformats.org/officeDocument/2006/relationships/hyperlink" Target="https://www.google.co.uk/maps/search/?api=1&amp;query=51.509422,-0.052067" TargetMode="External"/><Relationship Id="rId24" Type="http://schemas.openxmlformats.org/officeDocument/2006/relationships/hyperlink" Target="https://www.london.anglican.org/directory/st-matthias-stoke-newington/" TargetMode="External"/><Relationship Id="rId45" Type="http://schemas.openxmlformats.org/officeDocument/2006/relationships/hyperlink" Target="https://www.london.anglican.org/directory/st-john-the-evangelist-upper-holloway/" TargetMode="External"/><Relationship Id="rId66" Type="http://schemas.openxmlformats.org/officeDocument/2006/relationships/hyperlink" Target="https://www.london.anglican.org/directory/christ-church-spitalfields/" TargetMode="External"/><Relationship Id="rId87" Type="http://schemas.openxmlformats.org/officeDocument/2006/relationships/hyperlink" Target="https://www.london.anglican.org/directory/st-peter-london-docks/" TargetMode="External"/><Relationship Id="rId110" Type="http://schemas.openxmlformats.org/officeDocument/2006/relationships/hyperlink" Target="https://en.wikipedia.org/wiki/De_Beauvoir_Town" TargetMode="External"/><Relationship Id="rId131" Type="http://schemas.openxmlformats.org/officeDocument/2006/relationships/hyperlink" Target="https://en.wikipedia.org/wiki/Spitalfields" TargetMode="External"/><Relationship Id="rId327" Type="http://schemas.openxmlformats.org/officeDocument/2006/relationships/hyperlink" Target="http://www.stmaryofeton.org.uk/" TargetMode="External"/><Relationship Id="rId348" Type="http://schemas.openxmlformats.org/officeDocument/2006/relationships/hyperlink" Target="https://www.stjamesislington.org/" TargetMode="External"/><Relationship Id="rId369" Type="http://schemas.openxmlformats.org/officeDocument/2006/relationships/hyperlink" Target="http://www.stbarnabasbethnalgreen.org/" TargetMode="External"/><Relationship Id="rId152" Type="http://schemas.openxmlformats.org/officeDocument/2006/relationships/hyperlink" Target="https://en.wikipedia.org/wiki/St_Clement%27s,_King_Square" TargetMode="External"/><Relationship Id="rId173" Type="http://schemas.openxmlformats.org/officeDocument/2006/relationships/hyperlink" Target="https://www.crockford.org.uk/places/12735/the-benefice-of-hoxton-(holy-trinity)-(st-mary)" TargetMode="External"/><Relationship Id="rId194" Type="http://schemas.openxmlformats.org/officeDocument/2006/relationships/hyperlink" Target="https://www.crockford.org.uk/places/13020/the-benefice-of-stamford-hill-(st-thomas)" TargetMode="External"/><Relationship Id="rId208" Type="http://schemas.openxmlformats.org/officeDocument/2006/relationships/hyperlink" Target="https://www.crockford.org.uk/places/12728/the-benefice-of-hornsey-rise-(st-mary)" TargetMode="External"/><Relationship Id="rId229" Type="http://schemas.openxmlformats.org/officeDocument/2006/relationships/hyperlink" Target="https://www.crockford.org.uk/places/12489/the-benefice-of-bow-common-(st-paul)" TargetMode="External"/><Relationship Id="rId380" Type="http://schemas.openxmlformats.org/officeDocument/2006/relationships/hyperlink" Target="http://www.stpaulsbowcommon.org.uk/" TargetMode="External"/><Relationship Id="rId240" Type="http://schemas.openxmlformats.org/officeDocument/2006/relationships/hyperlink" Target="https://www.google.co.uk/maps/search/?api=1&amp;query=51.544907,-0.073299" TargetMode="External"/><Relationship Id="rId261" Type="http://schemas.openxmlformats.org/officeDocument/2006/relationships/hyperlink" Target="https://www.google.co.uk/maps/search/?api=1&amp;query=51.562711,-0.066117" TargetMode="External"/><Relationship Id="rId14" Type="http://schemas.openxmlformats.org/officeDocument/2006/relationships/hyperlink" Target="https://www.london.anglican.org/directory/st-chad-haggerston/" TargetMode="External"/><Relationship Id="rId35" Type="http://schemas.openxmlformats.org/officeDocument/2006/relationships/hyperlink" Target="https://www.london.anglican.org/directory/nags-head-church-community/" TargetMode="External"/><Relationship Id="rId56" Type="http://schemas.openxmlformats.org/officeDocument/2006/relationships/hyperlink" Target="https://www.london.anglican.org/directory/st-thomas-finsbury-park/" TargetMode="External"/><Relationship Id="rId77" Type="http://schemas.openxmlformats.org/officeDocument/2006/relationships/hyperlink" Target="https://www.london.anglican.org/directory/st-luke-millwall/" TargetMode="External"/><Relationship Id="rId100" Type="http://schemas.openxmlformats.org/officeDocument/2006/relationships/hyperlink" Target="https://en.wikipedia.org/wiki/Hoxton" TargetMode="External"/><Relationship Id="rId282" Type="http://schemas.openxmlformats.org/officeDocument/2006/relationships/hyperlink" Target="https://www.google.co.uk/maps/search/?api=1&amp;query=51.571335,-0.122738" TargetMode="External"/><Relationship Id="rId317" Type="http://schemas.openxmlformats.org/officeDocument/2006/relationships/hyperlink" Target="http://www.standrewsn16.org/" TargetMode="External"/><Relationship Id="rId338" Type="http://schemas.openxmlformats.org/officeDocument/2006/relationships/hyperlink" Target="http://www.hopechurchislington.org/" TargetMode="External"/><Relationship Id="rId359" Type="http://schemas.openxmlformats.org/officeDocument/2006/relationships/hyperlink" Target="https://www.stthomaschurch.co.uk/" TargetMode="External"/><Relationship Id="rId8" Type="http://schemas.openxmlformats.org/officeDocument/2006/relationships/hyperlink" Target="https://www.london.anglican.org/directory/holy-trinity-hoxton/" TargetMode="External"/><Relationship Id="rId98" Type="http://schemas.openxmlformats.org/officeDocument/2006/relationships/hyperlink" Target="https://en.wikipedia.org/wiki/Upper_Clapton" TargetMode="External"/><Relationship Id="rId121" Type="http://schemas.openxmlformats.org/officeDocument/2006/relationships/hyperlink" Target="https://en.wikipedia.org/wiki/Tollington_(ward)" TargetMode="External"/><Relationship Id="rId142" Type="http://schemas.openxmlformats.org/officeDocument/2006/relationships/hyperlink" Target="https://en.wikipedia.org/wiki/Bow_Common" TargetMode="External"/><Relationship Id="rId163" Type="http://schemas.openxmlformats.org/officeDocument/2006/relationships/hyperlink" Target="https://en.wikipedia.org/wiki/Bow_Church" TargetMode="External"/><Relationship Id="rId184" Type="http://schemas.openxmlformats.org/officeDocument/2006/relationships/hyperlink" Target="https://www.crockford.org.uk/places/12545/the-benefice-of-dalston-(st-mark-with-st-bartholomew)" TargetMode="External"/><Relationship Id="rId219" Type="http://schemas.openxmlformats.org/officeDocument/2006/relationships/hyperlink" Target="https://www.crockford.org.uk/places/12472/the-benefice-of-bethnal-green-(st-barnabas)" TargetMode="External"/><Relationship Id="rId370" Type="http://schemas.openxmlformats.org/officeDocument/2006/relationships/hyperlink" Target="http://www.stdunstanstepney.com/" TargetMode="External"/><Relationship Id="rId230" Type="http://schemas.openxmlformats.org/officeDocument/2006/relationships/hyperlink" Target="https://www.crockford.org.uk/places/12969/the-benefice-of-shadwell-(st-paul)-with-ratcliffe-st-james" TargetMode="External"/><Relationship Id="rId251" Type="http://schemas.openxmlformats.org/officeDocument/2006/relationships/hyperlink" Target="https://www.google.co.uk/maps/search/?api=1&amp;query=51.540365,-0.046082" TargetMode="External"/><Relationship Id="rId25" Type="http://schemas.openxmlformats.org/officeDocument/2006/relationships/hyperlink" Target="https://www.london.anglican.org/directory/st-michael-all-angels-london-fields/" TargetMode="External"/><Relationship Id="rId46" Type="http://schemas.openxmlformats.org/officeDocument/2006/relationships/hyperlink" Target="https://www.london.anglican.org/directory/st-jude-and-st-paul-mildmay-grove/" TargetMode="External"/><Relationship Id="rId67" Type="http://schemas.openxmlformats.org/officeDocument/2006/relationships/hyperlink" Target="https://www.london.anglican.org/directory/hms-president/" TargetMode="External"/><Relationship Id="rId272" Type="http://schemas.openxmlformats.org/officeDocument/2006/relationships/hyperlink" Target="https://www.google.co.uk/maps/search/?api=1&amp;query=51.554687,-0.092225" TargetMode="External"/><Relationship Id="rId293" Type="http://schemas.openxmlformats.org/officeDocument/2006/relationships/hyperlink" Target="https://www.google.co.uk/maps/search/?api=1&amp;query=51.519104,-0.074071" TargetMode="External"/><Relationship Id="rId307" Type="http://schemas.openxmlformats.org/officeDocument/2006/relationships/hyperlink" Target="https://www.google.co.uk/maps/search/?api=1&amp;query=51.530373,-0.064759" TargetMode="External"/><Relationship Id="rId328" Type="http://schemas.openxmlformats.org/officeDocument/2006/relationships/hyperlink" Target="https://www.stmaryn16.org/" TargetMode="External"/><Relationship Id="rId349" Type="http://schemas.openxmlformats.org/officeDocument/2006/relationships/hyperlink" Target="http://www.stjohnsupperholloway.church/" TargetMode="External"/><Relationship Id="rId88" Type="http://schemas.openxmlformats.org/officeDocument/2006/relationships/hyperlink" Target="=IFERROR(VLOOKUP($C50,%20DataFromWikipedia!A:T,%2017,%20FALSE),%20%22%22)" TargetMode="External"/><Relationship Id="rId111" Type="http://schemas.openxmlformats.org/officeDocument/2006/relationships/hyperlink" Target="https://en.wikipedia.org/wiki/Stamford_Hill" TargetMode="External"/><Relationship Id="rId132" Type="http://schemas.openxmlformats.org/officeDocument/2006/relationships/hyperlink" Target="https://en.wikipedia.org/wiki/Limehouse" TargetMode="External"/><Relationship Id="rId153" Type="http://schemas.openxmlformats.org/officeDocument/2006/relationships/hyperlink" Target="https://en.wikipedia.org/wiki/St_Mark%27s_Church,_Myddelton_Square" TargetMode="External"/><Relationship Id="rId174" Type="http://schemas.openxmlformats.org/officeDocument/2006/relationships/hyperlink" Target="https://www.crockford.org.uk/places/13028/the-benefice-of-stoke-newington-(st-andrew)" TargetMode="External"/><Relationship Id="rId195" Type="http://schemas.openxmlformats.org/officeDocument/2006/relationships/hyperlink" Target="https://www.crockford.org.uk/places/12696/the-benefice-of-highbury-(christ-church)-(st-john)-(st-saviour)" TargetMode="External"/><Relationship Id="rId209" Type="http://schemas.openxmlformats.org/officeDocument/2006/relationships/hyperlink" Target="https://www.crockford.org.uk/places/12755/the-benefice-of-islington-(st-mary)" TargetMode="External"/><Relationship Id="rId360" Type="http://schemas.openxmlformats.org/officeDocument/2006/relationships/hyperlink" Target="http://www.thecharterhouse.org/" TargetMode="External"/><Relationship Id="rId381" Type="http://schemas.openxmlformats.org/officeDocument/2006/relationships/hyperlink" Target="http://sps.church/" TargetMode="External"/><Relationship Id="rId220" Type="http://schemas.openxmlformats.org/officeDocument/2006/relationships/hyperlink" Target="https://www.crockford.org.uk/places/13024/the-benefice-of-stepney-(st-dunstan-and-all-saints)" TargetMode="External"/><Relationship Id="rId241" Type="http://schemas.openxmlformats.org/officeDocument/2006/relationships/hyperlink" Target="https://www.google.co.uk/maps/search/?api=1&amp;query=51.544907,-0.073299" TargetMode="External"/><Relationship Id="rId15" Type="http://schemas.openxmlformats.org/officeDocument/2006/relationships/hyperlink" Target="https://www.london.anglican.org/directory/st-james-clapton/" TargetMode="External"/><Relationship Id="rId36" Type="http://schemas.openxmlformats.org/officeDocument/2006/relationships/hyperlink" Target="https://www.london.anglican.org/directory/our-most-holy-redeemer-clerkenwell/" TargetMode="External"/><Relationship Id="rId57" Type="http://schemas.openxmlformats.org/officeDocument/2006/relationships/hyperlink" Target="https://www.london.anglican.org/directory/the-barnsbury-team/" TargetMode="External"/><Relationship Id="rId262" Type="http://schemas.openxmlformats.org/officeDocument/2006/relationships/hyperlink" Target="https://www.google.co.uk/maps/search/?api=1&amp;query=51.571391,-0.092576" TargetMode="External"/><Relationship Id="rId283" Type="http://schemas.openxmlformats.org/officeDocument/2006/relationships/hyperlink" Target="https://www.google.co.uk/maps/search/?api=1&amp;query=51.538358,-0.101831" TargetMode="External"/><Relationship Id="rId318" Type="http://schemas.openxmlformats.org/officeDocument/2006/relationships/hyperlink" Target="http://www.hoxtonchurch.org.uk/" TargetMode="External"/><Relationship Id="rId339" Type="http://schemas.openxmlformats.org/officeDocument/2006/relationships/hyperlink" Target="https://nagsheadcc.com/" TargetMode="External"/><Relationship Id="rId78" Type="http://schemas.openxmlformats.org/officeDocument/2006/relationships/hyperlink" Target="https://www.london.anglican.org/directory/st-margarets-house/" TargetMode="External"/><Relationship Id="rId99" Type="http://schemas.openxmlformats.org/officeDocument/2006/relationships/hyperlink" Target="https://en.wikipedia.org/wiki/South_Hackney" TargetMode="External"/><Relationship Id="rId101" Type="http://schemas.openxmlformats.org/officeDocument/2006/relationships/hyperlink" Target="https://en.wikipedia.org/wiki/Shoreditch" TargetMode="External"/><Relationship Id="rId122" Type="http://schemas.openxmlformats.org/officeDocument/2006/relationships/hyperlink" Target="https://en.wikipedia.org/wiki/Hornsey" TargetMode="External"/><Relationship Id="rId143" Type="http://schemas.openxmlformats.org/officeDocument/2006/relationships/hyperlink" Target="https://en.wikipedia.org/wiki/Shadwell" TargetMode="External"/><Relationship Id="rId164" Type="http://schemas.openxmlformats.org/officeDocument/2006/relationships/hyperlink" Target="https://en.wikipedia.org/wiki/St_Matthew%27s,_Bethnal_Green" TargetMode="External"/><Relationship Id="rId185" Type="http://schemas.openxmlformats.org/officeDocument/2006/relationships/hyperlink" Target="https://www.crockford.org.uk/places/12628/the-benefice-of-hackney-wick-(st-mary-of-eton)" TargetMode="External"/><Relationship Id="rId350" Type="http://schemas.openxmlformats.org/officeDocument/2006/relationships/hyperlink" Target="http://www.sjsp.org.uk/" TargetMode="External"/><Relationship Id="rId371" Type="http://schemas.openxmlformats.org/officeDocument/2006/relationships/hyperlink" Target="http://www.stgeorgeintheeast.org/" TargetMode="External"/><Relationship Id="rId9" Type="http://schemas.openxmlformats.org/officeDocument/2006/relationships/hyperlink" Target="https://www.london.anglican.org/directory/st-andrew-stoke-newington/" TargetMode="External"/><Relationship Id="rId210" Type="http://schemas.openxmlformats.org/officeDocument/2006/relationships/hyperlink" Target="https://www.crockford.org.uk/places/13044/the-benefice-of-tollington-(st-mark)" TargetMode="External"/><Relationship Id="rId26" Type="http://schemas.openxmlformats.org/officeDocument/2006/relationships/hyperlink" Target="https://www.london.anglican.org/directory/st-michael-all-angels-stoke-newington-common/" TargetMode="External"/><Relationship Id="rId231" Type="http://schemas.openxmlformats.org/officeDocument/2006/relationships/hyperlink" Target="https://www.crockford.org.uk/places/12482/the-benefice-of-bethnal-green-(st-peter)-(st-thomas)" TargetMode="External"/><Relationship Id="rId252" Type="http://schemas.openxmlformats.org/officeDocument/2006/relationships/hyperlink" Target="https://www.google.co.uk/maps/search/?api=1&amp;query=51.53046,-0.083416" TargetMode="External"/><Relationship Id="rId273" Type="http://schemas.openxmlformats.org/officeDocument/2006/relationships/hyperlink" Target="https://www.google.co.uk/maps/search/?api=1&amp;query=51.527725,-0.097732" TargetMode="External"/><Relationship Id="rId294" Type="http://schemas.openxmlformats.org/officeDocument/2006/relationships/hyperlink" Target="https://www.google.co.uk/maps/search/?api=1&amp;query=51.512027,-0.031135" TargetMode="External"/><Relationship Id="rId308" Type="http://schemas.openxmlformats.org/officeDocument/2006/relationships/hyperlink" Target="https://www.google.co.uk/maps/search/?api=1&amp;query=51.506167,-0.058075" TargetMode="External"/><Relationship Id="rId329" Type="http://schemas.openxmlformats.org/officeDocument/2006/relationships/hyperlink" Target="https://stmatthewse5.wordpress.com/" TargetMode="External"/><Relationship Id="rId47" Type="http://schemas.openxmlformats.org/officeDocument/2006/relationships/hyperlink" Target="https://www.london.anglican.org/directory/st-luke-west-holloway/" TargetMode="External"/><Relationship Id="rId68" Type="http://schemas.openxmlformats.org/officeDocument/2006/relationships/hyperlink" Target="https://www.london.anglican.org/directory/mile-end-hospital-barts-health-nhs-trust/" TargetMode="External"/><Relationship Id="rId89" Type="http://schemas.openxmlformats.org/officeDocument/2006/relationships/hyperlink" Target="=IFERROR(VLOOKUP($C54,%20DataFromWikipedia!A:T,%2017,%20FALSE),%20%22%22)" TargetMode="External"/><Relationship Id="rId112" Type="http://schemas.openxmlformats.org/officeDocument/2006/relationships/hyperlink" Target="https://en.wikipedia.org/wiki/Highbury"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James%27_Church,_Islington" TargetMode="External"/><Relationship Id="rId175" Type="http://schemas.openxmlformats.org/officeDocument/2006/relationships/hyperlink" Target="https://www.crockford.org.uk/places/12738/the-benefice-of-hoxton-(st-anne)-(st-columba)" TargetMode="External"/><Relationship Id="rId340" Type="http://schemas.openxmlformats.org/officeDocument/2006/relationships/hyperlink" Target="http://www.holyredeemerclerkenwell.com/" TargetMode="External"/><Relationship Id="rId361" Type="http://schemas.openxmlformats.org/officeDocument/2006/relationships/hyperlink" Target="http://www.churchonthecorner.org.uk/" TargetMode="External"/><Relationship Id="rId196" Type="http://schemas.openxmlformats.org/officeDocument/2006/relationships/hyperlink" Target="https://www.crockford.org.uk/places/13044/the-benefice-of-tollington-(st-mark)" TargetMode="External"/><Relationship Id="rId200" Type="http://schemas.openxmlformats.org/officeDocument/2006/relationships/hyperlink" Target="https://www.crockford.org.uk/places/12592/the-benefice-of-finsbury-(st-clement)-(st-barnabas)-(st-matthew)" TargetMode="External"/><Relationship Id="rId382" Type="http://schemas.openxmlformats.org/officeDocument/2006/relationships/hyperlink" Target="https://www.stpetersbethnalgreen.org/" TargetMode="External"/><Relationship Id="rId16" Type="http://schemas.openxmlformats.org/officeDocument/2006/relationships/hyperlink" Target="https://www.london.anglican.org/directory/st-john-of-jerusalem-south-hackney/" TargetMode="External"/><Relationship Id="rId221" Type="http://schemas.openxmlformats.org/officeDocument/2006/relationships/hyperlink" Target="https://www.crockford.org.uk/places/12946/the-benefice-of-st-george-in-the-east-with-st-paul" TargetMode="External"/><Relationship Id="rId242" Type="http://schemas.openxmlformats.org/officeDocument/2006/relationships/hyperlink" Target="https://www.google.co.uk/maps/search/?api=1&amp;query=51.531055,-0.091797" TargetMode="External"/><Relationship Id="rId263" Type="http://schemas.openxmlformats.org/officeDocument/2006/relationships/hyperlink" Target="https://www.google.co.uk/maps/search/?api=1&amp;query=51.556929,-0.074008" TargetMode="External"/><Relationship Id="rId284" Type="http://schemas.openxmlformats.org/officeDocument/2006/relationships/hyperlink" Target="https://www.google.co.uk/maps/search/?api=1&amp;query=51.533362,-0.111962" TargetMode="External"/><Relationship Id="rId319" Type="http://schemas.openxmlformats.org/officeDocument/2006/relationships/hyperlink" Target="https://saintbarnabasdalston.org.uk/" TargetMode="External"/><Relationship Id="rId37" Type="http://schemas.openxmlformats.org/officeDocument/2006/relationships/hyperlink" Target="https://www.london.anglican.org/directory/st-andrew-thornhill-square-the-barnsbury-team/" TargetMode="External"/><Relationship Id="rId58" Type="http://schemas.openxmlformats.org/officeDocument/2006/relationships/hyperlink" Target="https://www.london.anglican.org/directory/the-charterhouse/" TargetMode="External"/><Relationship Id="rId79" Type="http://schemas.openxmlformats.org/officeDocument/2006/relationships/hyperlink" Target="https://www.london.anglican.org/directory/st-mary-and-holy-trinity-bow/" TargetMode="External"/><Relationship Id="rId102" Type="http://schemas.openxmlformats.org/officeDocument/2006/relationships/hyperlink" Target="https://en.wikipedia.org/wiki/Dalston" TargetMode="External"/><Relationship Id="rId123" Type="http://schemas.openxmlformats.org/officeDocument/2006/relationships/hyperlink" Target="https://en.wikipedia.org/wiki/Islington" TargetMode="External"/><Relationship Id="rId144" Type="http://schemas.openxmlformats.org/officeDocument/2006/relationships/hyperlink" Target="https://en.wikipedia.org/wiki/Bethnal_Green" TargetMode="External"/><Relationship Id="rId330" Type="http://schemas.openxmlformats.org/officeDocument/2006/relationships/hyperlink" Target="https://www.stmchurch.co.uk/" TargetMode="External"/><Relationship Id="rId90" Type="http://schemas.openxmlformats.org/officeDocument/2006/relationships/hyperlink" Target="https://en.wikipedia.org/wiki/Hoxton" TargetMode="External"/><Relationship Id="rId165" Type="http://schemas.openxmlformats.org/officeDocument/2006/relationships/hyperlink" Target="https://en.wikipedia.org/wiki/St_Paul_Old_Ford" TargetMode="External"/><Relationship Id="rId186" Type="http://schemas.openxmlformats.org/officeDocument/2006/relationships/hyperlink" Target="https://www.crockford.org.uk/places/13030/the-benefice-of-stoke-newington-(st-mary)-(old-parish-church)" TargetMode="External"/><Relationship Id="rId351" Type="http://schemas.openxmlformats.org/officeDocument/2006/relationships/hyperlink" Target="http://www.saintlukeschurch.org.uk/" TargetMode="External"/><Relationship Id="rId372" Type="http://schemas.openxmlformats.org/officeDocument/2006/relationships/hyperlink" Target="http://stjamesthelessbg.org.uk/" TargetMode="External"/><Relationship Id="rId211" Type="http://schemas.openxmlformats.org/officeDocument/2006/relationships/hyperlink" Target="https://www.crockford.org.uk/places/12911/the-benefice-of-pentonville-(st-silas-with-all-saints)-(st-james)" TargetMode="External"/><Relationship Id="rId232" Type="http://schemas.openxmlformats.org/officeDocument/2006/relationships/hyperlink" Target="https://www.crockford.org.uk/places/12828/the-benefice-of-london-docks-(st-peter)-with-wapping-st-john" TargetMode="External"/><Relationship Id="rId253" Type="http://schemas.openxmlformats.org/officeDocument/2006/relationships/hyperlink" Target="https://www.google.co.uk/maps/search/?api=1&amp;query=51.565583,-0.10072" TargetMode="External"/><Relationship Id="rId274" Type="http://schemas.openxmlformats.org/officeDocument/2006/relationships/hyperlink" Target="https://www.google.co.uk/maps/search/?api=1&amp;query=51.556822,-0.126171" TargetMode="External"/><Relationship Id="rId295" Type="http://schemas.openxmlformats.org/officeDocument/2006/relationships/hyperlink" Target="https://www.google.co.uk/maps/search/?api=1&amp;query=51.531134,-0.039997" TargetMode="External"/><Relationship Id="rId309" Type="http://schemas.openxmlformats.org/officeDocument/2006/relationships/hyperlink" Target="https://www.london.anglican.org/directory/st-peters-barge-canary-wharf/" TargetMode="External"/><Relationship Id="rId27" Type="http://schemas.openxmlformats.org/officeDocument/2006/relationships/hyperlink" Target="https://www.london.anglican.org/directory/st-olave-woodberry-down/" TargetMode="External"/><Relationship Id="rId48" Type="http://schemas.openxmlformats.org/officeDocument/2006/relationships/hyperlink" Target="https://www.london.anglican.org/directory/st-mark-clerkenwell/" TargetMode="External"/><Relationship Id="rId69" Type="http://schemas.openxmlformats.org/officeDocument/2006/relationships/hyperlink" Target="https://www.london.anglican.org/directory/poplar-team-ministry/"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Stepney" TargetMode="External"/><Relationship Id="rId320" Type="http://schemas.openxmlformats.org/officeDocument/2006/relationships/hyperlink" Target="https://www.holybart.com/" TargetMode="External"/><Relationship Id="rId80" Type="http://schemas.openxmlformats.org/officeDocument/2006/relationships/hyperlink" Target="https://www.london.anglican.org/directory/st-mary-cable-street/" TargetMode="External"/><Relationship Id="rId155" Type="http://schemas.openxmlformats.org/officeDocument/2006/relationships/hyperlink" Target="https://en.wikipedia.org/wiki/St_Mary%27s_Church,_Islington" TargetMode="External"/><Relationship Id="rId176" Type="http://schemas.openxmlformats.org/officeDocument/2006/relationships/hyperlink" Target="https://www.crockford.org.uk/places/12627/the-benefice-of-hackney-marsh-(all-souls)" TargetMode="External"/><Relationship Id="rId197" Type="http://schemas.openxmlformats.org/officeDocument/2006/relationships/hyperlink" Target="https://www.crockford.org.uk/places/12530/the-benefice-of-clerkenwell-(our-most-holy-redeemer)" TargetMode="External"/><Relationship Id="rId341" Type="http://schemas.openxmlformats.org/officeDocument/2006/relationships/hyperlink" Target="https://www.standrewsislington.com/" TargetMode="External"/><Relationship Id="rId362" Type="http://schemas.openxmlformats.org/officeDocument/2006/relationships/hyperlink" Target="https://www.trinityislington.org/" TargetMode="External"/><Relationship Id="rId383" Type="http://schemas.openxmlformats.org/officeDocument/2006/relationships/hyperlink" Target="http://www.stpeterslondondocks.org.uk/" TargetMode="External"/><Relationship Id="rId201" Type="http://schemas.openxmlformats.org/officeDocument/2006/relationships/hyperlink" Target="https://www.crockford.org.uk/places/13058/the-benefice-of-tufnell-park-(st-george-and-all-saints)" TargetMode="External"/><Relationship Id="rId222" Type="http://schemas.openxmlformats.org/officeDocument/2006/relationships/hyperlink" Target="https://www.crockford.org.uk/places/12476/the-benefice-of-bethnal-green-(st-james-the-less)" TargetMode="External"/><Relationship Id="rId243" Type="http://schemas.openxmlformats.org/officeDocument/2006/relationships/hyperlink" Target="https://www.google.co.uk/maps/search/?api=1&amp;query=51.549724,-0.061133" TargetMode="External"/><Relationship Id="rId264" Type="http://schemas.openxmlformats.org/officeDocument/2006/relationships/hyperlink" Target="https://www.google.co.uk/maps/search/?api=1&amp;query=51.54085,-0.080358" TargetMode="External"/><Relationship Id="rId285" Type="http://schemas.openxmlformats.org/officeDocument/2006/relationships/hyperlink" Target="https://www.google.co.uk/maps/search/?api=1&amp;query=51.540907,-0.097067" TargetMode="External"/><Relationship Id="rId17" Type="http://schemas.openxmlformats.org/officeDocument/2006/relationships/hyperlink" Target="https://www.london.anglican.org/directory/st-john-the-baptist-hoxton/" TargetMode="External"/><Relationship Id="rId38" Type="http://schemas.openxmlformats.org/officeDocument/2006/relationships/hyperlink" Target="https://www.london.anglican.org/directory/st-andrew-whitehall-park/" TargetMode="External"/><Relationship Id="rId59" Type="http://schemas.openxmlformats.org/officeDocument/2006/relationships/hyperlink" Target="https://www.london.anglican.org/directory/the-church-on-the-corner-the-barnsbury-team/" TargetMode="External"/><Relationship Id="rId103" Type="http://schemas.openxmlformats.org/officeDocument/2006/relationships/hyperlink" Target="https://en.wikipedia.org/wiki/Hackney_Wick" TargetMode="External"/><Relationship Id="rId124" Type="http://schemas.openxmlformats.org/officeDocument/2006/relationships/hyperlink" Target="https://en.wikipedia.org/wiki/Tollington_(ward)" TargetMode="External"/><Relationship Id="rId310" Type="http://schemas.openxmlformats.org/officeDocument/2006/relationships/hyperlink" Target="https://en.wikipedia.org/wiki/Limehouse" TargetMode="External"/><Relationship Id="rId70" Type="http://schemas.openxmlformats.org/officeDocument/2006/relationships/hyperlink" Target="https://www.london.anglican.org/directory/st-anne-w-st-peter-limehouse/"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London_Docks" TargetMode="External"/><Relationship Id="rId166" Type="http://schemas.openxmlformats.org/officeDocument/2006/relationships/hyperlink" Target="https://en.wikipedia.org/wiki/St_Paul%27s,_Bow_Common" TargetMode="External"/><Relationship Id="rId187" Type="http://schemas.openxmlformats.org/officeDocument/2006/relationships/hyperlink" Target="https://www.crockford.org.uk/places/13070/the-benefice-of-clapton,-upper-(st-matthew)" TargetMode="External"/><Relationship Id="rId331" Type="http://schemas.openxmlformats.org/officeDocument/2006/relationships/hyperlink" Target="https://www.stmichaelslondonfields.org.uk/" TargetMode="External"/><Relationship Id="rId352" Type="http://schemas.openxmlformats.org/officeDocument/2006/relationships/hyperlink" Target="https://www.stmarks-clerkenwell.co.uk/" TargetMode="External"/><Relationship Id="rId373" Type="http://schemas.openxmlformats.org/officeDocument/2006/relationships/hyperlink" Target="https://www.stjohnon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509/the-benefice-of-canonbury-(st-stephen)" TargetMode="External"/><Relationship Id="rId233" Type="http://schemas.openxmlformats.org/officeDocument/2006/relationships/hyperlink" Target="https://barnsburyparish.com/" TargetMode="External"/><Relationship Id="rId254" Type="http://schemas.openxmlformats.org/officeDocument/2006/relationships/hyperlink" Target="https://www.google.co.uk/maps/search/?api=1&amp;query=51.526761,-0.077228" TargetMode="External"/><Relationship Id="rId28" Type="http://schemas.openxmlformats.org/officeDocument/2006/relationships/hyperlink" Target="https://www.london.anglican.org/directory/st-paul-west-hackney/" TargetMode="External"/><Relationship Id="rId49" Type="http://schemas.openxmlformats.org/officeDocument/2006/relationships/hyperlink" Target="https://www.london.anglican.org/directory/the-parish-of-tollington-st-mark-emmanuel-st-saviour/" TargetMode="External"/><Relationship Id="rId114" Type="http://schemas.openxmlformats.org/officeDocument/2006/relationships/hyperlink" Target="https://en.wikipedia.org/wiki/Clerkenwell" TargetMode="External"/><Relationship Id="rId275" Type="http://schemas.openxmlformats.org/officeDocument/2006/relationships/hyperlink" Target="https://www.google.co.uk/maps/search/?api=1&amp;query=51.523574,-0.105679" TargetMode="External"/><Relationship Id="rId296" Type="http://schemas.openxmlformats.org/officeDocument/2006/relationships/hyperlink" Target="https://www.google.co.uk/maps/search/?api=1&amp;query=51.516798,-0.041729" TargetMode="External"/><Relationship Id="rId300" Type="http://schemas.openxmlformats.org/officeDocument/2006/relationships/hyperlink" Target="https://www.google.co.uk/maps/search/?api=1&amp;query=51.499704,-0.023281" TargetMode="External"/><Relationship Id="rId60" Type="http://schemas.openxmlformats.org/officeDocument/2006/relationships/hyperlink" Target="https://www.london.anglican.org/directory/the-priory-church-of-st-john/" TargetMode="External"/><Relationship Id="rId81" Type="http://schemas.openxmlformats.org/officeDocument/2006/relationships/hyperlink" Target="https://www.london.anglican.org/directory/st-matthew-bethnal-green/" TargetMode="External"/><Relationship Id="rId135" Type="http://schemas.openxmlformats.org/officeDocument/2006/relationships/hyperlink" Target="https://en.wikipedia.org/wiki/Bethnal_Green" TargetMode="External"/><Relationship Id="rId156" Type="http://schemas.openxmlformats.org/officeDocument/2006/relationships/hyperlink" Target="https://en.wikipedia.org/wiki/All_Hallows,_Bow" TargetMode="External"/><Relationship Id="rId177" Type="http://schemas.openxmlformats.org/officeDocument/2006/relationships/hyperlink" Target="https://www.crockford.org.uk/places/13018/the-benefice-of-stamford-hill-(st-bartholomew)" TargetMode="External"/><Relationship Id="rId198" Type="http://schemas.openxmlformats.org/officeDocument/2006/relationships/hyperlink" Target="https://www.crockford.org.uk/places/13123/the-benefice-of-whitehall-park-(st-andrew)" TargetMode="External"/><Relationship Id="rId321" Type="http://schemas.openxmlformats.org/officeDocument/2006/relationships/hyperlink" Target="https://www.stjamesclapton.co.uk/" TargetMode="External"/><Relationship Id="rId342" Type="http://schemas.openxmlformats.org/officeDocument/2006/relationships/hyperlink" Target="http://www.standrewsn19.org/" TargetMode="External"/><Relationship Id="rId363" Type="http://schemas.openxmlformats.org/officeDocument/2006/relationships/hyperlink" Target="http://www.allhallowsbow.org.uk/" TargetMode="External"/><Relationship Id="rId384" Type="http://schemas.openxmlformats.org/officeDocument/2006/relationships/hyperlink" Target="https://www.stpetersbarge.org/"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https://www.crockford.org.uk/places/12479/the-benefice-of-st-john-on-bethnal-green" TargetMode="External"/><Relationship Id="rId244" Type="http://schemas.openxmlformats.org/officeDocument/2006/relationships/hyperlink" Target="https://www.google.co.uk/maps/search/?api=1&amp;query=51.570606,-0.080285" TargetMode="External"/><Relationship Id="rId18" Type="http://schemas.openxmlformats.org/officeDocument/2006/relationships/hyperlink" Target="https://www.london.anglican.org/directory/st-john-the-evangelist-brownswood-park/" TargetMode="External"/><Relationship Id="rId39" Type="http://schemas.openxmlformats.org/officeDocument/2006/relationships/hyperlink" Target="https://www.london.anglican.org/directory/st-andrews-barnsbury-cofe-primary-school/" TargetMode="External"/><Relationship Id="rId265" Type="http://schemas.openxmlformats.org/officeDocument/2006/relationships/hyperlink" Target="https://www.google.co.uk/maps/search/?api=1&amp;query=51.569841,-0.064587" TargetMode="External"/><Relationship Id="rId286" Type="http://schemas.openxmlformats.org/officeDocument/2006/relationships/hyperlink" Target="https://www.google.co.uk/maps/search/?api=1&amp;query=51.559874,-0.103849" TargetMode="External"/><Relationship Id="rId50" Type="http://schemas.openxmlformats.org/officeDocument/2006/relationships/hyperlink" Target="https://www.london.anglican.org/directory/st-mary-hornsey-rise/" TargetMode="External"/><Relationship Id="rId104" Type="http://schemas.openxmlformats.org/officeDocument/2006/relationships/hyperlink" Target="https://en.wikipedia.org/wiki/Stoke_Newington" TargetMode="External"/><Relationship Id="rId125" Type="http://schemas.openxmlformats.org/officeDocument/2006/relationships/hyperlink" Target="https://en.wikipedia.org/wiki/Pentonville" TargetMode="External"/><Relationship Id="rId146" Type="http://schemas.openxmlformats.org/officeDocument/2006/relationships/hyperlink" Target="https://en.wikipedia.org/wiki/St_Andrew,_Stoke_Newington" TargetMode="External"/><Relationship Id="rId167" Type="http://schemas.openxmlformats.org/officeDocument/2006/relationships/hyperlink" Target="https://en.wikipedia.org/wiki/St_Paul%27s_Church,_Shadwell" TargetMode="External"/><Relationship Id="rId188" Type="http://schemas.openxmlformats.org/officeDocument/2006/relationships/hyperlink" Target="https://www.crockford.org.uk/places/13029/the-benefice-of-stoke-newington-st-faith-(st-matthias)-and-all-saints" TargetMode="External"/><Relationship Id="rId311" Type="http://schemas.openxmlformats.org/officeDocument/2006/relationships/hyperlink" Target="https://www.crockford.org.uk/places/12794/the-benefice-of-limehouse-(st-anne)-(st-peter)" TargetMode="External"/><Relationship Id="rId332" Type="http://schemas.openxmlformats.org/officeDocument/2006/relationships/hyperlink" Target="http://www.stolaveschurch.co.uk/" TargetMode="External"/><Relationship Id="rId353" Type="http://schemas.openxmlformats.org/officeDocument/2006/relationships/hyperlink" Target="https://www.tollingtonparish.org.uk/" TargetMode="External"/><Relationship Id="rId374" Type="http://schemas.openxmlformats.org/officeDocument/2006/relationships/hyperlink" Target="http://stlukesmillwall.org/" TargetMode="External"/><Relationship Id="rId71" Type="http://schemas.openxmlformats.org/officeDocument/2006/relationships/hyperlink" Target="https://www.london.anglican.org/directory/st-anne-limehouse/" TargetMode="External"/><Relationship Id="rId92" Type="http://schemas.openxmlformats.org/officeDocument/2006/relationships/hyperlink" Target="https://en.wikipedia.org/wiki/Dalston" TargetMode="External"/><Relationship Id="rId213" Type="http://schemas.openxmlformats.org/officeDocument/2006/relationships/hyperlink" Target="https://www.crockford.org.uk/places/12593/the-benefice-of-finsbury-park-(st-thomas)" TargetMode="External"/><Relationship Id="rId234" Type="http://schemas.openxmlformats.org/officeDocument/2006/relationships/hyperlink" Target="https://barnsburyparish.com/"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peter-de-beauvoir-town/" TargetMode="External"/><Relationship Id="rId255" Type="http://schemas.openxmlformats.org/officeDocument/2006/relationships/hyperlink" Target="https://www.google.co.uk/maps/search/?api=1&amp;query=51.549436,-0.070424" TargetMode="External"/><Relationship Id="rId276" Type="http://schemas.openxmlformats.org/officeDocument/2006/relationships/hyperlink" Target="https://www.google.co.uk/maps/search/?api=1&amp;query=51.536527,-0.096514" TargetMode="External"/><Relationship Id="rId297" Type="http://schemas.openxmlformats.org/officeDocument/2006/relationships/hyperlink" Target="https://www.google.co.uk/maps/search/?api=1&amp;query=51.509994,-0.059872" TargetMode="External"/><Relationship Id="rId40" Type="http://schemas.openxmlformats.org/officeDocument/2006/relationships/hyperlink" Target="https://www.london.anglican.org/directory/st-augustine-highbury-new-park/" TargetMode="External"/><Relationship Id="rId115" Type="http://schemas.openxmlformats.org/officeDocument/2006/relationships/hyperlink" Target="https://en.wikipedia.org/wiki/Highbury_New_Park" TargetMode="External"/><Relationship Id="rId136" Type="http://schemas.openxmlformats.org/officeDocument/2006/relationships/hyperlink" Target="https://en.wikipedia.org/wiki/St_John_on_Bethnal_Green" TargetMode="External"/><Relationship Id="rId157" Type="http://schemas.openxmlformats.org/officeDocument/2006/relationships/hyperlink" Target="https://en.wikipedia.org/wiki/Christ_Church,_Spitalfields" TargetMode="External"/><Relationship Id="rId178" Type="http://schemas.openxmlformats.org/officeDocument/2006/relationships/hyperlink" Target="https://www.crockford.org.uk/places/12633/the-benefice-of-haggerston-(st-chad)" TargetMode="External"/><Relationship Id="rId301" Type="http://schemas.openxmlformats.org/officeDocument/2006/relationships/hyperlink" Target="https://www.google.co.uk/maps/search/?api=1&amp;query=51.52861,-0.017306" TargetMode="External"/><Relationship Id="rId322" Type="http://schemas.openxmlformats.org/officeDocument/2006/relationships/hyperlink" Target="http://www.sjoj.co.uk/" TargetMode="External"/><Relationship Id="rId343" Type="http://schemas.openxmlformats.org/officeDocument/2006/relationships/hyperlink" Target="http://www.standrews.islington.sch.uk/" TargetMode="External"/><Relationship Id="rId364" Type="http://schemas.openxmlformats.org/officeDocument/2006/relationships/hyperlink" Target="http://www.parishofpoplar.org/" TargetMode="External"/><Relationship Id="rId61" Type="http://schemas.openxmlformats.org/officeDocument/2006/relationships/hyperlink" Target="https://www.london.anglican.org/directory/trinity-church-islington/" TargetMode="External"/><Relationship Id="rId82" Type="http://schemas.openxmlformats.org/officeDocument/2006/relationships/hyperlink" Target="https://www.london.anglican.org/directory/st-nicholas-aberfeldy-poplar-team-ministry/" TargetMode="External"/><Relationship Id="rId199" Type="http://schemas.openxmlformats.org/officeDocument/2006/relationships/hyperlink" Target="https://www.crockford.org.uk/places/12698/the-benefice-of-highbury-new-park-(st-augustine)" TargetMode="External"/><Relationship Id="rId203" Type="http://schemas.openxmlformats.org/officeDocument/2006/relationships/hyperlink" Target="https://www.crockford.org.uk/places/12752/the-benefice-of-islington-(st-james-the-apostle)-(st-peter)" TargetMode="External"/><Relationship Id="rId385" Type="http://schemas.openxmlformats.org/officeDocument/2006/relationships/printerSettings" Target="../printerSettings/printerSettings2.bin"/><Relationship Id="rId19" Type="http://schemas.openxmlformats.org/officeDocument/2006/relationships/hyperlink" Target="https://www.london.anglican.org/directory/st-leonard-shoreditch/" TargetMode="External"/><Relationship Id="rId224" Type="http://schemas.openxmlformats.org/officeDocument/2006/relationships/hyperlink" Target="https://www.crockford.org.uk/places/12743/the-benefice-of-isle-of-dogs-(christ-church-and-st-john)-(st-luke)" TargetMode="External"/><Relationship Id="rId245" Type="http://schemas.openxmlformats.org/officeDocument/2006/relationships/hyperlink" Target="https://www.google.co.uk/maps/search/?api=1&amp;query=51.534498,-0.081228" TargetMode="External"/><Relationship Id="rId266" Type="http://schemas.openxmlformats.org/officeDocument/2006/relationships/hyperlink" Target="https://www.google.co.uk/maps/search/?api=1&amp;query=51.535258,-0.116601" TargetMode="External"/><Relationship Id="rId287" Type="http://schemas.openxmlformats.org/officeDocument/2006/relationships/hyperlink" Target="https://www.google.co.uk/maps/search/?api=1&amp;query=51.535938,-0.110871" TargetMode="External"/><Relationship Id="rId30" Type="http://schemas.openxmlformats.org/officeDocument/2006/relationships/hyperlink" Target="https://www.london.anglican.org/directory/st-thomas-clapton-common/" TargetMode="External"/><Relationship Id="rId105" Type="http://schemas.openxmlformats.org/officeDocument/2006/relationships/hyperlink" Target="https://en.wikipedia.org/wiki/Upper_Clapton" TargetMode="External"/><Relationship Id="rId126" Type="http://schemas.openxmlformats.org/officeDocument/2006/relationships/hyperlink" Target="https://en.wikipedia.org/wiki/Canonbury" TargetMode="External"/><Relationship Id="rId147" Type="http://schemas.openxmlformats.org/officeDocument/2006/relationships/hyperlink" Target="https://en.wikipedia.org/wiki/St_John_the_Baptist,_Hoxton" TargetMode="External"/><Relationship Id="rId168" Type="http://schemas.openxmlformats.org/officeDocument/2006/relationships/hyperlink" Target="https://en.wikipedia.org/wiki/St_Peter%27s,_Bethnal_Green" TargetMode="External"/><Relationship Id="rId312" Type="http://schemas.openxmlformats.org/officeDocument/2006/relationships/hyperlink" Target="https://www.google.co.uk/maps/search/?api=1&amp;query=51.507645,-0.023844205" TargetMode="External"/><Relationship Id="rId333" Type="http://schemas.openxmlformats.org/officeDocument/2006/relationships/hyperlink" Target="http://stpaulswesthackney.org/" TargetMode="External"/><Relationship Id="rId354" Type="http://schemas.openxmlformats.org/officeDocument/2006/relationships/hyperlink" Target="http://www.stmaryshornseyrise.org.uk/" TargetMode="External"/><Relationship Id="rId51" Type="http://schemas.openxmlformats.org/officeDocument/2006/relationships/hyperlink" Target="https://www.london.anglican.org/directory/st-mary-islington/" TargetMode="External"/><Relationship Id="rId72" Type="http://schemas.openxmlformats.org/officeDocument/2006/relationships/hyperlink" Target="https://www.london.anglican.org/directory/st-barnabas-bethnal-green/" TargetMode="External"/><Relationship Id="rId93" Type="http://schemas.openxmlformats.org/officeDocument/2006/relationships/hyperlink" Target="https://en.wikipedia.org/wiki/Hoxton" TargetMode="External"/><Relationship Id="rId189" Type="http://schemas.openxmlformats.org/officeDocument/2006/relationships/hyperlink" Target="https://www.crockford.org.uk/places/12984/the-benefice-of-hackney,-south-(st-michael-and-all-angels)-london-fields-with-haggerston-st-paul" TargetMode="External"/><Relationship Id="rId375" Type="http://schemas.openxmlformats.org/officeDocument/2006/relationships/hyperlink" Target="https://www.bowchurch.org.uk/"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532/the-benefice-of-clerkenwell-(st-mark)" TargetMode="External"/><Relationship Id="rId235" Type="http://schemas.openxmlformats.org/officeDocument/2006/relationships/hyperlink" Target="=IFERROR(VLOOKUP($C50,%20DataFromWikipedia!A:T,%2017,%20FALSE),%20%22%22)" TargetMode="External"/><Relationship Id="rId256" Type="http://schemas.openxmlformats.org/officeDocument/2006/relationships/hyperlink" Target="https://www.google.co.uk/maps/search/?api=1&amp;query=51.545324,-0.030726" TargetMode="External"/><Relationship Id="rId277" Type="http://schemas.openxmlformats.org/officeDocument/2006/relationships/hyperlink" Target="https://www.google.co.uk/maps/search/?api=1&amp;query=51.561657,-0.131321" TargetMode="External"/><Relationship Id="rId298" Type="http://schemas.openxmlformats.org/officeDocument/2006/relationships/hyperlink" Target="https://www.google.co.uk/maps/search/?api=1&amp;query=51.531754,-0.048054" TargetMode="External"/><Relationship Id="rId116" Type="http://schemas.openxmlformats.org/officeDocument/2006/relationships/hyperlink" Target="https://en.wikipedia.org/wiki/Finsbury" TargetMode="External"/><Relationship Id="rId137" Type="http://schemas.openxmlformats.org/officeDocument/2006/relationships/hyperlink" Target="https://en.wikipedia.org/wiki/Isle_of_Dogs" TargetMode="External"/><Relationship Id="rId158" Type="http://schemas.openxmlformats.org/officeDocument/2006/relationships/hyperlink" Target="https://en.wikipedia.org/wiki/St_Anne%27s,_Limehouse" TargetMode="External"/><Relationship Id="rId302" Type="http://schemas.openxmlformats.org/officeDocument/2006/relationships/hyperlink" Target="https://www.google.co.uk/maps/search/?api=1&amp;query=51.511173,-0.05064" TargetMode="External"/><Relationship Id="rId323" Type="http://schemas.openxmlformats.org/officeDocument/2006/relationships/hyperlink" Target="https://www.stjohnshoxton.org.uk/" TargetMode="External"/><Relationship Id="rId344" Type="http://schemas.openxmlformats.org/officeDocument/2006/relationships/hyperlink" Target="http://www.staugustine.org.uk/" TargetMode="External"/><Relationship Id="rId20" Type="http://schemas.openxmlformats.org/officeDocument/2006/relationships/hyperlink" Target="https://www.london.anglican.org/directory/st-mark-dalston/" TargetMode="External"/><Relationship Id="rId41" Type="http://schemas.openxmlformats.org/officeDocument/2006/relationships/hyperlink" Target="https://www.london.anglican.org/directory/st-clement-king-square/" TargetMode="External"/><Relationship Id="rId62" Type="http://schemas.openxmlformats.org/officeDocument/2006/relationships/hyperlink" Target="https://www.london.anglican.org/directory/all-hallows-bromley-by-bow/" TargetMode="External"/><Relationship Id="rId83" Type="http://schemas.openxmlformats.org/officeDocument/2006/relationships/hyperlink" Target="https://www.london.anglican.org/directory/st-paul-and-st-mark-old-ford/" TargetMode="External"/><Relationship Id="rId179" Type="http://schemas.openxmlformats.org/officeDocument/2006/relationships/hyperlink" Target="https://www.crockford.org.uk/places/12523/the-benefice-of-clapton-(st-james)" TargetMode="External"/><Relationship Id="rId365" Type="http://schemas.openxmlformats.org/officeDocument/2006/relationships/hyperlink" Target="http://www.parishiod.org.uk/" TargetMode="External"/><Relationship Id="rId190" Type="http://schemas.openxmlformats.org/officeDocument/2006/relationships/hyperlink" Target="https://www.crockford.org.uk/places/13032/the-benefice-of-stoke-newington-common-(st-michael-and-all-angels)" TargetMode="External"/><Relationship Id="rId204" Type="http://schemas.openxmlformats.org/officeDocument/2006/relationships/hyperlink" Target="https://www.crockford.org.uk/places/13074/the-benefice-of-holloway,-upper-(st-john-the-evangelist)" TargetMode="External"/><Relationship Id="rId225" Type="http://schemas.openxmlformats.org/officeDocument/2006/relationships/hyperlink" Target="https://www.crockford.org.uk/places/12488/the-benefice-of-bow-(st-mary)-and-holy-trinity-with-bromley-st-leonard" TargetMode="External"/><Relationship Id="rId246" Type="http://schemas.openxmlformats.org/officeDocument/2006/relationships/hyperlink" Target="https://www.google.co.uk/maps/search/?api=1&amp;query=51.548629,-0.043458629" TargetMode="External"/><Relationship Id="rId267" Type="http://schemas.openxmlformats.org/officeDocument/2006/relationships/hyperlink" Target="https://www.google.co.uk/maps/search/?api=1&amp;query=51.552526,-0.098727" TargetMode="External"/><Relationship Id="rId288" Type="http://schemas.openxmlformats.org/officeDocument/2006/relationships/hyperlink" Target="https://www.google.co.uk/maps/search/?api=1&amp;query=51.530245,-0.10960161" TargetMode="External"/><Relationship Id="rId106" Type="http://schemas.openxmlformats.org/officeDocument/2006/relationships/hyperlink" Target="https://en.wikipedia.org/wiki/South_Hackney" TargetMode="External"/><Relationship Id="rId127" Type="http://schemas.openxmlformats.org/officeDocument/2006/relationships/hyperlink" Target="https://en.wikipedia.org/wiki/Finsbury_Park_(area)" TargetMode="External"/><Relationship Id="rId313" Type="http://schemas.openxmlformats.org/officeDocument/2006/relationships/hyperlink" Target="https://http/www.hackneymarshteam.org.uk" TargetMode="External"/><Relationship Id="rId10" Type="http://schemas.openxmlformats.org/officeDocument/2006/relationships/hyperlink" Target="https://www.london.anglican.org/directory/st-anne-hoxton/" TargetMode="External"/><Relationship Id="rId31" Type="http://schemas.openxmlformats.org/officeDocument/2006/relationships/hyperlink" Target="https://www.london.anglican.org/directory/all-saints-caledonian-road-the-barnsbury-team/" TargetMode="External"/><Relationship Id="rId52" Type="http://schemas.openxmlformats.org/officeDocument/2006/relationships/hyperlink" Target="https://www.london.anglican.org/directory/st-mary-magdalene-academy/" TargetMode="External"/><Relationship Id="rId73" Type="http://schemas.openxmlformats.org/officeDocument/2006/relationships/hyperlink" Target="https://www.london.anglican.org/directory/st-dunstan-all-saints-stepney/" TargetMode="External"/><Relationship Id="rId94" Type="http://schemas.openxmlformats.org/officeDocument/2006/relationships/hyperlink" Target="https://en.wikipedia.org/wiki/Stoke_Newington" TargetMode="External"/><Relationship Id="rId148" Type="http://schemas.openxmlformats.org/officeDocument/2006/relationships/hyperlink" Target="https://en.wikipedia.org/wiki/St_Leonard%27s,_Shoreditch" TargetMode="External"/><Relationship Id="rId169" Type="http://schemas.openxmlformats.org/officeDocument/2006/relationships/hyperlink" Target="https://en.wikipedia.org/wiki/St_Peter%27s,_London_Docks" TargetMode="External"/><Relationship Id="rId334" Type="http://schemas.openxmlformats.org/officeDocument/2006/relationships/hyperlink" Target="http://www.stpeterdebeauvoir.org.uk/" TargetMode="External"/><Relationship Id="rId355" Type="http://schemas.openxmlformats.org/officeDocument/2006/relationships/hyperlink" Target="https://www.stmaryislington.org/" TargetMode="External"/><Relationship Id="rId376" Type="http://schemas.openxmlformats.org/officeDocument/2006/relationships/hyperlink" Target="http://stmaryscablest.blogspot.com/"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s://www.crockford.org.uk/places/12982/the-benefice-of-hackney,-south-(st-john-of-jerusalem)-with-christ-church" TargetMode="External"/><Relationship Id="rId215" Type="http://schemas.openxmlformats.org/officeDocument/2006/relationships/hyperlink" Target="https://www.crockford.org.uk/places/12496/the-benefice-of-bromley-by-bow-(all-hallows)" TargetMode="External"/><Relationship Id="rId236" Type="http://schemas.openxmlformats.org/officeDocument/2006/relationships/hyperlink" Target="https://www.google.co.uk/maps/search/?api=1&amp;query=51.539088,-0.073342" TargetMode="External"/><Relationship Id="rId257" Type="http://schemas.openxmlformats.org/officeDocument/2006/relationships/hyperlink" Target="https://www.google.co.uk/maps/search/?api=1&amp;query=51.560782,-0.08445" TargetMode="External"/><Relationship Id="rId278" Type="http://schemas.openxmlformats.org/officeDocument/2006/relationships/hyperlink" Target="https://www.google.co.uk/maps/search/?api=1&amp;query=51.549097,-0.080931" TargetMode="External"/><Relationship Id="rId303" Type="http://schemas.openxmlformats.org/officeDocument/2006/relationships/hyperlink" Target="https://www.google.co.uk/maps/search/?api=1&amp;query=51.525101,-0.067163"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3.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workbookViewId="0">
      <selection activeCell="P41" sqref="P41"/>
    </sheetView>
  </sheetViews>
  <sheetFormatPr defaultRowHeight="15" x14ac:dyDescent="0.25"/>
  <cols>
    <col min="1" max="1" width="15.7109375" style="5" customWidth="1"/>
    <col min="2" max="14" width="9.140625" style="1"/>
    <col min="15" max="15" width="5" style="1" customWidth="1"/>
    <col min="16" max="16384" width="9.140625" style="1"/>
  </cols>
  <sheetData>
    <row r="1" spans="1:16" s="3" customFormat="1" ht="81" customHeight="1" x14ac:dyDescent="0.25">
      <c r="A1" s="6"/>
      <c r="C1" s="4" t="s">
        <v>75</v>
      </c>
      <c r="N1" s="33" t="s">
        <v>1109</v>
      </c>
      <c r="O1" s="88">
        <v>43980</v>
      </c>
      <c r="P1" s="88"/>
    </row>
    <row r="8" spans="1:16" x14ac:dyDescent="0.25">
      <c r="D8" s="89" t="s">
        <v>1118</v>
      </c>
      <c r="E8" s="90"/>
      <c r="F8" s="90"/>
      <c r="G8" s="90"/>
      <c r="H8" s="90"/>
      <c r="I8" s="90"/>
      <c r="J8" s="90"/>
      <c r="K8" s="90"/>
      <c r="L8" s="90"/>
      <c r="M8" s="90"/>
      <c r="N8" s="91"/>
    </row>
    <row r="9" spans="1:16" x14ac:dyDescent="0.25">
      <c r="A9" s="40"/>
    </row>
    <row r="10" spans="1:16" x14ac:dyDescent="0.25">
      <c r="A10" s="41"/>
      <c r="D10" s="79" t="s">
        <v>1115</v>
      </c>
      <c r="E10" s="92"/>
      <c r="F10" s="92"/>
      <c r="G10" s="92"/>
      <c r="H10" s="92"/>
      <c r="I10" s="92"/>
      <c r="J10" s="92"/>
      <c r="K10" s="92"/>
      <c r="L10" s="92"/>
      <c r="M10" s="92"/>
      <c r="N10" s="93"/>
    </row>
    <row r="11" spans="1:16" x14ac:dyDescent="0.25">
      <c r="D11" s="94"/>
      <c r="E11" s="95"/>
      <c r="F11" s="95"/>
      <c r="G11" s="95"/>
      <c r="H11" s="95"/>
      <c r="I11" s="95"/>
      <c r="J11" s="95"/>
      <c r="K11" s="95"/>
      <c r="L11" s="95"/>
      <c r="M11" s="95"/>
      <c r="N11" s="96"/>
    </row>
    <row r="12" spans="1:16" x14ac:dyDescent="0.25">
      <c r="D12" s="94"/>
      <c r="E12" s="95"/>
      <c r="F12" s="95"/>
      <c r="G12" s="95"/>
      <c r="H12" s="95"/>
      <c r="I12" s="95"/>
      <c r="J12" s="95"/>
      <c r="K12" s="95"/>
      <c r="L12" s="95"/>
      <c r="M12" s="95"/>
      <c r="N12" s="96"/>
    </row>
    <row r="13" spans="1:16" x14ac:dyDescent="0.25">
      <c r="D13" s="94"/>
      <c r="E13" s="95"/>
      <c r="F13" s="95"/>
      <c r="G13" s="95"/>
      <c r="H13" s="95"/>
      <c r="I13" s="95"/>
      <c r="J13" s="95"/>
      <c r="K13" s="95"/>
      <c r="L13" s="95"/>
      <c r="M13" s="95"/>
      <c r="N13" s="96"/>
    </row>
    <row r="14" spans="1:16" x14ac:dyDescent="0.25">
      <c r="D14" s="94"/>
      <c r="E14" s="95"/>
      <c r="F14" s="95"/>
      <c r="G14" s="95"/>
      <c r="H14" s="95"/>
      <c r="I14" s="95"/>
      <c r="J14" s="95"/>
      <c r="K14" s="95"/>
      <c r="L14" s="95"/>
      <c r="M14" s="95"/>
      <c r="N14" s="96"/>
    </row>
    <row r="15" spans="1:16" x14ac:dyDescent="0.25">
      <c r="D15" s="94"/>
      <c r="E15" s="95"/>
      <c r="F15" s="95"/>
      <c r="G15" s="95"/>
      <c r="H15" s="95"/>
      <c r="I15" s="95"/>
      <c r="J15" s="95"/>
      <c r="K15" s="95"/>
      <c r="L15" s="95"/>
      <c r="M15" s="95"/>
      <c r="N15" s="96"/>
    </row>
    <row r="16" spans="1:16" x14ac:dyDescent="0.25">
      <c r="D16" s="94"/>
      <c r="E16" s="95"/>
      <c r="F16" s="95"/>
      <c r="G16" s="95"/>
      <c r="H16" s="95"/>
      <c r="I16" s="95"/>
      <c r="J16" s="95"/>
      <c r="K16" s="95"/>
      <c r="L16" s="95"/>
      <c r="M16" s="95"/>
      <c r="N16" s="96"/>
    </row>
    <row r="17" spans="4:14" x14ac:dyDescent="0.25">
      <c r="D17" s="94"/>
      <c r="E17" s="95"/>
      <c r="F17" s="95"/>
      <c r="G17" s="95"/>
      <c r="H17" s="95"/>
      <c r="I17" s="95"/>
      <c r="J17" s="95"/>
      <c r="K17" s="95"/>
      <c r="L17" s="95"/>
      <c r="M17" s="95"/>
      <c r="N17" s="96"/>
    </row>
    <row r="18" spans="4:14" x14ac:dyDescent="0.25">
      <c r="D18" s="94"/>
      <c r="E18" s="95"/>
      <c r="F18" s="95"/>
      <c r="G18" s="95"/>
      <c r="H18" s="95"/>
      <c r="I18" s="95"/>
      <c r="J18" s="95"/>
      <c r="K18" s="95"/>
      <c r="L18" s="95"/>
      <c r="M18" s="95"/>
      <c r="N18" s="96"/>
    </row>
    <row r="19" spans="4:14" x14ac:dyDescent="0.25">
      <c r="D19" s="94"/>
      <c r="E19" s="95"/>
      <c r="F19" s="95"/>
      <c r="G19" s="95"/>
      <c r="H19" s="95"/>
      <c r="I19" s="95"/>
      <c r="J19" s="95"/>
      <c r="K19" s="95"/>
      <c r="L19" s="95"/>
      <c r="M19" s="95"/>
      <c r="N19" s="96"/>
    </row>
    <row r="20" spans="4:14" x14ac:dyDescent="0.25">
      <c r="D20" s="94"/>
      <c r="E20" s="95"/>
      <c r="F20" s="95"/>
      <c r="G20" s="95"/>
      <c r="H20" s="95"/>
      <c r="I20" s="95"/>
      <c r="J20" s="95"/>
      <c r="K20" s="95"/>
      <c r="L20" s="95"/>
      <c r="M20" s="95"/>
      <c r="N20" s="96"/>
    </row>
    <row r="21" spans="4:14" x14ac:dyDescent="0.25">
      <c r="D21" s="94"/>
      <c r="E21" s="95"/>
      <c r="F21" s="95"/>
      <c r="G21" s="95"/>
      <c r="H21" s="95"/>
      <c r="I21" s="95"/>
      <c r="J21" s="95"/>
      <c r="K21" s="95"/>
      <c r="L21" s="95"/>
      <c r="M21" s="95"/>
      <c r="N21" s="96"/>
    </row>
    <row r="22" spans="4:14" x14ac:dyDescent="0.25">
      <c r="D22" s="94"/>
      <c r="E22" s="95"/>
      <c r="F22" s="95"/>
      <c r="G22" s="95"/>
      <c r="H22" s="95"/>
      <c r="I22" s="95"/>
      <c r="J22" s="95"/>
      <c r="K22" s="95"/>
      <c r="L22" s="95"/>
      <c r="M22" s="95"/>
      <c r="N22" s="96"/>
    </row>
    <row r="23" spans="4:14" x14ac:dyDescent="0.25">
      <c r="D23" s="94"/>
      <c r="E23" s="95"/>
      <c r="F23" s="95"/>
      <c r="G23" s="95"/>
      <c r="H23" s="95"/>
      <c r="I23" s="95"/>
      <c r="J23" s="95"/>
      <c r="K23" s="95"/>
      <c r="L23" s="95"/>
      <c r="M23" s="95"/>
      <c r="N23" s="96"/>
    </row>
    <row r="24" spans="4:14" x14ac:dyDescent="0.25">
      <c r="D24" s="97"/>
      <c r="E24" s="98"/>
      <c r="F24" s="98"/>
      <c r="G24" s="98"/>
      <c r="H24" s="98"/>
      <c r="I24" s="98"/>
      <c r="J24" s="98"/>
      <c r="K24" s="98"/>
      <c r="L24" s="98"/>
      <c r="M24" s="98"/>
      <c r="N24" s="99"/>
    </row>
    <row r="26" spans="4:14" ht="15" customHeight="1" x14ac:dyDescent="0.25">
      <c r="D26" s="79" t="s">
        <v>1126</v>
      </c>
      <c r="E26" s="80"/>
      <c r="F26" s="80"/>
      <c r="G26" s="80"/>
      <c r="H26" s="80"/>
      <c r="I26" s="80"/>
      <c r="J26" s="80"/>
      <c r="K26" s="80"/>
      <c r="L26" s="80"/>
      <c r="M26" s="80"/>
      <c r="N26" s="81"/>
    </row>
    <row r="27" spans="4:14" x14ac:dyDescent="0.25">
      <c r="D27" s="82"/>
      <c r="E27" s="83"/>
      <c r="F27" s="83"/>
      <c r="G27" s="83"/>
      <c r="H27" s="83"/>
      <c r="I27" s="83"/>
      <c r="J27" s="83"/>
      <c r="K27" s="83"/>
      <c r="L27" s="83"/>
      <c r="M27" s="83"/>
      <c r="N27" s="84"/>
    </row>
    <row r="28" spans="4:14" x14ac:dyDescent="0.25">
      <c r="D28" s="82"/>
      <c r="E28" s="83"/>
      <c r="F28" s="83"/>
      <c r="G28" s="83"/>
      <c r="H28" s="83"/>
      <c r="I28" s="83"/>
      <c r="J28" s="83"/>
      <c r="K28" s="83"/>
      <c r="L28" s="83"/>
      <c r="M28" s="83"/>
      <c r="N28" s="84"/>
    </row>
    <row r="29" spans="4:14" x14ac:dyDescent="0.25">
      <c r="D29" s="82"/>
      <c r="E29" s="83"/>
      <c r="F29" s="83"/>
      <c r="G29" s="83"/>
      <c r="H29" s="83"/>
      <c r="I29" s="83"/>
      <c r="J29" s="83"/>
      <c r="K29" s="83"/>
      <c r="L29" s="83"/>
      <c r="M29" s="83"/>
      <c r="N29" s="84"/>
    </row>
    <row r="30" spans="4:14" x14ac:dyDescent="0.25">
      <c r="D30" s="82"/>
      <c r="E30" s="83"/>
      <c r="F30" s="83"/>
      <c r="G30" s="83"/>
      <c r="H30" s="83"/>
      <c r="I30" s="83"/>
      <c r="J30" s="83"/>
      <c r="K30" s="83"/>
      <c r="L30" s="83"/>
      <c r="M30" s="83"/>
      <c r="N30" s="84"/>
    </row>
    <row r="31" spans="4:14" x14ac:dyDescent="0.25">
      <c r="D31" s="82"/>
      <c r="E31" s="83"/>
      <c r="F31" s="83"/>
      <c r="G31" s="83"/>
      <c r="H31" s="83"/>
      <c r="I31" s="83"/>
      <c r="J31" s="83"/>
      <c r="K31" s="83"/>
      <c r="L31" s="83"/>
      <c r="M31" s="83"/>
      <c r="N31" s="84"/>
    </row>
    <row r="32" spans="4:14" x14ac:dyDescent="0.25">
      <c r="D32" s="82"/>
      <c r="E32" s="83"/>
      <c r="F32" s="83"/>
      <c r="G32" s="83"/>
      <c r="H32" s="83"/>
      <c r="I32" s="83"/>
      <c r="J32" s="83"/>
      <c r="K32" s="83"/>
      <c r="L32" s="83"/>
      <c r="M32" s="83"/>
      <c r="N32" s="84"/>
    </row>
    <row r="33" spans="4:14" x14ac:dyDescent="0.25">
      <c r="D33" s="82"/>
      <c r="E33" s="83"/>
      <c r="F33" s="83"/>
      <c r="G33" s="83"/>
      <c r="H33" s="83"/>
      <c r="I33" s="83"/>
      <c r="J33" s="83"/>
      <c r="K33" s="83"/>
      <c r="L33" s="83"/>
      <c r="M33" s="83"/>
      <c r="N33" s="84"/>
    </row>
    <row r="34" spans="4:14" x14ac:dyDescent="0.25">
      <c r="D34" s="82"/>
      <c r="E34" s="83"/>
      <c r="F34" s="83"/>
      <c r="G34" s="83"/>
      <c r="H34" s="83"/>
      <c r="I34" s="83"/>
      <c r="J34" s="83"/>
      <c r="K34" s="83"/>
      <c r="L34" s="83"/>
      <c r="M34" s="83"/>
      <c r="N34" s="84"/>
    </row>
    <row r="35" spans="4:14" x14ac:dyDescent="0.25">
      <c r="D35" s="82"/>
      <c r="E35" s="83"/>
      <c r="F35" s="83"/>
      <c r="G35" s="83"/>
      <c r="H35" s="83"/>
      <c r="I35" s="83"/>
      <c r="J35" s="83"/>
      <c r="K35" s="83"/>
      <c r="L35" s="83"/>
      <c r="M35" s="83"/>
      <c r="N35" s="84"/>
    </row>
    <row r="36" spans="4:14" x14ac:dyDescent="0.25">
      <c r="D36" s="82"/>
      <c r="E36" s="83"/>
      <c r="F36" s="83"/>
      <c r="G36" s="83"/>
      <c r="H36" s="83"/>
      <c r="I36" s="83"/>
      <c r="J36" s="83"/>
      <c r="K36" s="83"/>
      <c r="L36" s="83"/>
      <c r="M36" s="83"/>
      <c r="N36" s="84"/>
    </row>
    <row r="37" spans="4:14" x14ac:dyDescent="0.25">
      <c r="D37" s="82"/>
      <c r="E37" s="83"/>
      <c r="F37" s="83"/>
      <c r="G37" s="83"/>
      <c r="H37" s="83"/>
      <c r="I37" s="83"/>
      <c r="J37" s="83"/>
      <c r="K37" s="83"/>
      <c r="L37" s="83"/>
      <c r="M37" s="83"/>
      <c r="N37" s="84"/>
    </row>
    <row r="38" spans="4:14" x14ac:dyDescent="0.25">
      <c r="D38" s="82"/>
      <c r="E38" s="83"/>
      <c r="F38" s="83"/>
      <c r="G38" s="83"/>
      <c r="H38" s="83"/>
      <c r="I38" s="83"/>
      <c r="J38" s="83"/>
      <c r="K38" s="83"/>
      <c r="L38" s="83"/>
      <c r="M38" s="83"/>
      <c r="N38" s="84"/>
    </row>
    <row r="39" spans="4:14" x14ac:dyDescent="0.25">
      <c r="D39" s="82"/>
      <c r="E39" s="83"/>
      <c r="F39" s="83"/>
      <c r="G39" s="83"/>
      <c r="H39" s="83"/>
      <c r="I39" s="83"/>
      <c r="J39" s="83"/>
      <c r="K39" s="83"/>
      <c r="L39" s="83"/>
      <c r="M39" s="83"/>
      <c r="N39" s="84"/>
    </row>
    <row r="40" spans="4:14" x14ac:dyDescent="0.25">
      <c r="D40" s="82"/>
      <c r="E40" s="83"/>
      <c r="F40" s="83"/>
      <c r="G40" s="83"/>
      <c r="H40" s="83"/>
      <c r="I40" s="83"/>
      <c r="J40" s="83"/>
      <c r="K40" s="83"/>
      <c r="L40" s="83"/>
      <c r="M40" s="83"/>
      <c r="N40" s="84"/>
    </row>
    <row r="41" spans="4:14" x14ac:dyDescent="0.25">
      <c r="D41" s="82"/>
      <c r="E41" s="83"/>
      <c r="F41" s="83"/>
      <c r="G41" s="83"/>
      <c r="H41" s="83"/>
      <c r="I41" s="83"/>
      <c r="J41" s="83"/>
      <c r="K41" s="83"/>
      <c r="L41" s="83"/>
      <c r="M41" s="83"/>
      <c r="N41" s="84"/>
    </row>
    <row r="42" spans="4:14" x14ac:dyDescent="0.25">
      <c r="D42" s="82"/>
      <c r="E42" s="83"/>
      <c r="F42" s="83"/>
      <c r="G42" s="83"/>
      <c r="H42" s="83"/>
      <c r="I42" s="83"/>
      <c r="J42" s="83"/>
      <c r="K42" s="83"/>
      <c r="L42" s="83"/>
      <c r="M42" s="83"/>
      <c r="N42" s="84"/>
    </row>
    <row r="43" spans="4:14" x14ac:dyDescent="0.25">
      <c r="D43" s="82"/>
      <c r="E43" s="83"/>
      <c r="F43" s="83"/>
      <c r="G43" s="83"/>
      <c r="H43" s="83"/>
      <c r="I43" s="83"/>
      <c r="J43" s="83"/>
      <c r="K43" s="83"/>
      <c r="L43" s="83"/>
      <c r="M43" s="83"/>
      <c r="N43" s="84"/>
    </row>
    <row r="44" spans="4:14" x14ac:dyDescent="0.25">
      <c r="D44" s="82"/>
      <c r="E44" s="83"/>
      <c r="F44" s="83"/>
      <c r="G44" s="83"/>
      <c r="H44" s="83"/>
      <c r="I44" s="83"/>
      <c r="J44" s="83"/>
      <c r="K44" s="83"/>
      <c r="L44" s="83"/>
      <c r="M44" s="83"/>
      <c r="N44" s="84"/>
    </row>
    <row r="45" spans="4:14" x14ac:dyDescent="0.25">
      <c r="D45" s="82"/>
      <c r="E45" s="83"/>
      <c r="F45" s="83"/>
      <c r="G45" s="83"/>
      <c r="H45" s="83"/>
      <c r="I45" s="83"/>
      <c r="J45" s="83"/>
      <c r="K45" s="83"/>
      <c r="L45" s="83"/>
      <c r="M45" s="83"/>
      <c r="N45" s="84"/>
    </row>
    <row r="46" spans="4:14" x14ac:dyDescent="0.25">
      <c r="D46" s="82"/>
      <c r="E46" s="83"/>
      <c r="F46" s="83"/>
      <c r="G46" s="83"/>
      <c r="H46" s="83"/>
      <c r="I46" s="83"/>
      <c r="J46" s="83"/>
      <c r="K46" s="83"/>
      <c r="L46" s="83"/>
      <c r="M46" s="83"/>
      <c r="N46" s="84"/>
    </row>
    <row r="47" spans="4:14" x14ac:dyDescent="0.25">
      <c r="D47" s="82"/>
      <c r="E47" s="83"/>
      <c r="F47" s="83"/>
      <c r="G47" s="83"/>
      <c r="H47" s="83"/>
      <c r="I47" s="83"/>
      <c r="J47" s="83"/>
      <c r="K47" s="83"/>
      <c r="L47" s="83"/>
      <c r="M47" s="83"/>
      <c r="N47" s="84"/>
    </row>
    <row r="48" spans="4:14" x14ac:dyDescent="0.25">
      <c r="D48" s="82"/>
      <c r="E48" s="83"/>
      <c r="F48" s="83"/>
      <c r="G48" s="83"/>
      <c r="H48" s="83"/>
      <c r="I48" s="83"/>
      <c r="J48" s="83"/>
      <c r="K48" s="83"/>
      <c r="L48" s="83"/>
      <c r="M48" s="83"/>
      <c r="N48" s="84"/>
    </row>
    <row r="49" spans="4:14" x14ac:dyDescent="0.25">
      <c r="D49" s="82"/>
      <c r="E49" s="83"/>
      <c r="F49" s="83"/>
      <c r="G49" s="83"/>
      <c r="H49" s="83"/>
      <c r="I49" s="83"/>
      <c r="J49" s="83"/>
      <c r="K49" s="83"/>
      <c r="L49" s="83"/>
      <c r="M49" s="83"/>
      <c r="N49" s="84"/>
    </row>
    <row r="50" spans="4:14" x14ac:dyDescent="0.25">
      <c r="D50" s="82"/>
      <c r="E50" s="83"/>
      <c r="F50" s="83"/>
      <c r="G50" s="83"/>
      <c r="H50" s="83"/>
      <c r="I50" s="83"/>
      <c r="J50" s="83"/>
      <c r="K50" s="83"/>
      <c r="L50" s="83"/>
      <c r="M50" s="83"/>
      <c r="N50" s="84"/>
    </row>
    <row r="51" spans="4:14" x14ac:dyDescent="0.25">
      <c r="D51" s="82"/>
      <c r="E51" s="83"/>
      <c r="F51" s="83"/>
      <c r="G51" s="83"/>
      <c r="H51" s="83"/>
      <c r="I51" s="83"/>
      <c r="J51" s="83"/>
      <c r="K51" s="83"/>
      <c r="L51" s="83"/>
      <c r="M51" s="83"/>
      <c r="N51" s="84"/>
    </row>
    <row r="52" spans="4:14" x14ac:dyDescent="0.25">
      <c r="D52" s="82"/>
      <c r="E52" s="83"/>
      <c r="F52" s="83"/>
      <c r="G52" s="83"/>
      <c r="H52" s="83"/>
      <c r="I52" s="83"/>
      <c r="J52" s="83"/>
      <c r="K52" s="83"/>
      <c r="L52" s="83"/>
      <c r="M52" s="83"/>
      <c r="N52" s="84"/>
    </row>
    <row r="53" spans="4:14" x14ac:dyDescent="0.25">
      <c r="D53" s="82"/>
      <c r="E53" s="83"/>
      <c r="F53" s="83"/>
      <c r="G53" s="83"/>
      <c r="H53" s="83"/>
      <c r="I53" s="83"/>
      <c r="J53" s="83"/>
      <c r="K53" s="83"/>
      <c r="L53" s="83"/>
      <c r="M53" s="83"/>
      <c r="N53" s="84"/>
    </row>
    <row r="54" spans="4:14" x14ac:dyDescent="0.25">
      <c r="D54" s="82"/>
      <c r="E54" s="83"/>
      <c r="F54" s="83"/>
      <c r="G54" s="83"/>
      <c r="H54" s="83"/>
      <c r="I54" s="83"/>
      <c r="J54" s="83"/>
      <c r="K54" s="83"/>
      <c r="L54" s="83"/>
      <c r="M54" s="83"/>
      <c r="N54" s="84"/>
    </row>
    <row r="55" spans="4:14" x14ac:dyDescent="0.25">
      <c r="D55" s="82"/>
      <c r="E55" s="83"/>
      <c r="F55" s="83"/>
      <c r="G55" s="83"/>
      <c r="H55" s="83"/>
      <c r="I55" s="83"/>
      <c r="J55" s="83"/>
      <c r="K55" s="83"/>
      <c r="L55" s="83"/>
      <c r="M55" s="83"/>
      <c r="N55" s="84"/>
    </row>
    <row r="56" spans="4:14" x14ac:dyDescent="0.25">
      <c r="D56" s="82"/>
      <c r="E56" s="83"/>
      <c r="F56" s="83"/>
      <c r="G56" s="83"/>
      <c r="H56" s="83"/>
      <c r="I56" s="83"/>
      <c r="J56" s="83"/>
      <c r="K56" s="83"/>
      <c r="L56" s="83"/>
      <c r="M56" s="83"/>
      <c r="N56" s="84"/>
    </row>
    <row r="57" spans="4:14" x14ac:dyDescent="0.25">
      <c r="D57" s="85"/>
      <c r="E57" s="86"/>
      <c r="F57" s="86"/>
      <c r="G57" s="86"/>
      <c r="H57" s="86"/>
      <c r="I57" s="86"/>
      <c r="J57" s="86"/>
      <c r="K57" s="86"/>
      <c r="L57" s="86"/>
      <c r="M57" s="86"/>
      <c r="N57" s="87"/>
    </row>
    <row r="59" spans="4:14" ht="15" customHeight="1" x14ac:dyDescent="0.25">
      <c r="D59" s="79" t="s">
        <v>1116</v>
      </c>
      <c r="E59" s="80"/>
      <c r="F59" s="80"/>
      <c r="G59" s="80"/>
      <c r="H59" s="80"/>
      <c r="I59" s="80"/>
      <c r="J59" s="80"/>
      <c r="K59" s="80"/>
      <c r="L59" s="80"/>
      <c r="M59" s="80"/>
      <c r="N59" s="81"/>
    </row>
    <row r="60" spans="4:14" x14ac:dyDescent="0.25">
      <c r="D60" s="82"/>
      <c r="E60" s="83"/>
      <c r="F60" s="83"/>
      <c r="G60" s="83"/>
      <c r="H60" s="83"/>
      <c r="I60" s="83"/>
      <c r="J60" s="83"/>
      <c r="K60" s="83"/>
      <c r="L60" s="83"/>
      <c r="M60" s="83"/>
      <c r="N60" s="84"/>
    </row>
    <row r="61" spans="4:14" x14ac:dyDescent="0.25">
      <c r="D61" s="82"/>
      <c r="E61" s="83"/>
      <c r="F61" s="83"/>
      <c r="G61" s="83"/>
      <c r="H61" s="83"/>
      <c r="I61" s="83"/>
      <c r="J61" s="83"/>
      <c r="K61" s="83"/>
      <c r="L61" s="83"/>
      <c r="M61" s="83"/>
      <c r="N61" s="84"/>
    </row>
    <row r="62" spans="4:14" x14ac:dyDescent="0.25">
      <c r="D62" s="82"/>
      <c r="E62" s="83"/>
      <c r="F62" s="83"/>
      <c r="G62" s="83"/>
      <c r="H62" s="83"/>
      <c r="I62" s="83"/>
      <c r="J62" s="83"/>
      <c r="K62" s="83"/>
      <c r="L62" s="83"/>
      <c r="M62" s="83"/>
      <c r="N62" s="84"/>
    </row>
    <row r="63" spans="4:14" x14ac:dyDescent="0.25">
      <c r="D63" s="82"/>
      <c r="E63" s="83"/>
      <c r="F63" s="83"/>
      <c r="G63" s="83"/>
      <c r="H63" s="83"/>
      <c r="I63" s="83"/>
      <c r="J63" s="83"/>
      <c r="K63" s="83"/>
      <c r="L63" s="83"/>
      <c r="M63" s="83"/>
      <c r="N63" s="84"/>
    </row>
    <row r="64" spans="4:14" x14ac:dyDescent="0.25">
      <c r="D64" s="82"/>
      <c r="E64" s="83"/>
      <c r="F64" s="83"/>
      <c r="G64" s="83"/>
      <c r="H64" s="83"/>
      <c r="I64" s="83"/>
      <c r="J64" s="83"/>
      <c r="K64" s="83"/>
      <c r="L64" s="83"/>
      <c r="M64" s="83"/>
      <c r="N64" s="84"/>
    </row>
    <row r="65" spans="4:14" x14ac:dyDescent="0.25">
      <c r="D65" s="82"/>
      <c r="E65" s="83"/>
      <c r="F65" s="83"/>
      <c r="G65" s="83"/>
      <c r="H65" s="83"/>
      <c r="I65" s="83"/>
      <c r="J65" s="83"/>
      <c r="K65" s="83"/>
      <c r="L65" s="83"/>
      <c r="M65" s="83"/>
      <c r="N65" s="84"/>
    </row>
    <row r="66" spans="4:14" x14ac:dyDescent="0.25">
      <c r="D66" s="82"/>
      <c r="E66" s="83"/>
      <c r="F66" s="83"/>
      <c r="G66" s="83"/>
      <c r="H66" s="83"/>
      <c r="I66" s="83"/>
      <c r="J66" s="83"/>
      <c r="K66" s="83"/>
      <c r="L66" s="83"/>
      <c r="M66" s="83"/>
      <c r="N66" s="84"/>
    </row>
    <row r="67" spans="4:14" x14ac:dyDescent="0.25">
      <c r="D67" s="82"/>
      <c r="E67" s="83"/>
      <c r="F67" s="83"/>
      <c r="G67" s="83"/>
      <c r="H67" s="83"/>
      <c r="I67" s="83"/>
      <c r="J67" s="83"/>
      <c r="K67" s="83"/>
      <c r="L67" s="83"/>
      <c r="M67" s="83"/>
      <c r="N67" s="84"/>
    </row>
    <row r="68" spans="4:14" x14ac:dyDescent="0.25">
      <c r="D68" s="82"/>
      <c r="E68" s="83"/>
      <c r="F68" s="83"/>
      <c r="G68" s="83"/>
      <c r="H68" s="83"/>
      <c r="I68" s="83"/>
      <c r="J68" s="83"/>
      <c r="K68" s="83"/>
      <c r="L68" s="83"/>
      <c r="M68" s="83"/>
      <c r="N68" s="84"/>
    </row>
    <row r="69" spans="4:14" x14ac:dyDescent="0.25">
      <c r="D69" s="82"/>
      <c r="E69" s="83"/>
      <c r="F69" s="83"/>
      <c r="G69" s="83"/>
      <c r="H69" s="83"/>
      <c r="I69" s="83"/>
      <c r="J69" s="83"/>
      <c r="K69" s="83"/>
      <c r="L69" s="83"/>
      <c r="M69" s="83"/>
      <c r="N69" s="84"/>
    </row>
    <row r="70" spans="4:14" x14ac:dyDescent="0.25">
      <c r="D70" s="82"/>
      <c r="E70" s="83"/>
      <c r="F70" s="83"/>
      <c r="G70" s="83"/>
      <c r="H70" s="83"/>
      <c r="I70" s="83"/>
      <c r="J70" s="83"/>
      <c r="K70" s="83"/>
      <c r="L70" s="83"/>
      <c r="M70" s="83"/>
      <c r="N70" s="84"/>
    </row>
    <row r="71" spans="4:14" x14ac:dyDescent="0.25">
      <c r="D71" s="82"/>
      <c r="E71" s="83"/>
      <c r="F71" s="83"/>
      <c r="G71" s="83"/>
      <c r="H71" s="83"/>
      <c r="I71" s="83"/>
      <c r="J71" s="83"/>
      <c r="K71" s="83"/>
      <c r="L71" s="83"/>
      <c r="M71" s="83"/>
      <c r="N71" s="84"/>
    </row>
    <row r="72" spans="4:14" x14ac:dyDescent="0.25">
      <c r="D72" s="82"/>
      <c r="E72" s="83"/>
      <c r="F72" s="83"/>
      <c r="G72" s="83"/>
      <c r="H72" s="83"/>
      <c r="I72" s="83"/>
      <c r="J72" s="83"/>
      <c r="K72" s="83"/>
      <c r="L72" s="83"/>
      <c r="M72" s="83"/>
      <c r="N72" s="84"/>
    </row>
    <row r="73" spans="4:14" x14ac:dyDescent="0.25">
      <c r="D73" s="82"/>
      <c r="E73" s="83"/>
      <c r="F73" s="83"/>
      <c r="G73" s="83"/>
      <c r="H73" s="83"/>
      <c r="I73" s="83"/>
      <c r="J73" s="83"/>
      <c r="K73" s="83"/>
      <c r="L73" s="83"/>
      <c r="M73" s="83"/>
      <c r="N73" s="84"/>
    </row>
    <row r="74" spans="4:14" x14ac:dyDescent="0.25">
      <c r="D74" s="82"/>
      <c r="E74" s="83"/>
      <c r="F74" s="83"/>
      <c r="G74" s="83"/>
      <c r="H74" s="83"/>
      <c r="I74" s="83"/>
      <c r="J74" s="83"/>
      <c r="K74" s="83"/>
      <c r="L74" s="83"/>
      <c r="M74" s="83"/>
      <c r="N74" s="84"/>
    </row>
    <row r="75" spans="4:14" x14ac:dyDescent="0.25">
      <c r="D75" s="82"/>
      <c r="E75" s="83"/>
      <c r="F75" s="83"/>
      <c r="G75" s="83"/>
      <c r="H75" s="83"/>
      <c r="I75" s="83"/>
      <c r="J75" s="83"/>
      <c r="K75" s="83"/>
      <c r="L75" s="83"/>
      <c r="M75" s="83"/>
      <c r="N75" s="84"/>
    </row>
    <row r="76" spans="4:14" x14ac:dyDescent="0.25">
      <c r="D76" s="85"/>
      <c r="E76" s="86"/>
      <c r="F76" s="86"/>
      <c r="G76" s="86"/>
      <c r="H76" s="86"/>
      <c r="I76" s="86"/>
      <c r="J76" s="86"/>
      <c r="K76" s="86"/>
      <c r="L76" s="86"/>
      <c r="M76" s="86"/>
      <c r="N76" s="87"/>
    </row>
    <row r="78" spans="4:14" x14ac:dyDescent="0.25">
      <c r="D78" s="79" t="s">
        <v>1117</v>
      </c>
      <c r="E78" s="80"/>
      <c r="F78" s="80"/>
      <c r="G78" s="80"/>
      <c r="H78" s="80"/>
      <c r="I78" s="80"/>
      <c r="J78" s="80"/>
      <c r="K78" s="80"/>
      <c r="L78" s="80"/>
      <c r="M78" s="80"/>
      <c r="N78" s="81"/>
    </row>
    <row r="79" spans="4:14" x14ac:dyDescent="0.25">
      <c r="D79" s="82"/>
      <c r="E79" s="83"/>
      <c r="F79" s="83"/>
      <c r="G79" s="83"/>
      <c r="H79" s="83"/>
      <c r="I79" s="83"/>
      <c r="J79" s="83"/>
      <c r="K79" s="83"/>
      <c r="L79" s="83"/>
      <c r="M79" s="83"/>
      <c r="N79" s="84"/>
    </row>
    <row r="80" spans="4:14" x14ac:dyDescent="0.25">
      <c r="D80" s="82"/>
      <c r="E80" s="83"/>
      <c r="F80" s="83"/>
      <c r="G80" s="83"/>
      <c r="H80" s="83"/>
      <c r="I80" s="83"/>
      <c r="J80" s="83"/>
      <c r="K80" s="83"/>
      <c r="L80" s="83"/>
      <c r="M80" s="83"/>
      <c r="N80" s="84"/>
    </row>
    <row r="81" spans="4:14" x14ac:dyDescent="0.25">
      <c r="D81" s="82"/>
      <c r="E81" s="83"/>
      <c r="F81" s="83"/>
      <c r="G81" s="83"/>
      <c r="H81" s="83"/>
      <c r="I81" s="83"/>
      <c r="J81" s="83"/>
      <c r="K81" s="83"/>
      <c r="L81" s="83"/>
      <c r="M81" s="83"/>
      <c r="N81" s="84"/>
    </row>
    <row r="82" spans="4:14" x14ac:dyDescent="0.25">
      <c r="D82" s="82"/>
      <c r="E82" s="83"/>
      <c r="F82" s="83"/>
      <c r="G82" s="83"/>
      <c r="H82" s="83"/>
      <c r="I82" s="83"/>
      <c r="J82" s="83"/>
      <c r="K82" s="83"/>
      <c r="L82" s="83"/>
      <c r="M82" s="83"/>
      <c r="N82" s="84"/>
    </row>
    <row r="83" spans="4:14" x14ac:dyDescent="0.25">
      <c r="D83" s="82"/>
      <c r="E83" s="83"/>
      <c r="F83" s="83"/>
      <c r="G83" s="83"/>
      <c r="H83" s="83"/>
      <c r="I83" s="83"/>
      <c r="J83" s="83"/>
      <c r="K83" s="83"/>
      <c r="L83" s="83"/>
      <c r="M83" s="83"/>
      <c r="N83" s="84"/>
    </row>
    <row r="84" spans="4:14" x14ac:dyDescent="0.25">
      <c r="D84" s="82"/>
      <c r="E84" s="83"/>
      <c r="F84" s="83"/>
      <c r="G84" s="83"/>
      <c r="H84" s="83"/>
      <c r="I84" s="83"/>
      <c r="J84" s="83"/>
      <c r="K84" s="83"/>
      <c r="L84" s="83"/>
      <c r="M84" s="83"/>
      <c r="N84" s="84"/>
    </row>
    <row r="85" spans="4:14" x14ac:dyDescent="0.25">
      <c r="D85" s="82"/>
      <c r="E85" s="83"/>
      <c r="F85" s="83"/>
      <c r="G85" s="83"/>
      <c r="H85" s="83"/>
      <c r="I85" s="83"/>
      <c r="J85" s="83"/>
      <c r="K85" s="83"/>
      <c r="L85" s="83"/>
      <c r="M85" s="83"/>
      <c r="N85" s="84"/>
    </row>
    <row r="86" spans="4:14" x14ac:dyDescent="0.25">
      <c r="D86" s="85"/>
      <c r="E86" s="86"/>
      <c r="F86" s="86"/>
      <c r="G86" s="86"/>
      <c r="H86" s="86"/>
      <c r="I86" s="86"/>
      <c r="J86" s="86"/>
      <c r="K86" s="86"/>
      <c r="L86" s="86"/>
      <c r="M86" s="86"/>
      <c r="N86" s="87"/>
    </row>
  </sheetData>
  <mergeCells count="6">
    <mergeCell ref="D78:N86"/>
    <mergeCell ref="O1:P1"/>
    <mergeCell ref="D8:N8"/>
    <mergeCell ref="D10:N24"/>
    <mergeCell ref="D59:N76"/>
    <mergeCell ref="D26:N5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S90"/>
  <sheetViews>
    <sheetView workbookViewId="0">
      <pane xSplit="4" ySplit="1" topLeftCell="E2" activePane="bottomRight" state="frozen"/>
      <selection pane="topRight" activeCell="C1" sqref="C1"/>
      <selection pane="bottomLeft" activeCell="A2" sqref="A2"/>
      <selection pane="bottomRight" activeCell="D1" sqref="D1:D1048576"/>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1.42578125" style="19" bestFit="1" customWidth="1"/>
    <col min="7" max="7" width="10.5703125" style="19" bestFit="1" customWidth="1"/>
    <col min="8" max="8" width="13.42578125" style="19" bestFit="1" customWidth="1"/>
    <col min="9" max="9" width="2.85546875" style="19" customWidth="1"/>
    <col min="10" max="10" width="14.42578125" style="48" bestFit="1" customWidth="1"/>
    <col min="11" max="11" width="14.28515625" style="19" bestFit="1" customWidth="1"/>
    <col min="12" max="12" width="24" style="19" bestFit="1" customWidth="1"/>
    <col min="13" max="13" width="2.85546875" style="19" customWidth="1"/>
    <col min="14" max="14" width="34.7109375" style="19" bestFit="1" customWidth="1"/>
    <col min="15" max="15" width="30.85546875" style="19" bestFit="1" customWidth="1"/>
    <col min="16" max="16" width="64.42578125" style="25" bestFit="1" customWidth="1"/>
    <col min="17" max="17" width="2.85546875" style="19" customWidth="1"/>
    <col min="18" max="18" width="30.28515625" style="19" bestFit="1" customWidth="1"/>
    <col min="19" max="19" width="74.7109375" style="19" bestFit="1" customWidth="1"/>
    <col min="20" max="20" width="2.85546875" style="19" customWidth="1"/>
    <col min="21" max="21" width="42.85546875" style="25" bestFit="1" customWidth="1"/>
    <col min="22" max="22" width="34.28515625" style="25" bestFit="1" customWidth="1"/>
    <col min="23" max="23" width="58.140625" style="25" bestFit="1" customWidth="1"/>
    <col min="24" max="24" width="68.85546875" style="25" bestFit="1" customWidth="1"/>
    <col min="25" max="25" width="132.85546875" style="25" bestFit="1" customWidth="1"/>
    <col min="26" max="26" width="132.85546875" style="25" customWidth="1"/>
    <col min="27" max="27" width="2.85546875" style="19" customWidth="1"/>
    <col min="28" max="28" width="24.5703125" style="19" bestFit="1" customWidth="1"/>
    <col min="29" max="29" width="27.5703125" style="19" bestFit="1" customWidth="1"/>
    <col min="30" max="30" width="27.5703125" style="19" customWidth="1"/>
    <col min="31" max="31" width="2.85546875" style="19" customWidth="1"/>
    <col min="32" max="32" width="5.85546875" style="19" bestFit="1" customWidth="1"/>
    <col min="33" max="33" width="17.140625" style="19" bestFit="1" customWidth="1"/>
    <col min="34" max="34" width="26.5703125" style="19" bestFit="1" customWidth="1"/>
    <col min="35" max="35" width="17.140625" style="19" customWidth="1"/>
    <col min="36" max="36" width="2.85546875" style="19" customWidth="1"/>
    <col min="37" max="37" width="23.7109375" style="19" bestFit="1" customWidth="1"/>
    <col min="38" max="38" width="25.28515625" style="19" bestFit="1" customWidth="1"/>
    <col min="39" max="39" width="24.140625" style="19" bestFit="1" customWidth="1"/>
    <col min="40" max="40" width="25.7109375" style="19" bestFit="1" customWidth="1"/>
    <col min="42" max="42" width="2.85546875" style="19" customWidth="1"/>
    <col min="43" max="43" width="11.5703125" style="19" bestFit="1" customWidth="1"/>
    <col min="44" max="44" width="2.85546875" style="19" customWidth="1"/>
    <col min="45" max="45" width="50.7109375" style="19" customWidth="1"/>
    <col min="46" max="16384" width="13.85546875" style="19"/>
  </cols>
  <sheetData>
    <row r="1" spans="1:45" s="21" customFormat="1" x14ac:dyDescent="0.25">
      <c r="A1" s="22" t="s">
        <v>466</v>
      </c>
      <c r="B1" s="22" t="s">
        <v>467</v>
      </c>
      <c r="C1" s="21" t="s">
        <v>214</v>
      </c>
      <c r="D1" s="21" t="s">
        <v>27</v>
      </c>
      <c r="E1" s="35"/>
      <c r="F1" s="23" t="s">
        <v>204</v>
      </c>
      <c r="G1" s="23" t="s">
        <v>202</v>
      </c>
      <c r="H1" s="23" t="s">
        <v>203</v>
      </c>
      <c r="I1" s="35"/>
      <c r="J1" s="49" t="s">
        <v>72</v>
      </c>
      <c r="K1" s="34" t="s">
        <v>73</v>
      </c>
      <c r="L1" s="34" t="s">
        <v>74</v>
      </c>
      <c r="M1" s="35"/>
      <c r="N1" s="34" t="s">
        <v>468</v>
      </c>
      <c r="O1" s="34" t="s">
        <v>469</v>
      </c>
      <c r="P1" s="34" t="s">
        <v>470</v>
      </c>
      <c r="Q1" s="35"/>
      <c r="R1" s="37" t="s">
        <v>1103</v>
      </c>
      <c r="S1" s="37" t="s">
        <v>1102</v>
      </c>
      <c r="T1" s="35"/>
      <c r="U1" s="34" t="s">
        <v>28</v>
      </c>
      <c r="V1" s="37" t="s">
        <v>1104</v>
      </c>
      <c r="W1" s="38" t="s">
        <v>108</v>
      </c>
      <c r="X1" s="39" t="s">
        <v>76</v>
      </c>
      <c r="Y1" s="39" t="s">
        <v>1106</v>
      </c>
      <c r="Z1" s="50" t="s">
        <v>1123</v>
      </c>
      <c r="AA1" s="35"/>
      <c r="AB1" s="34" t="s">
        <v>1107</v>
      </c>
      <c r="AC1" s="36" t="s">
        <v>1114</v>
      </c>
      <c r="AD1" s="73" t="s">
        <v>1137</v>
      </c>
      <c r="AE1" s="35"/>
      <c r="AF1" s="54" t="s">
        <v>1127</v>
      </c>
      <c r="AG1" s="54" t="s">
        <v>1128</v>
      </c>
      <c r="AH1" s="73" t="s">
        <v>1191</v>
      </c>
      <c r="AI1" s="54" t="s">
        <v>1135</v>
      </c>
      <c r="AJ1" s="35"/>
      <c r="AK1" s="34" t="s">
        <v>1112</v>
      </c>
      <c r="AL1" s="34" t="s">
        <v>1113</v>
      </c>
      <c r="AM1" s="36" t="s">
        <v>1110</v>
      </c>
      <c r="AN1" s="36" t="s">
        <v>1111</v>
      </c>
      <c r="AP1" s="35"/>
      <c r="AQ1" s="23" t="s">
        <v>1124</v>
      </c>
      <c r="AR1" s="35"/>
      <c r="AS1" s="34" t="s">
        <v>872</v>
      </c>
    </row>
    <row r="2" spans="1:45" x14ac:dyDescent="0.25">
      <c r="A2" s="19" t="s">
        <v>485</v>
      </c>
      <c r="B2" s="26" t="s">
        <v>291</v>
      </c>
      <c r="C2" s="19" t="s">
        <v>29</v>
      </c>
      <c r="D2" s="19" t="s">
        <v>26</v>
      </c>
      <c r="F2" s="19" t="str">
        <f>SUBSTITUTE(IF("" &lt;&gt; AB2, AB2, AC2), ")", "")</f>
        <v>E8 4EZ</v>
      </c>
      <c r="G2" s="19">
        <f>IF(0 = IF("" = AK2, AM2, AK2), "", IF("" = AK2, AM2, AK2))</f>
        <v>51.538626000000001</v>
      </c>
      <c r="H2" s="19">
        <f>IF(0 = IF("" = AL2, AN2, AL2), "", IF("" = AL2, AN2, AL2))</f>
        <v>-7.0954411999999994E-2</v>
      </c>
      <c r="J2" s="19">
        <v>230</v>
      </c>
      <c r="P2" s="19"/>
      <c r="R2" s="19" t="s">
        <v>77</v>
      </c>
      <c r="S2" s="19" t="s">
        <v>77</v>
      </c>
      <c r="U2" s="19"/>
      <c r="V2" s="19" t="s">
        <v>77</v>
      </c>
      <c r="W2" s="19" t="s">
        <v>77</v>
      </c>
      <c r="X2" s="25" t="s">
        <v>77</v>
      </c>
      <c r="Y2" s="25" t="s">
        <v>77</v>
      </c>
      <c r="Z2" s="26" t="str">
        <f t="shared" ref="Z2:Z33" si="0">IF("" = G2, "", SUBSTITUTE(SUBSTITUTE(GoogleStreetViewLinkFormat, "$lat$", G2), "$long$", H2))</f>
        <v>https://www.google.co.uk/maps/search/?api=1&amp;query=51.538626,-0.070954412</v>
      </c>
      <c r="AB2" s="19" t="s">
        <v>272</v>
      </c>
      <c r="AC2" s="19" t="s">
        <v>77</v>
      </c>
      <c r="AD2" s="19" t="str">
        <f>IFERROR(VLOOKUP(A2, FromAndy!A:E, 4, FALSE), "")</f>
        <v/>
      </c>
      <c r="AF2" s="19">
        <v>0</v>
      </c>
      <c r="AG2" s="19" t="s">
        <v>1134</v>
      </c>
      <c r="AH2" s="19" t="s">
        <v>1192</v>
      </c>
      <c r="AM2" s="19">
        <v>51.538626000000001</v>
      </c>
      <c r="AN2" s="19">
        <v>-7.0954411999999994E-2</v>
      </c>
      <c r="AO2" s="19"/>
      <c r="AQ2" s="19">
        <f>ROW() - 2</f>
        <v>0</v>
      </c>
      <c r="AS2" s="19" t="s">
        <v>874</v>
      </c>
    </row>
    <row r="3" spans="1:45" x14ac:dyDescent="0.25">
      <c r="A3" s="19" t="s">
        <v>491</v>
      </c>
      <c r="B3" s="26" t="s">
        <v>295</v>
      </c>
      <c r="C3" s="19" t="s">
        <v>29</v>
      </c>
      <c r="D3" s="19" t="s">
        <v>490</v>
      </c>
      <c r="F3" s="19" t="str">
        <f t="shared" ref="F3:F66" si="1">SUBSTITUTE(IF("" &lt;&gt; AB3, AB3, AC3), ")", "")</f>
        <v>E5 0AJ</v>
      </c>
      <c r="G3" s="19">
        <f t="shared" ref="G3:G66" si="2">IF(0 = IF("" = AK3, AM3, AK3), "", IF("" = AK3, AM3, AK3))</f>
        <v>51.555081000000001</v>
      </c>
      <c r="H3" s="19">
        <f t="shared" ref="H3:H66" si="3">IF(0 = IF("" = AL3, AN3, AL3), "", IF("" = AL3, AN3, AL3))</f>
        <v>-4.1003534000000001E-2</v>
      </c>
      <c r="J3" s="19">
        <v>33</v>
      </c>
      <c r="P3" s="19"/>
      <c r="R3" s="19" t="s">
        <v>77</v>
      </c>
      <c r="S3" s="19" t="s">
        <v>77</v>
      </c>
      <c r="U3" s="20" t="s">
        <v>876</v>
      </c>
      <c r="V3" s="19" t="s">
        <v>77</v>
      </c>
      <c r="W3" s="19" t="s">
        <v>77</v>
      </c>
      <c r="X3" s="25" t="s">
        <v>77</v>
      </c>
      <c r="Y3" s="25" t="s">
        <v>77</v>
      </c>
      <c r="Z3" s="26" t="str">
        <f t="shared" si="0"/>
        <v>https://www.google.co.uk/maps/search/?api=1&amp;query=51.555081,-0.041003534</v>
      </c>
      <c r="AB3" s="19" t="s">
        <v>221</v>
      </c>
      <c r="AC3" s="19" t="s">
        <v>77</v>
      </c>
      <c r="AD3" s="19" t="str">
        <f>IFERROR(VLOOKUP(A3, FromAndy!A:E, 4, FALSE), "")</f>
        <v/>
      </c>
      <c r="AF3" s="19">
        <v>0</v>
      </c>
      <c r="AG3" s="19" t="s">
        <v>1134</v>
      </c>
      <c r="AH3" s="19" t="str">
        <f>IFERROR(VLOOKUP(A3, FromAndy!A:E, 3, FALSE), "")</f>
        <v/>
      </c>
      <c r="AM3" s="19">
        <v>51.555081000000001</v>
      </c>
      <c r="AN3" s="19">
        <v>-4.1003534000000001E-2</v>
      </c>
      <c r="AO3" s="19"/>
      <c r="AQ3" s="19">
        <f t="shared" ref="AQ3:AQ66" si="4">ROW() - 2</f>
        <v>1</v>
      </c>
      <c r="AS3" s="19" t="s">
        <v>877</v>
      </c>
    </row>
    <row r="4" spans="1:45" x14ac:dyDescent="0.25">
      <c r="A4" s="19" t="s">
        <v>491</v>
      </c>
      <c r="B4" s="26" t="s">
        <v>296</v>
      </c>
      <c r="C4" s="19" t="s">
        <v>29</v>
      </c>
      <c r="D4" s="19" t="s">
        <v>495</v>
      </c>
      <c r="F4" s="19" t="str">
        <f t="shared" si="1"/>
        <v>E9 5QB</v>
      </c>
      <c r="G4" s="19">
        <f t="shared" si="2"/>
        <v>51.550069000000001</v>
      </c>
      <c r="H4" s="19">
        <f t="shared" si="3"/>
        <v>-3.4872372999999998E-2</v>
      </c>
      <c r="J4" s="19">
        <v>26</v>
      </c>
      <c r="P4" s="19"/>
      <c r="R4" s="19" t="s">
        <v>77</v>
      </c>
      <c r="S4" s="19" t="s">
        <v>77</v>
      </c>
      <c r="U4" s="20" t="s">
        <v>880</v>
      </c>
      <c r="V4" s="19" t="s">
        <v>77</v>
      </c>
      <c r="W4" s="19" t="s">
        <v>77</v>
      </c>
      <c r="X4" s="25" t="s">
        <v>77</v>
      </c>
      <c r="Y4" s="25" t="s">
        <v>77</v>
      </c>
      <c r="Z4" s="26" t="str">
        <f t="shared" si="0"/>
        <v>https://www.google.co.uk/maps/search/?api=1&amp;query=51.550069,-0.034872373</v>
      </c>
      <c r="AB4" s="19" t="s">
        <v>879</v>
      </c>
      <c r="AC4" s="19" t="s">
        <v>77</v>
      </c>
      <c r="AD4" s="19" t="str">
        <f>IFERROR(VLOOKUP(A4, FromAndy!A:E, 4, FALSE), "")</f>
        <v/>
      </c>
      <c r="AF4" s="19">
        <v>0</v>
      </c>
      <c r="AG4" s="19" t="s">
        <v>1134</v>
      </c>
      <c r="AH4" s="19" t="str">
        <f>IFERROR(VLOOKUP(A4, FromAndy!A:E, 3, FALSE), "")</f>
        <v/>
      </c>
      <c r="AM4" s="19">
        <v>51.550069000000001</v>
      </c>
      <c r="AN4" s="19">
        <v>-3.4872372999999998E-2</v>
      </c>
      <c r="AO4" s="19"/>
      <c r="AQ4" s="19">
        <f t="shared" si="4"/>
        <v>2</v>
      </c>
      <c r="AS4" s="19" t="s">
        <v>881</v>
      </c>
    </row>
    <row r="5" spans="1:45" x14ac:dyDescent="0.25">
      <c r="A5" s="19" t="s">
        <v>555</v>
      </c>
      <c r="B5" s="26" t="s">
        <v>332</v>
      </c>
      <c r="C5" s="19" t="s">
        <v>29</v>
      </c>
      <c r="D5" s="19" t="s">
        <v>17</v>
      </c>
      <c r="F5" s="19" t="str">
        <f t="shared" si="1"/>
        <v>N1 5LF</v>
      </c>
      <c r="G5" s="19">
        <f t="shared" si="2"/>
        <v>51.533785000000002</v>
      </c>
      <c r="H5" s="19">
        <f t="shared" si="3"/>
        <v>-8.2290278999999994E-2</v>
      </c>
      <c r="J5" s="19"/>
      <c r="P5" s="19"/>
      <c r="R5" s="19">
        <v>5588</v>
      </c>
      <c r="S5" s="19" t="s">
        <v>16</v>
      </c>
      <c r="U5" s="20" t="s">
        <v>883</v>
      </c>
      <c r="V5" s="19" t="s">
        <v>77</v>
      </c>
      <c r="W5" s="26" t="s">
        <v>117</v>
      </c>
      <c r="X5" s="25">
        <v>0</v>
      </c>
      <c r="Y5" s="26" t="s">
        <v>159</v>
      </c>
      <c r="Z5" s="26" t="str">
        <f t="shared" si="0"/>
        <v>https://www.google.co.uk/maps/search/?api=1&amp;query=51.533785,-0.082290279</v>
      </c>
      <c r="AC5" s="19" t="s">
        <v>226</v>
      </c>
      <c r="AD5" s="19" t="str">
        <f>IFERROR(VLOOKUP(A5, FromAndy!A:E, 4, FALSE), "")</f>
        <v>BMO</v>
      </c>
      <c r="AF5" s="19">
        <v>0</v>
      </c>
      <c r="AG5" s="19" t="s">
        <v>1131</v>
      </c>
      <c r="AH5" s="77" t="str">
        <f>IFERROR(VLOOKUP(A5, FromAndy!A:E, 3, FALSE), "")</f>
        <v>E</v>
      </c>
      <c r="AM5" s="19">
        <v>51.533785000000002</v>
      </c>
      <c r="AN5" s="19">
        <v>-8.2290278999999994E-2</v>
      </c>
      <c r="AO5" s="19"/>
      <c r="AQ5" s="19">
        <f t="shared" si="4"/>
        <v>3</v>
      </c>
    </row>
    <row r="6" spans="1:45" x14ac:dyDescent="0.25">
      <c r="A6" s="19" t="s">
        <v>482</v>
      </c>
      <c r="B6" s="26" t="s">
        <v>289</v>
      </c>
      <c r="C6" s="19" t="s">
        <v>29</v>
      </c>
      <c r="D6" s="19" t="s">
        <v>290</v>
      </c>
      <c r="F6" s="19" t="str">
        <f t="shared" si="1"/>
        <v>E8 3DY</v>
      </c>
      <c r="G6" s="19">
        <f t="shared" si="2"/>
        <v>51.545293999999998</v>
      </c>
      <c r="H6" s="19">
        <f t="shared" si="3"/>
        <v>-7.3383817000000004E-2</v>
      </c>
      <c r="J6" s="19">
        <v>230</v>
      </c>
      <c r="P6" s="19"/>
      <c r="R6" s="19">
        <v>8749</v>
      </c>
      <c r="S6" s="19" t="s">
        <v>4</v>
      </c>
      <c r="U6" s="19"/>
      <c r="V6" s="19" t="s">
        <v>77</v>
      </c>
      <c r="W6" s="26" t="s">
        <v>111</v>
      </c>
      <c r="X6" s="25">
        <v>0</v>
      </c>
      <c r="Y6" s="26" t="s">
        <v>149</v>
      </c>
      <c r="Z6" s="26" t="str">
        <f t="shared" si="0"/>
        <v>https://www.google.co.uk/maps/search/?api=1&amp;query=51.545294,-0.073383817</v>
      </c>
      <c r="AB6" s="19" t="s">
        <v>885</v>
      </c>
      <c r="AC6" s="19" t="s">
        <v>271</v>
      </c>
      <c r="AD6" s="19" t="str">
        <f>IFERROR(VLOOKUP(A6, FromAndy!A:E, 4, FALSE), "")</f>
        <v/>
      </c>
      <c r="AF6" s="19">
        <v>0</v>
      </c>
      <c r="AG6" s="19" t="s">
        <v>1134</v>
      </c>
      <c r="AH6" s="19" t="str">
        <f>IFERROR(VLOOKUP(A6, FromAndy!A:E, 3, FALSE), "")</f>
        <v/>
      </c>
      <c r="AM6" s="19">
        <v>51.545293999999998</v>
      </c>
      <c r="AN6" s="19">
        <v>-7.3383817000000004E-2</v>
      </c>
      <c r="AO6" s="19"/>
      <c r="AQ6" s="19">
        <f t="shared" si="4"/>
        <v>4</v>
      </c>
      <c r="AS6" s="19" t="s">
        <v>874</v>
      </c>
    </row>
    <row r="7" spans="1:45" x14ac:dyDescent="0.25">
      <c r="A7" s="19" t="s">
        <v>479</v>
      </c>
      <c r="B7" s="26" t="s">
        <v>287</v>
      </c>
      <c r="C7" s="19" t="s">
        <v>29</v>
      </c>
      <c r="D7" s="19" t="s">
        <v>288</v>
      </c>
      <c r="F7" s="19" t="str">
        <f t="shared" si="1"/>
        <v>E8 4EP</v>
      </c>
      <c r="G7" s="19">
        <f t="shared" si="2"/>
        <v>51.540160999999998</v>
      </c>
      <c r="H7" s="19">
        <f t="shared" si="3"/>
        <v>-7.4624451999999994E-2</v>
      </c>
      <c r="J7" s="19">
        <v>230</v>
      </c>
      <c r="P7" s="19"/>
      <c r="R7" s="19">
        <v>8749</v>
      </c>
      <c r="S7" s="19" t="s">
        <v>4</v>
      </c>
      <c r="U7" s="19"/>
      <c r="V7" s="19" t="s">
        <v>77</v>
      </c>
      <c r="W7" s="26" t="s">
        <v>111</v>
      </c>
      <c r="X7" s="25">
        <v>0</v>
      </c>
      <c r="Y7" s="26" t="s">
        <v>149</v>
      </c>
      <c r="Z7" s="26" t="str">
        <f t="shared" si="0"/>
        <v>https://www.google.co.uk/maps/search/?api=1&amp;query=51.540161,-0.074624452</v>
      </c>
      <c r="AB7" s="19" t="s">
        <v>271</v>
      </c>
      <c r="AC7" s="19" t="s">
        <v>272</v>
      </c>
      <c r="AD7" s="19" t="str">
        <f>IFERROR(VLOOKUP(A7, FromAndy!A:E, 4, FALSE), "")</f>
        <v>E8 3DY E8 4EP</v>
      </c>
      <c r="AF7" s="19">
        <v>0</v>
      </c>
      <c r="AG7" s="19" t="s">
        <v>1134</v>
      </c>
      <c r="AH7" s="19">
        <f>IFERROR(VLOOKUP(A7, FromAndy!A:E, 3, FALSE), "")</f>
        <v>0</v>
      </c>
      <c r="AM7" s="19">
        <v>51.540160999999998</v>
      </c>
      <c r="AN7" s="19">
        <v>-7.4624451999999994E-2</v>
      </c>
      <c r="AO7" s="19"/>
      <c r="AQ7" s="19">
        <f t="shared" si="4"/>
        <v>5</v>
      </c>
      <c r="AS7" s="19" t="s">
        <v>874</v>
      </c>
    </row>
    <row r="8" spans="1:45" x14ac:dyDescent="0.25">
      <c r="A8" s="19" t="s">
        <v>536</v>
      </c>
      <c r="B8" s="26" t="s">
        <v>320</v>
      </c>
      <c r="C8" s="19" t="s">
        <v>29</v>
      </c>
      <c r="D8" s="19" t="s">
        <v>321</v>
      </c>
      <c r="F8" s="19" t="str">
        <f t="shared" si="1"/>
        <v>N1 7QG</v>
      </c>
      <c r="G8" s="19">
        <f t="shared" si="2"/>
        <v>51.530898000000001</v>
      </c>
      <c r="H8" s="19">
        <f t="shared" si="3"/>
        <v>-9.1624536000000006E-2</v>
      </c>
      <c r="J8" s="19">
        <v>53</v>
      </c>
      <c r="P8" s="19"/>
      <c r="R8" s="19">
        <v>7400</v>
      </c>
      <c r="S8" s="19" t="s">
        <v>15</v>
      </c>
      <c r="U8" s="19"/>
      <c r="V8" s="19" t="s">
        <v>77</v>
      </c>
      <c r="W8" s="26" t="s">
        <v>117</v>
      </c>
      <c r="X8" s="25">
        <v>0</v>
      </c>
      <c r="Y8" s="26" t="s">
        <v>158</v>
      </c>
      <c r="Z8" s="26" t="str">
        <f t="shared" si="0"/>
        <v>https://www.google.co.uk/maps/search/?api=1&amp;query=51.530898,-0.091624536</v>
      </c>
      <c r="AB8" s="19" t="s">
        <v>274</v>
      </c>
      <c r="AC8" s="19" t="s">
        <v>274</v>
      </c>
      <c r="AD8" s="19" t="str">
        <f>IFERROR(VLOOKUP(A8, FromAndy!A:E, 4, FALSE), "")</f>
        <v>N1 7QG</v>
      </c>
      <c r="AF8" s="19">
        <v>0</v>
      </c>
      <c r="AG8" s="19" t="s">
        <v>1132</v>
      </c>
      <c r="AH8" s="77" t="str">
        <f>IFERROR(VLOOKUP(A8, FromAndy!A:E, 3, FALSE), "")</f>
        <v>H</v>
      </c>
      <c r="AM8" s="19">
        <v>51.530898000000001</v>
      </c>
      <c r="AN8" s="19">
        <v>-9.1624536000000006E-2</v>
      </c>
      <c r="AO8" s="19"/>
      <c r="AQ8" s="19">
        <f t="shared" si="4"/>
        <v>6</v>
      </c>
      <c r="AS8" s="19" t="s">
        <v>886</v>
      </c>
    </row>
    <row r="9" spans="1:45" x14ac:dyDescent="0.25">
      <c r="A9" s="19" t="s">
        <v>471</v>
      </c>
      <c r="B9" s="26" t="s">
        <v>281</v>
      </c>
      <c r="C9" s="19" t="s">
        <v>29</v>
      </c>
      <c r="D9" s="19" t="s">
        <v>282</v>
      </c>
      <c r="F9" s="19" t="str">
        <f t="shared" si="1"/>
        <v>E5 0PD</v>
      </c>
      <c r="G9" s="19">
        <f t="shared" si="2"/>
        <v>51.550592000000002</v>
      </c>
      <c r="H9" s="19">
        <f t="shared" si="3"/>
        <v>-5.2230775E-2</v>
      </c>
      <c r="J9" s="19">
        <v>251</v>
      </c>
      <c r="P9" s="19"/>
      <c r="R9" s="19" t="s">
        <v>77</v>
      </c>
      <c r="S9" s="19" t="s">
        <v>77</v>
      </c>
      <c r="U9" s="20" t="s">
        <v>889</v>
      </c>
      <c r="V9" s="19" t="s">
        <v>77</v>
      </c>
      <c r="W9" s="19" t="s">
        <v>77</v>
      </c>
      <c r="X9" s="25" t="s">
        <v>77</v>
      </c>
      <c r="Y9" s="25" t="s">
        <v>77</v>
      </c>
      <c r="Z9" s="26" t="str">
        <f t="shared" si="0"/>
        <v>https://www.google.co.uk/maps/search/?api=1&amp;query=51.550592,-0.052230775</v>
      </c>
      <c r="AB9" s="19" t="s">
        <v>888</v>
      </c>
      <c r="AC9" s="19" t="s">
        <v>77</v>
      </c>
      <c r="AD9" s="19" t="str">
        <f>IFERROR(VLOOKUP(A9, FromAndy!A:E, 4, FALSE), "")</f>
        <v>E5 0PD</v>
      </c>
      <c r="AF9" s="19">
        <v>0</v>
      </c>
      <c r="AG9" s="19" t="s">
        <v>1131</v>
      </c>
      <c r="AH9" s="77" t="str">
        <f>IFERROR(VLOOKUP(A9, FromAndy!A:E, 3, FALSE), "")</f>
        <v>E</v>
      </c>
      <c r="AM9" s="19">
        <v>51.550592000000002</v>
      </c>
      <c r="AN9" s="19">
        <v>-5.2230775E-2</v>
      </c>
      <c r="AO9" s="19"/>
      <c r="AQ9" s="19">
        <f t="shared" si="4"/>
        <v>7</v>
      </c>
      <c r="AS9" s="19" t="s">
        <v>890</v>
      </c>
    </row>
    <row r="10" spans="1:45" x14ac:dyDescent="0.25">
      <c r="A10" s="19" t="s">
        <v>515</v>
      </c>
      <c r="B10" s="26" t="s">
        <v>307</v>
      </c>
      <c r="C10" s="19" t="s">
        <v>29</v>
      </c>
      <c r="D10" s="19" t="s">
        <v>308</v>
      </c>
      <c r="F10" s="19" t="str">
        <f t="shared" si="1"/>
        <v>N16 5DU</v>
      </c>
      <c r="G10" s="19">
        <f t="shared" si="2"/>
        <v>51.571281999999997</v>
      </c>
      <c r="H10" s="19">
        <f t="shared" si="3"/>
        <v>-8.1044531000000003E-2</v>
      </c>
      <c r="J10" s="19">
        <v>47</v>
      </c>
      <c r="P10" s="19"/>
      <c r="R10" s="19">
        <v>13073</v>
      </c>
      <c r="S10" s="19" t="s">
        <v>21</v>
      </c>
      <c r="U10" s="20" t="s">
        <v>893</v>
      </c>
      <c r="V10" s="19" t="s">
        <v>77</v>
      </c>
      <c r="W10" s="26" t="s">
        <v>119</v>
      </c>
      <c r="X10" s="26" t="s">
        <v>86</v>
      </c>
      <c r="Y10" s="26" t="s">
        <v>163</v>
      </c>
      <c r="Z10" s="26" t="str">
        <f t="shared" si="0"/>
        <v>https://www.google.co.uk/maps/search/?api=1&amp;query=51.571282,-0.081044531</v>
      </c>
      <c r="AB10" s="19" t="s">
        <v>275</v>
      </c>
      <c r="AC10" s="19" t="s">
        <v>275</v>
      </c>
      <c r="AD10" s="19" t="str">
        <f>IFERROR(VLOOKUP(A10, FromAndy!A:E, 4, FALSE), "")</f>
        <v>N16 5DU</v>
      </c>
      <c r="AF10" s="19">
        <v>0</v>
      </c>
      <c r="AG10" s="19" t="s">
        <v>1134</v>
      </c>
      <c r="AH10" s="19">
        <f>IFERROR(VLOOKUP(A10, FromAndy!A:E, 3, FALSE), "")</f>
        <v>0</v>
      </c>
      <c r="AM10" s="19">
        <v>51.571281999999997</v>
      </c>
      <c r="AN10" s="19">
        <v>-8.1044531000000003E-2</v>
      </c>
      <c r="AO10" s="19"/>
      <c r="AQ10" s="19">
        <f t="shared" si="4"/>
        <v>8</v>
      </c>
      <c r="AS10" s="19" t="s">
        <v>894</v>
      </c>
    </row>
    <row r="11" spans="1:45" x14ac:dyDescent="0.25">
      <c r="A11" s="19" t="s">
        <v>533</v>
      </c>
      <c r="B11" s="26" t="s">
        <v>318</v>
      </c>
      <c r="C11" s="19" t="s">
        <v>29</v>
      </c>
      <c r="D11" s="19" t="s">
        <v>319</v>
      </c>
      <c r="F11" s="19" t="str">
        <f t="shared" si="1"/>
        <v>N1 5LF</v>
      </c>
      <c r="G11" s="19">
        <f t="shared" si="2"/>
        <v>51.533785000000002</v>
      </c>
      <c r="H11" s="19">
        <f t="shared" si="3"/>
        <v>-8.2290278999999994E-2</v>
      </c>
      <c r="J11" s="19">
        <v>95</v>
      </c>
      <c r="P11" s="19"/>
      <c r="R11" s="19">
        <v>5588</v>
      </c>
      <c r="S11" s="19" t="s">
        <v>16</v>
      </c>
      <c r="U11" s="20" t="s">
        <v>896</v>
      </c>
      <c r="V11" s="19" t="s">
        <v>77</v>
      </c>
      <c r="W11" s="26" t="s">
        <v>117</v>
      </c>
      <c r="X11" s="25">
        <v>0</v>
      </c>
      <c r="Y11" s="26" t="s">
        <v>159</v>
      </c>
      <c r="Z11" s="26" t="str">
        <f t="shared" si="0"/>
        <v>https://www.google.co.uk/maps/search/?api=1&amp;query=51.533785,-0.082290279</v>
      </c>
      <c r="AB11" s="19" t="s">
        <v>226</v>
      </c>
      <c r="AC11" s="19" t="s">
        <v>226</v>
      </c>
      <c r="AD11" s="19" t="str">
        <f>IFERROR(VLOOKUP(A11, FromAndy!A:E, 4, FALSE), "")</f>
        <v>N1 5LF</v>
      </c>
      <c r="AF11" s="19">
        <v>0</v>
      </c>
      <c r="AG11" s="19" t="s">
        <v>1132</v>
      </c>
      <c r="AH11" s="77" t="str">
        <f>IFERROR(VLOOKUP(A11, FromAndy!A:E, 3, FALSE), "")</f>
        <v>H</v>
      </c>
      <c r="AM11" s="19">
        <v>51.533785000000002</v>
      </c>
      <c r="AN11" s="19">
        <v>-8.2290278999999994E-2</v>
      </c>
      <c r="AO11" s="19"/>
      <c r="AQ11" s="19">
        <f t="shared" si="4"/>
        <v>9</v>
      </c>
      <c r="AS11" s="19" t="s">
        <v>897</v>
      </c>
    </row>
    <row r="12" spans="1:45" x14ac:dyDescent="0.25">
      <c r="A12" s="19" t="s">
        <v>552</v>
      </c>
      <c r="B12" s="26" t="s">
        <v>330</v>
      </c>
      <c r="C12" s="19" t="s">
        <v>29</v>
      </c>
      <c r="D12" s="19" t="s">
        <v>331</v>
      </c>
      <c r="F12" s="19" t="str">
        <f t="shared" si="1"/>
        <v>E9 6DL</v>
      </c>
      <c r="G12" s="19">
        <f t="shared" si="2"/>
        <v>51.548628999999998</v>
      </c>
      <c r="H12" s="19">
        <f t="shared" si="3"/>
        <v>-4.3458628999999999E-2</v>
      </c>
      <c r="J12" s="19"/>
      <c r="P12" s="19"/>
      <c r="R12" s="19">
        <v>16959</v>
      </c>
      <c r="S12" s="19" t="s">
        <v>7</v>
      </c>
      <c r="U12" s="20" t="s">
        <v>899</v>
      </c>
      <c r="V12" s="19" t="s">
        <v>77</v>
      </c>
      <c r="W12" s="19"/>
      <c r="X12" s="25">
        <v>0</v>
      </c>
      <c r="Y12" s="26" t="s">
        <v>152</v>
      </c>
      <c r="Z12" s="26" t="str">
        <f t="shared" si="0"/>
        <v>https://www.google.co.uk/maps/search/?api=1&amp;query=51.548629,-0.043458629</v>
      </c>
      <c r="AC12" s="19" t="s">
        <v>220</v>
      </c>
      <c r="AD12" s="19" t="str">
        <f>IFERROR(VLOOKUP(A12, FromAndy!A:E, 4, FALSE), "")</f>
        <v>BMO</v>
      </c>
      <c r="AF12" s="19">
        <v>0</v>
      </c>
      <c r="AG12" s="19" t="s">
        <v>1134</v>
      </c>
      <c r="AH12" s="19">
        <f>IFERROR(VLOOKUP(A12, FromAndy!A:E, 3, FALSE), "")</f>
        <v>0</v>
      </c>
      <c r="AM12" s="19">
        <v>51.548628999999998</v>
      </c>
      <c r="AN12" s="19">
        <v>-4.3458628999999999E-2</v>
      </c>
      <c r="AO12" s="19"/>
      <c r="AQ12" s="19">
        <f t="shared" si="4"/>
        <v>10</v>
      </c>
    </row>
    <row r="13" spans="1:45" x14ac:dyDescent="0.25">
      <c r="A13" s="19" t="s">
        <v>487</v>
      </c>
      <c r="B13" s="26" t="s">
        <v>294</v>
      </c>
      <c r="C13" s="19" t="s">
        <v>29</v>
      </c>
      <c r="D13" s="19" t="s">
        <v>8</v>
      </c>
      <c r="F13" s="19" t="str">
        <f t="shared" si="1"/>
        <v>E9 6DL</v>
      </c>
      <c r="G13" s="19">
        <f t="shared" si="2"/>
        <v>51.548628999999998</v>
      </c>
      <c r="H13" s="19">
        <f t="shared" si="3"/>
        <v>-4.3458628999999999E-2</v>
      </c>
      <c r="J13" s="19">
        <v>115</v>
      </c>
      <c r="P13" s="19"/>
      <c r="R13" s="19" t="s">
        <v>77</v>
      </c>
      <c r="S13" s="19" t="s">
        <v>77</v>
      </c>
      <c r="U13" s="19"/>
      <c r="V13" s="19" t="s">
        <v>77</v>
      </c>
      <c r="W13" s="19" t="s">
        <v>77</v>
      </c>
      <c r="X13" s="25" t="s">
        <v>77</v>
      </c>
      <c r="Y13" s="25" t="s">
        <v>77</v>
      </c>
      <c r="Z13" s="26" t="str">
        <f t="shared" si="0"/>
        <v>https://www.google.co.uk/maps/search/?api=1&amp;query=51.548629,-0.043458629</v>
      </c>
      <c r="AB13" s="19" t="s">
        <v>220</v>
      </c>
      <c r="AC13" s="19" t="s">
        <v>77</v>
      </c>
      <c r="AD13" s="19">
        <f>IFERROR(VLOOKUP(A13, FromAndy!A:E, 4, FALSE), "")</f>
        <v>0</v>
      </c>
      <c r="AF13" s="19">
        <v>0</v>
      </c>
      <c r="AG13" s="19" t="s">
        <v>1134</v>
      </c>
      <c r="AH13" s="19" t="str">
        <f>IFERROR(VLOOKUP(A13, FromAndy!A:E, 3, FALSE), "")</f>
        <v>E</v>
      </c>
      <c r="AM13" s="19">
        <v>51.548628999999998</v>
      </c>
      <c r="AN13" s="19">
        <v>-4.3458628999999999E-2</v>
      </c>
      <c r="AO13" s="19"/>
      <c r="AQ13" s="19">
        <f t="shared" si="4"/>
        <v>11</v>
      </c>
      <c r="AS13" s="19" t="s">
        <v>877</v>
      </c>
    </row>
    <row r="14" spans="1:45" x14ac:dyDescent="0.25">
      <c r="A14" s="19" t="s">
        <v>546</v>
      </c>
      <c r="B14" s="26" t="s">
        <v>326</v>
      </c>
      <c r="C14" s="19" t="s">
        <v>29</v>
      </c>
      <c r="D14" s="19" t="s">
        <v>327</v>
      </c>
      <c r="F14" s="19" t="str">
        <f t="shared" si="1"/>
        <v>N15 6AA</v>
      </c>
      <c r="G14" s="19">
        <f t="shared" si="2"/>
        <v>51.576082</v>
      </c>
      <c r="H14" s="19">
        <f t="shared" si="3"/>
        <v>-7.1071856000000003E-2</v>
      </c>
      <c r="J14" s="19">
        <v>95</v>
      </c>
      <c r="P14" s="19"/>
      <c r="R14" s="19">
        <v>9666</v>
      </c>
      <c r="S14" s="19" t="s">
        <v>20</v>
      </c>
      <c r="U14" s="20" t="s">
        <v>900</v>
      </c>
      <c r="V14" s="19" t="s">
        <v>77</v>
      </c>
      <c r="W14" s="26" t="s">
        <v>110</v>
      </c>
      <c r="X14" s="25">
        <v>0</v>
      </c>
      <c r="Y14" s="26" t="s">
        <v>162</v>
      </c>
      <c r="Z14" s="26" t="str">
        <f t="shared" si="0"/>
        <v>https://www.google.co.uk/maps/search/?api=1&amp;query=51.576082,-0.071071856</v>
      </c>
      <c r="AB14" s="19" t="s">
        <v>229</v>
      </c>
      <c r="AC14" s="19" t="s">
        <v>229</v>
      </c>
      <c r="AD14" s="19" t="str">
        <f>IFERROR(VLOOKUP(A14, FromAndy!A:E, 4, FALSE), "")</f>
        <v>N15 6AA</v>
      </c>
      <c r="AF14" s="19">
        <v>0</v>
      </c>
      <c r="AG14" s="19" t="s">
        <v>1132</v>
      </c>
      <c r="AH14" s="77" t="str">
        <f>IFERROR(VLOOKUP(A14, FromAndy!A:E, 3, FALSE), "")</f>
        <v>H</v>
      </c>
      <c r="AM14" s="19">
        <v>51.576082</v>
      </c>
      <c r="AN14" s="19">
        <v>-7.1071856000000003E-2</v>
      </c>
      <c r="AO14" s="19"/>
      <c r="AQ14" s="19">
        <f t="shared" si="4"/>
        <v>12</v>
      </c>
      <c r="AS14" s="19" t="s">
        <v>901</v>
      </c>
    </row>
    <row r="15" spans="1:45" x14ac:dyDescent="0.25">
      <c r="A15" s="19" t="s">
        <v>542</v>
      </c>
      <c r="B15" s="26" t="s">
        <v>324</v>
      </c>
      <c r="C15" s="19" t="s">
        <v>29</v>
      </c>
      <c r="D15" s="19" t="s">
        <v>325</v>
      </c>
      <c r="F15" s="19" t="str">
        <f t="shared" si="1"/>
        <v>E2 8JR</v>
      </c>
      <c r="G15" s="19">
        <f t="shared" si="2"/>
        <v>51.531711999999999</v>
      </c>
      <c r="H15" s="19">
        <f t="shared" si="3"/>
        <v>-7.0987219000000004E-2</v>
      </c>
      <c r="J15" s="19">
        <v>73</v>
      </c>
      <c r="P15" s="19"/>
      <c r="R15" s="19">
        <v>6262</v>
      </c>
      <c r="S15" s="19" t="s">
        <v>14</v>
      </c>
      <c r="U15" s="19"/>
      <c r="V15" s="19" t="s">
        <v>77</v>
      </c>
      <c r="W15" s="26" t="s">
        <v>116</v>
      </c>
      <c r="X15" s="25">
        <v>0</v>
      </c>
      <c r="Y15" s="26" t="s">
        <v>157</v>
      </c>
      <c r="Z15" s="26" t="str">
        <f t="shared" si="0"/>
        <v>https://www.google.co.uk/maps/search/?api=1&amp;query=51.531712,-0.070987219</v>
      </c>
      <c r="AB15" s="19" t="s">
        <v>273</v>
      </c>
      <c r="AC15" s="19" t="s">
        <v>273</v>
      </c>
      <c r="AD15" s="19" t="str">
        <f>IFERROR(VLOOKUP(A15, FromAndy!A:E, 4, FALSE), "")</f>
        <v>E2 8JR</v>
      </c>
      <c r="AF15" s="19">
        <v>0</v>
      </c>
      <c r="AG15" s="19" t="s">
        <v>1132</v>
      </c>
      <c r="AH15" s="77" t="str">
        <f>IFERROR(VLOOKUP(A15, FromAndy!A:E, 3, FALSE), "")</f>
        <v>H</v>
      </c>
      <c r="AM15" s="19">
        <v>51.531711999999999</v>
      </c>
      <c r="AN15" s="19">
        <v>-7.0987219000000004E-2</v>
      </c>
      <c r="AO15" s="19"/>
      <c r="AQ15" s="19">
        <f t="shared" si="4"/>
        <v>13</v>
      </c>
      <c r="AS15" s="19" t="s">
        <v>903</v>
      </c>
    </row>
    <row r="16" spans="1:45" x14ac:dyDescent="0.25">
      <c r="A16" s="19" t="s">
        <v>549</v>
      </c>
      <c r="B16" s="26" t="s">
        <v>328</v>
      </c>
      <c r="C16" s="19" t="s">
        <v>29</v>
      </c>
      <c r="D16" s="19" t="s">
        <v>329</v>
      </c>
      <c r="F16" s="19" t="str">
        <f t="shared" si="1"/>
        <v>E5 8EG</v>
      </c>
      <c r="G16" s="19">
        <f t="shared" si="2"/>
        <v>51.556716000000002</v>
      </c>
      <c r="H16" s="19">
        <f t="shared" si="3"/>
        <v>-5.6051674000000003E-2</v>
      </c>
      <c r="J16" s="19">
        <v>107</v>
      </c>
      <c r="P16" s="19"/>
      <c r="R16" s="19">
        <v>12889</v>
      </c>
      <c r="S16" s="19" t="s">
        <v>1</v>
      </c>
      <c r="U16" s="20" t="s">
        <v>905</v>
      </c>
      <c r="V16" s="19" t="s">
        <v>77</v>
      </c>
      <c r="W16" s="26" t="s">
        <v>109</v>
      </c>
      <c r="X16" s="25">
        <v>0</v>
      </c>
      <c r="Y16" s="26" t="s">
        <v>146</v>
      </c>
      <c r="Z16" s="26" t="str">
        <f t="shared" si="0"/>
        <v>https://www.google.co.uk/maps/search/?api=1&amp;query=51.556716,-0.056051674</v>
      </c>
      <c r="AB16" s="19" t="s">
        <v>270</v>
      </c>
      <c r="AC16" s="19" t="s">
        <v>270</v>
      </c>
      <c r="AD16" s="19" t="str">
        <f>IFERROR(VLOOKUP(A16, FromAndy!A:E, 4, FALSE), "")</f>
        <v>E5 8EG</v>
      </c>
      <c r="AF16" s="19">
        <v>0</v>
      </c>
      <c r="AG16" s="19" t="s">
        <v>1132</v>
      </c>
      <c r="AH16" s="77" t="str">
        <f>IFERROR(VLOOKUP(A16, FromAndy!A:E, 3, FALSE), "")</f>
        <v>H</v>
      </c>
      <c r="AM16" s="19">
        <v>51.556716000000002</v>
      </c>
      <c r="AN16" s="19">
        <v>-5.6051674000000003E-2</v>
      </c>
      <c r="AO16" s="19"/>
      <c r="AQ16" s="19">
        <f t="shared" si="4"/>
        <v>14</v>
      </c>
      <c r="AS16" s="19" t="s">
        <v>890</v>
      </c>
    </row>
    <row r="17" spans="1:45" x14ac:dyDescent="0.25">
      <c r="A17" s="19" t="s">
        <v>496</v>
      </c>
      <c r="B17" s="26" t="s">
        <v>297</v>
      </c>
      <c r="C17" s="19" t="s">
        <v>29</v>
      </c>
      <c r="D17" s="19" t="s">
        <v>298</v>
      </c>
      <c r="F17" s="19" t="str">
        <f t="shared" si="1"/>
        <v>E9 7DH</v>
      </c>
      <c r="G17" s="19">
        <f t="shared" si="2"/>
        <v>51.540512</v>
      </c>
      <c r="H17" s="19">
        <f t="shared" si="3"/>
        <v>-4.5248899000000002E-2</v>
      </c>
      <c r="J17" s="19">
        <v>166</v>
      </c>
      <c r="P17" s="19"/>
      <c r="R17" s="19">
        <v>14468</v>
      </c>
      <c r="S17" s="19" t="s">
        <v>10</v>
      </c>
      <c r="U17" s="20" t="s">
        <v>909</v>
      </c>
      <c r="V17" s="19" t="s">
        <v>77</v>
      </c>
      <c r="W17" s="26" t="s">
        <v>114</v>
      </c>
      <c r="X17" s="25">
        <v>0</v>
      </c>
      <c r="Y17" s="26" t="s">
        <v>154</v>
      </c>
      <c r="Z17" s="26" t="str">
        <f t="shared" si="0"/>
        <v>https://www.google.co.uk/maps/search/?api=1&amp;query=51.540512,-0.045248899</v>
      </c>
      <c r="AB17" s="19" t="s">
        <v>908</v>
      </c>
      <c r="AC17" s="19" t="s">
        <v>223</v>
      </c>
      <c r="AD17" s="19" t="str">
        <f>IFERROR(VLOOKUP(A17, FromAndy!A:E, 4, FALSE), "")</f>
        <v>E9 7DH</v>
      </c>
      <c r="AF17" s="19">
        <v>0</v>
      </c>
      <c r="AG17" s="19" t="s">
        <v>1130</v>
      </c>
      <c r="AH17" s="77" t="str">
        <f>IFERROR(VLOOKUP(A17, FromAndy!A:E, 3, FALSE), "")</f>
        <v>L</v>
      </c>
      <c r="AM17" s="19">
        <v>51.540512</v>
      </c>
      <c r="AN17" s="19">
        <v>-4.5248899000000002E-2</v>
      </c>
      <c r="AO17" s="19"/>
      <c r="AQ17" s="19">
        <f t="shared" si="4"/>
        <v>15</v>
      </c>
      <c r="AS17" s="19" t="s">
        <v>910</v>
      </c>
    </row>
    <row r="18" spans="1:45" x14ac:dyDescent="0.25">
      <c r="A18" s="19" t="s">
        <v>539</v>
      </c>
      <c r="B18" s="26" t="s">
        <v>322</v>
      </c>
      <c r="C18" s="19" t="s">
        <v>29</v>
      </c>
      <c r="D18" s="19" t="s">
        <v>323</v>
      </c>
      <c r="F18" s="19" t="str">
        <f t="shared" si="1"/>
        <v>N1 6NP</v>
      </c>
      <c r="G18" s="19">
        <f t="shared" si="2"/>
        <v>51.530534000000003</v>
      </c>
      <c r="H18" s="19">
        <f t="shared" si="3"/>
        <v>-8.3623584000000001E-2</v>
      </c>
      <c r="J18" s="19">
        <v>117</v>
      </c>
      <c r="P18" s="19"/>
      <c r="R18" s="19">
        <v>7665</v>
      </c>
      <c r="S18" s="19" t="s">
        <v>18</v>
      </c>
      <c r="U18" s="20" t="s">
        <v>913</v>
      </c>
      <c r="V18" s="19" t="s">
        <v>77</v>
      </c>
      <c r="W18" s="26" t="s">
        <v>117</v>
      </c>
      <c r="X18" s="26" t="s">
        <v>84</v>
      </c>
      <c r="Y18" s="26" t="s">
        <v>160</v>
      </c>
      <c r="Z18" s="26" t="str">
        <f t="shared" si="0"/>
        <v>https://www.google.co.uk/maps/search/?api=1&amp;query=51.530534,-0.083623584</v>
      </c>
      <c r="AB18" s="19" t="s">
        <v>227</v>
      </c>
      <c r="AC18" s="19" t="s">
        <v>227</v>
      </c>
      <c r="AD18" s="19" t="str">
        <f>IFERROR(VLOOKUP(A18, FromAndy!A:E, 4, FALSE), "")</f>
        <v>N1 6NP</v>
      </c>
      <c r="AF18" s="19">
        <v>0</v>
      </c>
      <c r="AG18" s="19" t="s">
        <v>1131</v>
      </c>
      <c r="AH18" s="77" t="str">
        <f>IFERROR(VLOOKUP(A18, FromAndy!A:E, 3, FALSE), "")</f>
        <v>E</v>
      </c>
      <c r="AM18" s="19">
        <v>51.530534000000003</v>
      </c>
      <c r="AN18" s="19">
        <v>-8.3623584000000001E-2</v>
      </c>
      <c r="AO18" s="19"/>
      <c r="AQ18" s="19">
        <f t="shared" si="4"/>
        <v>16</v>
      </c>
      <c r="AS18" s="19" t="s">
        <v>914</v>
      </c>
    </row>
    <row r="19" spans="1:45" x14ac:dyDescent="0.25">
      <c r="A19" s="19" t="s">
        <v>527</v>
      </c>
      <c r="B19" s="26" t="s">
        <v>314</v>
      </c>
      <c r="C19" s="19" t="s">
        <v>29</v>
      </c>
      <c r="D19" s="19" t="s">
        <v>315</v>
      </c>
      <c r="F19" s="19" t="str">
        <f t="shared" si="1"/>
        <v>N4 2LW</v>
      </c>
      <c r="G19" s="19">
        <f t="shared" si="2"/>
        <v>51.565778000000002</v>
      </c>
      <c r="H19" s="19">
        <f t="shared" si="3"/>
        <v>-9.9831626000000007E-2</v>
      </c>
      <c r="J19" s="19">
        <v>72</v>
      </c>
      <c r="P19" s="19"/>
      <c r="R19" s="19">
        <v>9407</v>
      </c>
      <c r="S19" s="19" t="s">
        <v>0</v>
      </c>
      <c r="U19" s="20" t="s">
        <v>916</v>
      </c>
      <c r="V19" s="19" t="s">
        <v>77</v>
      </c>
      <c r="W19" s="19"/>
      <c r="X19" s="25">
        <v>0</v>
      </c>
      <c r="Y19" s="26" t="s">
        <v>145</v>
      </c>
      <c r="Z19" s="26" t="str">
        <f t="shared" si="0"/>
        <v>https://www.google.co.uk/maps/search/?api=1&amp;query=51.565778,-0.099831626</v>
      </c>
      <c r="AB19" s="19" t="s">
        <v>215</v>
      </c>
      <c r="AC19" s="19" t="s">
        <v>215</v>
      </c>
      <c r="AD19" s="19" t="str">
        <f>IFERROR(VLOOKUP(A19, FromAndy!A:E, 4, FALSE), "")</f>
        <v>N4 2LW</v>
      </c>
      <c r="AF19" s="19">
        <v>0</v>
      </c>
      <c r="AG19" s="19" t="s">
        <v>1132</v>
      </c>
      <c r="AH19" s="77" t="str">
        <f>IFERROR(VLOOKUP(A19, FromAndy!A:E, 3, FALSE), "")</f>
        <v>H</v>
      </c>
      <c r="AM19" s="19">
        <v>51.565778000000002</v>
      </c>
      <c r="AN19" s="19">
        <v>-9.9831626000000007E-2</v>
      </c>
      <c r="AO19" s="19"/>
      <c r="AQ19" s="19">
        <f t="shared" si="4"/>
        <v>17</v>
      </c>
      <c r="AS19" s="19" t="s">
        <v>917</v>
      </c>
    </row>
    <row r="20" spans="1:45" x14ac:dyDescent="0.25">
      <c r="A20" s="19" t="s">
        <v>530</v>
      </c>
      <c r="B20" s="26" t="s">
        <v>316</v>
      </c>
      <c r="C20" s="19" t="s">
        <v>29</v>
      </c>
      <c r="D20" s="19" t="s">
        <v>317</v>
      </c>
      <c r="F20" s="19" t="str">
        <f t="shared" si="1"/>
        <v>E1 6JN</v>
      </c>
      <c r="G20" s="19">
        <f t="shared" si="2"/>
        <v>51.526308999999998</v>
      </c>
      <c r="H20" s="19">
        <f t="shared" si="3"/>
        <v>-7.7645257999999995E-2</v>
      </c>
      <c r="J20" s="19">
        <v>72</v>
      </c>
      <c r="P20" s="19"/>
      <c r="R20" s="19">
        <v>7484</v>
      </c>
      <c r="S20" s="19" t="s">
        <v>19</v>
      </c>
      <c r="U20" s="20" t="s">
        <v>79</v>
      </c>
      <c r="V20" s="19" t="s">
        <v>77</v>
      </c>
      <c r="W20" s="26" t="s">
        <v>118</v>
      </c>
      <c r="X20" s="26" t="s">
        <v>85</v>
      </c>
      <c r="Y20" s="26" t="s">
        <v>161</v>
      </c>
      <c r="Z20" s="26" t="str">
        <f t="shared" si="0"/>
        <v>https://www.google.co.uk/maps/search/?api=1&amp;query=51.526309,-0.077645258</v>
      </c>
      <c r="AB20" s="19" t="s">
        <v>228</v>
      </c>
      <c r="AC20" s="19" t="s">
        <v>228</v>
      </c>
      <c r="AD20" s="19" t="str">
        <f>IFERROR(VLOOKUP(A20, FromAndy!A:E, 4, FALSE), "")</f>
        <v>E1 6JN</v>
      </c>
      <c r="AF20" s="19">
        <v>0</v>
      </c>
      <c r="AG20" s="19" t="s">
        <v>1130</v>
      </c>
      <c r="AH20" s="77" t="str">
        <f>IFERROR(VLOOKUP(A20, FromAndy!A:E, 3, FALSE), "")</f>
        <v>L</v>
      </c>
      <c r="AM20" s="19">
        <v>51.526308999999998</v>
      </c>
      <c r="AN20" s="19">
        <v>-7.7645257999999995E-2</v>
      </c>
      <c r="AO20" s="19"/>
      <c r="AQ20" s="19">
        <f t="shared" si="4"/>
        <v>18</v>
      </c>
      <c r="AS20" s="19" t="s">
        <v>920</v>
      </c>
    </row>
    <row r="21" spans="1:45" x14ac:dyDescent="0.25">
      <c r="A21" s="19" t="s">
        <v>486</v>
      </c>
      <c r="B21" s="26" t="s">
        <v>292</v>
      </c>
      <c r="C21" s="19" t="s">
        <v>29</v>
      </c>
      <c r="D21" s="19" t="s">
        <v>293</v>
      </c>
      <c r="F21" s="19" t="str">
        <f t="shared" si="1"/>
        <v>E8 2LJ</v>
      </c>
      <c r="G21" s="19">
        <f t="shared" si="2"/>
        <v>51.548918</v>
      </c>
      <c r="H21" s="19">
        <f t="shared" si="3"/>
        <v>-6.9538325999999998E-2</v>
      </c>
      <c r="J21" s="19">
        <v>128</v>
      </c>
      <c r="P21" s="19"/>
      <c r="R21" s="19">
        <v>13822</v>
      </c>
      <c r="S21" s="19" t="s">
        <v>5</v>
      </c>
      <c r="U21" s="20" t="s">
        <v>78</v>
      </c>
      <c r="V21" s="19" t="s">
        <v>77</v>
      </c>
      <c r="W21" s="26" t="s">
        <v>111</v>
      </c>
      <c r="X21" s="25">
        <v>0</v>
      </c>
      <c r="Y21" s="26" t="s">
        <v>150</v>
      </c>
      <c r="Z21" s="26" t="str">
        <f t="shared" si="0"/>
        <v>https://www.google.co.uk/maps/search/?api=1&amp;query=51.548918,-0.069538326</v>
      </c>
      <c r="AB21" s="19" t="s">
        <v>218</v>
      </c>
      <c r="AC21" s="19" t="s">
        <v>218</v>
      </c>
      <c r="AD21" s="19" t="str">
        <f>IFERROR(VLOOKUP(A21, FromAndy!A:E, 4, FALSE), "")</f>
        <v>E8 2LJ</v>
      </c>
      <c r="AF21" s="19">
        <v>0</v>
      </c>
      <c r="AG21" s="19" t="s">
        <v>1134</v>
      </c>
      <c r="AH21" s="19">
        <f>IFERROR(VLOOKUP(A21, FromAndy!A:E, 3, FALSE), "")</f>
        <v>0</v>
      </c>
      <c r="AM21" s="19">
        <v>51.548918</v>
      </c>
      <c r="AN21" s="19">
        <v>-6.9538325999999998E-2</v>
      </c>
      <c r="AO21" s="19"/>
      <c r="AQ21" s="19">
        <f t="shared" si="4"/>
        <v>19</v>
      </c>
      <c r="AS21" s="19" t="s">
        <v>922</v>
      </c>
    </row>
    <row r="22" spans="1:45" x14ac:dyDescent="0.25">
      <c r="A22" s="19" t="s">
        <v>500</v>
      </c>
      <c r="B22" s="26" t="s">
        <v>299</v>
      </c>
      <c r="C22" s="19" t="s">
        <v>29</v>
      </c>
      <c r="D22" s="19" t="s">
        <v>300</v>
      </c>
      <c r="F22" s="19" t="str">
        <f t="shared" si="1"/>
        <v>E9 5JA</v>
      </c>
      <c r="G22" s="19">
        <f t="shared" si="2"/>
        <v>51.545613000000003</v>
      </c>
      <c r="H22" s="19">
        <f t="shared" si="3"/>
        <v>-3.0333784999999999E-2</v>
      </c>
      <c r="J22" s="19">
        <v>71</v>
      </c>
      <c r="P22" s="19"/>
      <c r="R22" s="19">
        <v>7491</v>
      </c>
      <c r="S22" s="19" t="s">
        <v>9</v>
      </c>
      <c r="U22" s="20" t="s">
        <v>924</v>
      </c>
      <c r="V22" s="19" t="s">
        <v>77</v>
      </c>
      <c r="W22" s="26" t="s">
        <v>113</v>
      </c>
      <c r="X22" s="25">
        <v>0</v>
      </c>
      <c r="Y22" s="26" t="s">
        <v>153</v>
      </c>
      <c r="Z22" s="26" t="str">
        <f t="shared" si="0"/>
        <v>https://www.google.co.uk/maps/search/?api=1&amp;query=51.545613,-0.030333785</v>
      </c>
      <c r="AB22" s="19" t="s">
        <v>222</v>
      </c>
      <c r="AC22" s="19" t="s">
        <v>222</v>
      </c>
      <c r="AD22" s="19" t="str">
        <f>IFERROR(VLOOKUP(A22, FromAndy!A:E, 4, FALSE), "")</f>
        <v>E9 5JA</v>
      </c>
      <c r="AF22" s="19">
        <v>0</v>
      </c>
      <c r="AG22" s="19" t="s">
        <v>1134</v>
      </c>
      <c r="AH22" s="19">
        <f>IFERROR(VLOOKUP(A22, FromAndy!A:E, 3, FALSE), "")</f>
        <v>0</v>
      </c>
      <c r="AM22" s="19">
        <v>51.545613000000003</v>
      </c>
      <c r="AN22" s="19">
        <v>-3.0333784999999999E-2</v>
      </c>
      <c r="AO22" s="19"/>
      <c r="AQ22" s="19">
        <f t="shared" si="4"/>
        <v>20</v>
      </c>
      <c r="AS22" s="19" t="s">
        <v>925</v>
      </c>
    </row>
    <row r="23" spans="1:45" x14ac:dyDescent="0.25">
      <c r="A23" s="19" t="s">
        <v>512</v>
      </c>
      <c r="B23" s="26" t="s">
        <v>305</v>
      </c>
      <c r="C23" s="19" t="s">
        <v>29</v>
      </c>
      <c r="D23" s="19" t="s">
        <v>306</v>
      </c>
      <c r="F23" s="19" t="str">
        <f t="shared" si="1"/>
        <v>N16 9ES</v>
      </c>
      <c r="G23" s="19">
        <f t="shared" si="2"/>
        <v>51.560996000000003</v>
      </c>
      <c r="H23" s="19">
        <f t="shared" si="3"/>
        <v>-8.3901342000000004E-2</v>
      </c>
      <c r="J23" s="19">
        <v>202</v>
      </c>
      <c r="P23" s="19"/>
      <c r="R23" s="19">
        <v>13634</v>
      </c>
      <c r="S23" s="19" t="s">
        <v>22</v>
      </c>
      <c r="U23" s="20" t="s">
        <v>927</v>
      </c>
      <c r="V23" s="19" t="s">
        <v>77</v>
      </c>
      <c r="W23" s="26" t="s">
        <v>119</v>
      </c>
      <c r="X23" s="25">
        <v>0</v>
      </c>
      <c r="Y23" s="26" t="s">
        <v>164</v>
      </c>
      <c r="Z23" s="26" t="str">
        <f t="shared" si="0"/>
        <v>https://www.google.co.uk/maps/search/?api=1&amp;query=51.560996,-0.083901342</v>
      </c>
      <c r="AB23" s="19" t="s">
        <v>230</v>
      </c>
      <c r="AC23" s="19" t="s">
        <v>230</v>
      </c>
      <c r="AD23" s="19" t="str">
        <f>IFERROR(VLOOKUP(A23, FromAndy!A:E, 4, FALSE), "")</f>
        <v>N16 9ES</v>
      </c>
      <c r="AF23" s="19">
        <v>0</v>
      </c>
      <c r="AG23" s="19" t="s">
        <v>1134</v>
      </c>
      <c r="AH23" s="19">
        <f>IFERROR(VLOOKUP(A23, FromAndy!A:E, 3, FALSE), "")</f>
        <v>0</v>
      </c>
      <c r="AM23" s="19">
        <v>51.560996000000003</v>
      </c>
      <c r="AN23" s="19">
        <v>-8.3901342000000004E-2</v>
      </c>
      <c r="AO23" s="19"/>
      <c r="AQ23" s="19">
        <f t="shared" si="4"/>
        <v>21</v>
      </c>
      <c r="AS23" s="19" t="s">
        <v>928</v>
      </c>
    </row>
    <row r="24" spans="1:45" x14ac:dyDescent="0.25">
      <c r="A24" s="19" t="s">
        <v>472</v>
      </c>
      <c r="B24" s="26" t="s">
        <v>283</v>
      </c>
      <c r="C24" s="19" t="s">
        <v>29</v>
      </c>
      <c r="D24" s="19" t="s">
        <v>284</v>
      </c>
      <c r="F24" s="19" t="str">
        <f t="shared" si="1"/>
        <v>E5 9EN</v>
      </c>
      <c r="G24" s="19">
        <f t="shared" si="2"/>
        <v>51.565201000000002</v>
      </c>
      <c r="H24" s="19">
        <f t="shared" si="3"/>
        <v>-5.4723071999999998E-2</v>
      </c>
      <c r="J24" s="19">
        <v>38</v>
      </c>
      <c r="P24" s="19"/>
      <c r="R24" s="19">
        <v>26681</v>
      </c>
      <c r="S24" s="19" t="s">
        <v>2</v>
      </c>
      <c r="U24" s="20" t="s">
        <v>931</v>
      </c>
      <c r="V24" s="19" t="s">
        <v>77</v>
      </c>
      <c r="W24" s="26" t="s">
        <v>109</v>
      </c>
      <c r="X24" s="25">
        <v>0</v>
      </c>
      <c r="Y24" s="26" t="s">
        <v>147</v>
      </c>
      <c r="Z24" s="26" t="str">
        <f t="shared" si="0"/>
        <v>https://www.google.co.uk/maps/search/?api=1&amp;query=51.565201,-0.054723072</v>
      </c>
      <c r="AB24" s="19" t="s">
        <v>216</v>
      </c>
      <c r="AC24" s="19" t="s">
        <v>216</v>
      </c>
      <c r="AD24" s="19" t="str">
        <f>IFERROR(VLOOKUP(A24, FromAndy!A:E, 4, FALSE), "")</f>
        <v>E5 9EN</v>
      </c>
      <c r="AF24" s="19">
        <v>0</v>
      </c>
      <c r="AG24" s="19" t="s">
        <v>1134</v>
      </c>
      <c r="AH24" s="19">
        <f>IFERROR(VLOOKUP(A24, FromAndy!A:E, 3, FALSE), "")</f>
        <v>0</v>
      </c>
      <c r="AM24" s="19">
        <v>51.565201000000002</v>
      </c>
      <c r="AN24" s="19">
        <v>-5.4723071999999998E-2</v>
      </c>
      <c r="AO24" s="19"/>
      <c r="AQ24" s="19">
        <f t="shared" si="4"/>
        <v>22</v>
      </c>
      <c r="AS24" s="19" t="s">
        <v>932</v>
      </c>
    </row>
    <row r="25" spans="1:45" x14ac:dyDescent="0.25">
      <c r="A25" s="19" t="s">
        <v>518</v>
      </c>
      <c r="B25" s="26" t="s">
        <v>309</v>
      </c>
      <c r="C25" s="19" t="s">
        <v>29</v>
      </c>
      <c r="D25" s="19" t="s">
        <v>310</v>
      </c>
      <c r="F25" s="19" t="str">
        <f t="shared" si="1"/>
        <v>N16 8DD</v>
      </c>
      <c r="G25" s="19">
        <f t="shared" si="2"/>
        <v>51.552504999999996</v>
      </c>
      <c r="H25" s="19">
        <f t="shared" si="3"/>
        <v>-7.9339420999999993E-2</v>
      </c>
      <c r="J25" s="19">
        <v>51</v>
      </c>
      <c r="P25" s="19"/>
      <c r="R25" s="19">
        <v>10031</v>
      </c>
      <c r="S25" s="19" t="s">
        <v>25</v>
      </c>
      <c r="U25" s="20" t="s">
        <v>935</v>
      </c>
      <c r="V25" s="19" t="s">
        <v>77</v>
      </c>
      <c r="W25" s="19"/>
      <c r="X25" s="26" t="s">
        <v>87</v>
      </c>
      <c r="Y25" s="26" t="s">
        <v>167</v>
      </c>
      <c r="Z25" s="26" t="str">
        <f t="shared" si="0"/>
        <v>https://www.google.co.uk/maps/search/?api=1&amp;query=51.552505,-0.079339421</v>
      </c>
      <c r="AB25" s="19" t="s">
        <v>232</v>
      </c>
      <c r="AC25" s="19" t="s">
        <v>232</v>
      </c>
      <c r="AD25" s="19" t="str">
        <f>IFERROR(VLOOKUP(A25, FromAndy!A:E, 4, FALSE), "")</f>
        <v>N16 8DD</v>
      </c>
      <c r="AF25" s="19">
        <v>0</v>
      </c>
      <c r="AG25" s="19" t="s">
        <v>1132</v>
      </c>
      <c r="AH25" s="77" t="str">
        <f>IFERROR(VLOOKUP(A25, FromAndy!A:E, 3, FALSE), "")</f>
        <v>H</v>
      </c>
      <c r="AM25" s="19">
        <v>51.552504999999996</v>
      </c>
      <c r="AN25" s="19">
        <v>-7.9339420999999993E-2</v>
      </c>
      <c r="AO25" s="19"/>
      <c r="AQ25" s="19">
        <f t="shared" si="4"/>
        <v>23</v>
      </c>
      <c r="AS25" s="19" t="s">
        <v>936</v>
      </c>
    </row>
    <row r="26" spans="1:45" x14ac:dyDescent="0.25">
      <c r="A26" s="19" t="s">
        <v>503</v>
      </c>
      <c r="B26" s="26" t="s">
        <v>301</v>
      </c>
      <c r="C26" s="19" t="s">
        <v>29</v>
      </c>
      <c r="D26" s="19" t="s">
        <v>461</v>
      </c>
      <c r="F26" s="19" t="str">
        <f t="shared" si="1"/>
        <v>E8 3ER</v>
      </c>
      <c r="G26" s="19">
        <f t="shared" si="2"/>
        <v>51.541362999999997</v>
      </c>
      <c r="H26" s="19">
        <f t="shared" si="3"/>
        <v>-6.4003122999999995E-2</v>
      </c>
      <c r="J26" s="19">
        <v>194</v>
      </c>
      <c r="P26" s="19"/>
      <c r="R26" s="19">
        <v>12326</v>
      </c>
      <c r="S26" s="19" t="s">
        <v>11</v>
      </c>
      <c r="U26" s="20" t="s">
        <v>938</v>
      </c>
      <c r="V26" s="19" t="s">
        <v>77</v>
      </c>
      <c r="W26" s="26" t="s">
        <v>114</v>
      </c>
      <c r="X26" s="25">
        <v>0</v>
      </c>
      <c r="Y26" s="26" t="s">
        <v>155</v>
      </c>
      <c r="Z26" s="26" t="str">
        <f t="shared" si="0"/>
        <v>https://www.google.co.uk/maps/search/?api=1&amp;query=51.541363,-0.064003123</v>
      </c>
      <c r="AB26" s="19" t="s">
        <v>224</v>
      </c>
      <c r="AC26" s="19" t="s">
        <v>224</v>
      </c>
      <c r="AD26" s="19" t="str">
        <f>IFERROR(VLOOKUP(A26, FromAndy!A:E, 4, FALSE), "")</f>
        <v>E8 3ER</v>
      </c>
      <c r="AF26" s="19">
        <v>0</v>
      </c>
      <c r="AG26" s="19" t="s">
        <v>1134</v>
      </c>
      <c r="AH26" s="19">
        <f>IFERROR(VLOOKUP(A26, FromAndy!A:E, 3, FALSE), "")</f>
        <v>0</v>
      </c>
      <c r="AM26" s="19">
        <v>51.541362999999997</v>
      </c>
      <c r="AN26" s="19">
        <v>-6.4003122999999995E-2</v>
      </c>
      <c r="AO26" s="19"/>
      <c r="AQ26" s="19">
        <f t="shared" si="4"/>
        <v>24</v>
      </c>
      <c r="AS26" s="19" t="s">
        <v>939</v>
      </c>
    </row>
    <row r="27" spans="1:45" x14ac:dyDescent="0.25">
      <c r="A27" s="19" t="s">
        <v>521</v>
      </c>
      <c r="B27" s="26" t="s">
        <v>311</v>
      </c>
      <c r="C27" s="19" t="s">
        <v>29</v>
      </c>
      <c r="D27" s="19" t="s">
        <v>462</v>
      </c>
      <c r="F27" s="19" t="str">
        <f t="shared" si="1"/>
        <v>N16 7ED</v>
      </c>
      <c r="G27" s="19">
        <f t="shared" si="2"/>
        <v>51.563149000000003</v>
      </c>
      <c r="H27" s="19">
        <f t="shared" si="3"/>
        <v>-6.6021199000000003E-2</v>
      </c>
      <c r="J27" s="19">
        <v>103</v>
      </c>
      <c r="P27" s="19"/>
      <c r="R27" s="19">
        <v>12073</v>
      </c>
      <c r="S27" s="19" t="s">
        <v>24</v>
      </c>
      <c r="U27" s="19"/>
      <c r="V27" s="19" t="s">
        <v>77</v>
      </c>
      <c r="W27" s="26" t="s">
        <v>120</v>
      </c>
      <c r="X27" s="25">
        <v>0</v>
      </c>
      <c r="Y27" s="26" t="s">
        <v>166</v>
      </c>
      <c r="Z27" s="26" t="str">
        <f t="shared" si="0"/>
        <v>https://www.google.co.uk/maps/search/?api=1&amp;query=51.563149,-0.066021199</v>
      </c>
      <c r="AB27" s="19" t="s">
        <v>276</v>
      </c>
      <c r="AC27" s="19" t="s">
        <v>276</v>
      </c>
      <c r="AD27" s="19" t="str">
        <f>IFERROR(VLOOKUP(A27, FromAndy!A:E, 4, FALSE), "")</f>
        <v>N16 7ED</v>
      </c>
      <c r="AF27" s="19">
        <v>0</v>
      </c>
      <c r="AG27" s="19" t="s">
        <v>1134</v>
      </c>
      <c r="AH27" s="19">
        <f>IFERROR(VLOOKUP(A27, FromAndy!A:E, 3, FALSE), "")</f>
        <v>0</v>
      </c>
      <c r="AM27" s="19">
        <v>51.563149000000003</v>
      </c>
      <c r="AN27" s="19">
        <v>-6.6021199000000003E-2</v>
      </c>
      <c r="AO27" s="19"/>
      <c r="AQ27" s="19">
        <f t="shared" si="4"/>
        <v>25</v>
      </c>
      <c r="AS27" s="19" t="s">
        <v>932</v>
      </c>
    </row>
    <row r="28" spans="1:45" x14ac:dyDescent="0.25">
      <c r="A28" s="19" t="s">
        <v>524</v>
      </c>
      <c r="B28" s="26" t="s">
        <v>312</v>
      </c>
      <c r="C28" s="19" t="s">
        <v>29</v>
      </c>
      <c r="D28" s="19" t="s">
        <v>313</v>
      </c>
      <c r="F28" s="19" t="str">
        <f t="shared" si="1"/>
        <v>N4 2TW</v>
      </c>
      <c r="G28" s="19">
        <f t="shared" si="2"/>
        <v>51.571142999999999</v>
      </c>
      <c r="H28" s="19">
        <f t="shared" si="3"/>
        <v>-9.4066628999999999E-2</v>
      </c>
      <c r="J28" s="19">
        <v>285</v>
      </c>
      <c r="P28" s="19"/>
      <c r="R28" s="19">
        <v>6675</v>
      </c>
      <c r="S28" s="19" t="s">
        <v>23</v>
      </c>
      <c r="U28" s="20" t="s">
        <v>941</v>
      </c>
      <c r="V28" s="19" t="s">
        <v>77</v>
      </c>
      <c r="W28" s="26" t="s">
        <v>119</v>
      </c>
      <c r="X28" s="25">
        <v>0</v>
      </c>
      <c r="Y28" s="26" t="s">
        <v>165</v>
      </c>
      <c r="Z28" s="26" t="str">
        <f t="shared" si="0"/>
        <v>https://www.google.co.uk/maps/search/?api=1&amp;query=51.571143,-0.094066629</v>
      </c>
      <c r="AB28" s="19" t="s">
        <v>231</v>
      </c>
      <c r="AC28" s="19" t="s">
        <v>231</v>
      </c>
      <c r="AD28" s="19" t="str">
        <f>IFERROR(VLOOKUP(A28, FromAndy!A:E, 4, FALSE), "")</f>
        <v>N4 2TW</v>
      </c>
      <c r="AF28" s="19">
        <v>0</v>
      </c>
      <c r="AG28" s="19" t="s">
        <v>1134</v>
      </c>
      <c r="AH28" s="19">
        <f>IFERROR(VLOOKUP(A28, FromAndy!A:E, 3, FALSE), "")</f>
        <v>0</v>
      </c>
      <c r="AM28" s="19">
        <v>51.571142999999999</v>
      </c>
      <c r="AN28" s="19">
        <v>-9.4066628999999999E-2</v>
      </c>
      <c r="AO28" s="19"/>
      <c r="AQ28" s="19">
        <f t="shared" si="4"/>
        <v>26</v>
      </c>
      <c r="AS28" s="19" t="s">
        <v>942</v>
      </c>
    </row>
    <row r="29" spans="1:45" x14ac:dyDescent="0.25">
      <c r="A29" s="19" t="s">
        <v>506</v>
      </c>
      <c r="B29" s="26" t="s">
        <v>302</v>
      </c>
      <c r="C29" s="19" t="s">
        <v>29</v>
      </c>
      <c r="D29" s="19" t="s">
        <v>13</v>
      </c>
      <c r="F29" s="19" t="str">
        <f t="shared" si="1"/>
        <v>N16 7QB</v>
      </c>
      <c r="G29" s="19">
        <f t="shared" si="2"/>
        <v>51.557048000000002</v>
      </c>
      <c r="H29" s="19">
        <f t="shared" si="3"/>
        <v>-7.3969093999999999E-2</v>
      </c>
      <c r="J29" s="19">
        <v>93</v>
      </c>
      <c r="P29" s="19"/>
      <c r="R29" s="19">
        <v>8446</v>
      </c>
      <c r="S29" s="19" t="s">
        <v>12</v>
      </c>
      <c r="U29" s="20" t="s">
        <v>945</v>
      </c>
      <c r="V29" s="19" t="s">
        <v>77</v>
      </c>
      <c r="W29" s="26" t="s">
        <v>115</v>
      </c>
      <c r="X29" s="25">
        <v>0</v>
      </c>
      <c r="Y29" s="26" t="s">
        <v>156</v>
      </c>
      <c r="Z29" s="26" t="str">
        <f t="shared" si="0"/>
        <v>https://www.google.co.uk/maps/search/?api=1&amp;query=51.557048,-0.073969094</v>
      </c>
      <c r="AB29" s="19" t="s">
        <v>944</v>
      </c>
      <c r="AC29" s="19" t="s">
        <v>225</v>
      </c>
      <c r="AD29" s="19" t="str">
        <f>IFERROR(VLOOKUP(A29, FromAndy!A:E, 4, FALSE), "")</f>
        <v>N16 7QB</v>
      </c>
      <c r="AF29" s="19">
        <v>0</v>
      </c>
      <c r="AG29" s="19" t="s">
        <v>1130</v>
      </c>
      <c r="AH29" s="77" t="str">
        <f>IFERROR(VLOOKUP(A29, FromAndy!A:E, 3, FALSE), "")</f>
        <v>L</v>
      </c>
      <c r="AM29" s="19">
        <v>51.557048000000002</v>
      </c>
      <c r="AN29" s="19">
        <v>-7.3969093999999999E-2</v>
      </c>
      <c r="AO29" s="19"/>
      <c r="AQ29" s="19">
        <f t="shared" si="4"/>
        <v>27</v>
      </c>
      <c r="AS29" s="19" t="s">
        <v>946</v>
      </c>
    </row>
    <row r="30" spans="1:45" x14ac:dyDescent="0.25">
      <c r="A30" s="19" t="s">
        <v>509</v>
      </c>
      <c r="B30" s="26" t="s">
        <v>303</v>
      </c>
      <c r="C30" s="19" t="s">
        <v>29</v>
      </c>
      <c r="D30" s="19" t="s">
        <v>304</v>
      </c>
      <c r="F30" s="19" t="str">
        <f t="shared" si="1"/>
        <v>N1 4DA</v>
      </c>
      <c r="G30" s="19">
        <f t="shared" si="2"/>
        <v>51.540774999999996</v>
      </c>
      <c r="H30" s="19">
        <f t="shared" si="3"/>
        <v>-8.0208288000000003E-2</v>
      </c>
      <c r="J30" s="19">
        <v>178</v>
      </c>
      <c r="P30" s="19"/>
      <c r="R30" s="19">
        <v>8485</v>
      </c>
      <c r="S30" s="19" t="s">
        <v>6</v>
      </c>
      <c r="U30" s="20" t="s">
        <v>949</v>
      </c>
      <c r="V30" s="19" t="s">
        <v>77</v>
      </c>
      <c r="W30" s="26" t="s">
        <v>112</v>
      </c>
      <c r="X30" s="25">
        <v>0</v>
      </c>
      <c r="Y30" s="26" t="s">
        <v>151</v>
      </c>
      <c r="Z30" s="26" t="str">
        <f t="shared" si="0"/>
        <v>https://www.google.co.uk/maps/search/?api=1&amp;query=51.540775,-0.080208288</v>
      </c>
      <c r="AB30" s="19" t="s">
        <v>219</v>
      </c>
      <c r="AC30" s="19" t="s">
        <v>219</v>
      </c>
      <c r="AD30" s="19" t="str">
        <f>IFERROR(VLOOKUP(A30, FromAndy!A:E, 4, FALSE), "")</f>
        <v>N1 4DA</v>
      </c>
      <c r="AF30" s="19">
        <v>0</v>
      </c>
      <c r="AG30" s="19" t="s">
        <v>1130</v>
      </c>
      <c r="AH30" s="77" t="str">
        <f>IFERROR(VLOOKUP(A30, FromAndy!A:E, 3, FALSE), "")</f>
        <v>L</v>
      </c>
      <c r="AM30" s="19">
        <v>51.540774999999996</v>
      </c>
      <c r="AN30" s="19">
        <v>-8.0208288000000003E-2</v>
      </c>
      <c r="AO30" s="19"/>
      <c r="AQ30" s="19">
        <f t="shared" si="4"/>
        <v>28</v>
      </c>
      <c r="AS30" s="19" t="s">
        <v>950</v>
      </c>
    </row>
    <row r="31" spans="1:45" x14ac:dyDescent="0.25">
      <c r="A31" s="19" t="s">
        <v>475</v>
      </c>
      <c r="B31" s="26" t="s">
        <v>285</v>
      </c>
      <c r="C31" s="19" t="s">
        <v>29</v>
      </c>
      <c r="D31" s="19" t="s">
        <v>286</v>
      </c>
      <c r="F31" s="19" t="str">
        <f t="shared" si="1"/>
        <v>E5 9BW</v>
      </c>
      <c r="G31" s="19" t="str">
        <f t="shared" si="2"/>
        <v/>
      </c>
      <c r="H31" s="19" t="str">
        <f t="shared" si="3"/>
        <v/>
      </c>
      <c r="J31" s="19">
        <v>80</v>
      </c>
      <c r="P31" s="19"/>
      <c r="R31" s="19">
        <v>26681</v>
      </c>
      <c r="S31" s="19" t="s">
        <v>3</v>
      </c>
      <c r="U31" s="20" t="s">
        <v>953</v>
      </c>
      <c r="V31" s="19" t="s">
        <v>77</v>
      </c>
      <c r="W31" s="26" t="s">
        <v>110</v>
      </c>
      <c r="X31" s="25">
        <v>0</v>
      </c>
      <c r="Y31" s="26" t="s">
        <v>148</v>
      </c>
      <c r="Z31" s="26" t="str">
        <f t="shared" si="0"/>
        <v/>
      </c>
      <c r="AB31" s="19" t="s">
        <v>217</v>
      </c>
      <c r="AC31" s="19" t="s">
        <v>217</v>
      </c>
      <c r="AD31" s="19" t="str">
        <f>IFERROR(VLOOKUP(A31, FromAndy!A:E, 4, FALSE), "")</f>
        <v>N16</v>
      </c>
      <c r="AF31" s="19">
        <v>0</v>
      </c>
      <c r="AG31" s="19" t="s">
        <v>1132</v>
      </c>
      <c r="AH31" s="77" t="str">
        <f>IFERROR(VLOOKUP(A31, FromAndy!A:E, 3, FALSE), "")</f>
        <v>H</v>
      </c>
      <c r="AO31" s="19"/>
      <c r="AQ31" s="19">
        <f t="shared" si="4"/>
        <v>29</v>
      </c>
      <c r="AS31" s="19" t="s">
        <v>954</v>
      </c>
    </row>
    <row r="32" spans="1:45" x14ac:dyDescent="0.25">
      <c r="A32" s="19" t="s">
        <v>615</v>
      </c>
      <c r="B32" s="26" t="s">
        <v>345</v>
      </c>
      <c r="C32" s="19" t="s">
        <v>71</v>
      </c>
      <c r="D32" s="19" t="s">
        <v>616</v>
      </c>
      <c r="F32" s="19" t="str">
        <f t="shared" si="1"/>
        <v>N1 0DH</v>
      </c>
      <c r="G32" s="19">
        <f t="shared" si="2"/>
        <v>51.539318000000002</v>
      </c>
      <c r="H32" s="19">
        <f t="shared" si="3"/>
        <v>-0.12190113</v>
      </c>
      <c r="J32" s="19">
        <v>21</v>
      </c>
      <c r="P32" s="19"/>
      <c r="R32" s="19" t="s">
        <v>77</v>
      </c>
      <c r="S32" s="19" t="s">
        <v>77</v>
      </c>
      <c r="U32" s="20" t="s">
        <v>958</v>
      </c>
      <c r="V32" s="20" t="s">
        <v>82</v>
      </c>
      <c r="W32" s="19" t="s">
        <v>77</v>
      </c>
      <c r="X32" s="25" t="s">
        <v>77</v>
      </c>
      <c r="Y32" s="25" t="s">
        <v>77</v>
      </c>
      <c r="Z32" s="26" t="str">
        <f t="shared" si="0"/>
        <v>https://www.google.co.uk/maps/search/?api=1&amp;query=51.539318,-0.12190113</v>
      </c>
      <c r="AB32" s="19" t="s">
        <v>957</v>
      </c>
      <c r="AC32" s="19" t="s">
        <v>77</v>
      </c>
      <c r="AD32" s="19" t="str">
        <f>IFERROR(VLOOKUP(A32, FromAndy!A:E, 4, FALSE), "")</f>
        <v/>
      </c>
      <c r="AF32" s="19">
        <v>0</v>
      </c>
      <c r="AG32" s="19" t="s">
        <v>1134</v>
      </c>
      <c r="AH32" s="19" t="str">
        <f>IFERROR(VLOOKUP(A32, FromAndy!A:E, 3, FALSE), "")</f>
        <v/>
      </c>
      <c r="AM32" s="19">
        <v>51.539318000000002</v>
      </c>
      <c r="AN32" s="19">
        <v>-0.12190113</v>
      </c>
      <c r="AO32" s="19"/>
      <c r="AQ32" s="19">
        <f t="shared" si="4"/>
        <v>30</v>
      </c>
      <c r="AS32" s="19" t="s">
        <v>959</v>
      </c>
    </row>
    <row r="33" spans="1:45" x14ac:dyDescent="0.25">
      <c r="A33" s="19" t="s">
        <v>625</v>
      </c>
      <c r="B33" s="26" t="s">
        <v>349</v>
      </c>
      <c r="C33" s="19" t="s">
        <v>71</v>
      </c>
      <c r="D33" s="19" t="s">
        <v>350</v>
      </c>
      <c r="F33" s="19" t="str">
        <f t="shared" si="1"/>
        <v>N5 1SA</v>
      </c>
      <c r="G33" s="19">
        <f t="shared" si="2"/>
        <v>51.552225</v>
      </c>
      <c r="H33" s="19">
        <f t="shared" si="3"/>
        <v>-9.8607849999999997E-2</v>
      </c>
      <c r="J33" s="19">
        <v>272</v>
      </c>
      <c r="P33" s="19"/>
      <c r="R33" s="19">
        <v>9111</v>
      </c>
      <c r="S33" s="19" t="s">
        <v>58</v>
      </c>
      <c r="U33" s="20" t="s">
        <v>961</v>
      </c>
      <c r="V33" s="19" t="s">
        <v>77</v>
      </c>
      <c r="W33" s="26" t="s">
        <v>125</v>
      </c>
      <c r="X33" s="26" t="s">
        <v>91</v>
      </c>
      <c r="Y33" s="26" t="s">
        <v>173</v>
      </c>
      <c r="Z33" s="26" t="str">
        <f t="shared" si="0"/>
        <v>https://www.google.co.uk/maps/search/?api=1&amp;query=51.552225,-0.09860785</v>
      </c>
      <c r="AB33" s="19" t="s">
        <v>240</v>
      </c>
      <c r="AC33" s="19" t="s">
        <v>240</v>
      </c>
      <c r="AD33" s="19" t="str">
        <f>IFERROR(VLOOKUP(A33, FromAndy!A:E, 4, FALSE), "")</f>
        <v>N5 1SA</v>
      </c>
      <c r="AF33" s="19">
        <v>0</v>
      </c>
      <c r="AG33" s="19" t="s">
        <v>1131</v>
      </c>
      <c r="AH33" s="77" t="str">
        <f>IFERROR(VLOOKUP(A33, FromAndy!A:E, 3, FALSE), "")</f>
        <v>E</v>
      </c>
      <c r="AM33" s="19">
        <v>51.552225</v>
      </c>
      <c r="AN33" s="19">
        <v>-9.8607849999999997E-2</v>
      </c>
      <c r="AO33" s="19"/>
      <c r="AQ33" s="19">
        <f t="shared" si="4"/>
        <v>31</v>
      </c>
      <c r="AS33" s="19" t="s">
        <v>962</v>
      </c>
    </row>
    <row r="34" spans="1:45" x14ac:dyDescent="0.25">
      <c r="A34" s="19" t="s">
        <v>675</v>
      </c>
      <c r="B34" s="26" t="s">
        <v>383</v>
      </c>
      <c r="C34" s="19" t="s">
        <v>71</v>
      </c>
      <c r="D34" s="19" t="s">
        <v>384</v>
      </c>
      <c r="F34" s="19" t="str">
        <f t="shared" si="1"/>
        <v>N7 6DU</v>
      </c>
      <c r="G34" s="19">
        <f t="shared" si="2"/>
        <v>51.559497</v>
      </c>
      <c r="H34" s="19">
        <f t="shared" si="3"/>
        <v>-0.11456349</v>
      </c>
      <c r="J34" s="19"/>
      <c r="P34" s="19"/>
      <c r="R34" s="19">
        <v>25345</v>
      </c>
      <c r="S34" s="19" t="s">
        <v>69</v>
      </c>
      <c r="U34" s="19"/>
      <c r="V34" s="26" t="s">
        <v>83</v>
      </c>
      <c r="W34" s="26" t="s">
        <v>131</v>
      </c>
      <c r="X34" s="25">
        <v>0</v>
      </c>
      <c r="Y34" s="26" t="s">
        <v>183</v>
      </c>
      <c r="Z34" s="25" t="str">
        <f t="shared" ref="Z34:Z65" si="5">IF("" = G34, "", SUBSTITUTE(SUBSTITUTE(GoogleStreetViewLinkFormat, "$lat$", G34), "$long$", H34))</f>
        <v>https://www.google.co.uk/maps/search/?api=1&amp;query=51.559497,-0.11456349</v>
      </c>
      <c r="AB34" s="19" t="s">
        <v>249</v>
      </c>
      <c r="AC34" s="19" t="s">
        <v>249</v>
      </c>
      <c r="AD34" s="19" t="str">
        <f>IFERROR(VLOOKUP(A34, FromAndy!A:E, 4, FALSE), "")</f>
        <v>N7 6DU?</v>
      </c>
      <c r="AF34" s="19">
        <v>0</v>
      </c>
      <c r="AG34" s="19" t="s">
        <v>1134</v>
      </c>
      <c r="AH34" s="19">
        <f>IFERROR(VLOOKUP(A34, FromAndy!A:E, 3, FALSE), "")</f>
        <v>0</v>
      </c>
      <c r="AM34" s="19">
        <v>51.559497</v>
      </c>
      <c r="AN34" s="19">
        <v>-0.11456349</v>
      </c>
      <c r="AO34" s="19"/>
      <c r="AQ34" s="19">
        <f t="shared" si="4"/>
        <v>32</v>
      </c>
    </row>
    <row r="35" spans="1:45" x14ac:dyDescent="0.25">
      <c r="A35" s="19" t="s">
        <v>646</v>
      </c>
      <c r="B35" s="26" t="s">
        <v>362</v>
      </c>
      <c r="C35" s="19" t="s">
        <v>71</v>
      </c>
      <c r="D35" s="19" t="s">
        <v>363</v>
      </c>
      <c r="F35" s="19" t="str">
        <f t="shared" si="1"/>
        <v>N7 8AB</v>
      </c>
      <c r="G35" s="19">
        <f t="shared" si="2"/>
        <v>51.547403000000003</v>
      </c>
      <c r="H35" s="19">
        <f t="shared" si="3"/>
        <v>-0.11350584</v>
      </c>
      <c r="J35" s="19">
        <v>306</v>
      </c>
      <c r="P35" s="19"/>
      <c r="R35" s="19" t="s">
        <v>77</v>
      </c>
      <c r="S35" s="19" t="s">
        <v>77</v>
      </c>
      <c r="U35" s="20" t="s">
        <v>967</v>
      </c>
      <c r="V35" s="19" t="s">
        <v>77</v>
      </c>
      <c r="W35" s="19" t="s">
        <v>77</v>
      </c>
      <c r="X35" s="25" t="s">
        <v>77</v>
      </c>
      <c r="Y35" s="25" t="s">
        <v>77</v>
      </c>
      <c r="Z35" s="26" t="str">
        <f t="shared" si="5"/>
        <v>https://www.google.co.uk/maps/search/?api=1&amp;query=51.547403,-0.11350584</v>
      </c>
      <c r="AB35" s="19" t="s">
        <v>243</v>
      </c>
      <c r="AC35" s="19" t="s">
        <v>77</v>
      </c>
      <c r="AD35" s="19" t="str">
        <f>IFERROR(VLOOKUP(A35, FromAndy!A:E, 4, FALSE), "")</f>
        <v>N7 8AB</v>
      </c>
      <c r="AF35" s="19">
        <v>0</v>
      </c>
      <c r="AG35" s="19" t="s">
        <v>1131</v>
      </c>
      <c r="AH35" s="77" t="str">
        <f>IFERROR(VLOOKUP(A35, FromAndy!A:E, 3, FALSE), "")</f>
        <v>E</v>
      </c>
      <c r="AM35" s="19">
        <v>51.547403000000003</v>
      </c>
      <c r="AN35" s="19">
        <v>-0.11350584</v>
      </c>
      <c r="AO35" s="19"/>
      <c r="AQ35" s="19">
        <f t="shared" si="4"/>
        <v>33</v>
      </c>
      <c r="AS35" s="19" t="s">
        <v>968</v>
      </c>
    </row>
    <row r="36" spans="1:45" x14ac:dyDescent="0.25">
      <c r="A36" s="19" t="s">
        <v>649</v>
      </c>
      <c r="B36" s="26" t="s">
        <v>364</v>
      </c>
      <c r="C36" s="19" t="s">
        <v>71</v>
      </c>
      <c r="D36" s="19" t="s">
        <v>365</v>
      </c>
      <c r="F36" s="19" t="str">
        <f t="shared" si="1"/>
        <v/>
      </c>
      <c r="G36" s="19" t="str">
        <f t="shared" si="2"/>
        <v/>
      </c>
      <c r="H36" s="19" t="str">
        <f t="shared" si="3"/>
        <v/>
      </c>
      <c r="J36" s="19"/>
      <c r="P36" s="19"/>
      <c r="R36" s="19" t="s">
        <v>77</v>
      </c>
      <c r="S36" s="19" t="s">
        <v>77</v>
      </c>
      <c r="U36" s="20" t="s">
        <v>970</v>
      </c>
      <c r="V36" s="19" t="s">
        <v>77</v>
      </c>
      <c r="W36" s="19" t="s">
        <v>77</v>
      </c>
      <c r="X36" s="25" t="s">
        <v>77</v>
      </c>
      <c r="Y36" s="25" t="s">
        <v>77</v>
      </c>
      <c r="Z36" s="25" t="str">
        <f t="shared" si="5"/>
        <v/>
      </c>
      <c r="AC36" s="19" t="s">
        <v>77</v>
      </c>
      <c r="AD36" s="19" t="str">
        <f>IFERROR(VLOOKUP(A36, FromAndy!A:E, 4, FALSE), "")</f>
        <v/>
      </c>
      <c r="AF36" s="19">
        <v>0</v>
      </c>
      <c r="AG36" s="19" t="s">
        <v>1134</v>
      </c>
      <c r="AH36" s="19" t="str">
        <f>IFERROR(VLOOKUP(A36, FromAndy!A:E, 3, FALSE), "")</f>
        <v/>
      </c>
      <c r="AO36" s="19"/>
      <c r="AQ36" s="19">
        <f t="shared" si="4"/>
        <v>34</v>
      </c>
    </row>
    <row r="37" spans="1:45" x14ac:dyDescent="0.25">
      <c r="A37" s="19" t="s">
        <v>668</v>
      </c>
      <c r="B37" s="26" t="s">
        <v>377</v>
      </c>
      <c r="C37" s="19" t="s">
        <v>71</v>
      </c>
      <c r="D37" s="19" t="s">
        <v>378</v>
      </c>
      <c r="F37" s="19" t="str">
        <f t="shared" si="1"/>
        <v>EC1R 4QE</v>
      </c>
      <c r="G37" s="19">
        <f t="shared" si="2"/>
        <v>51.525861999999996</v>
      </c>
      <c r="H37" s="19">
        <f t="shared" si="3"/>
        <v>-0.10884609000000001</v>
      </c>
      <c r="J37" s="19">
        <v>90</v>
      </c>
      <c r="P37" s="19"/>
      <c r="R37" s="19">
        <v>6856</v>
      </c>
      <c r="S37" s="19" t="s">
        <v>53</v>
      </c>
      <c r="U37" s="20" t="s">
        <v>971</v>
      </c>
      <c r="V37" s="19" t="s">
        <v>77</v>
      </c>
      <c r="W37" s="26" t="s">
        <v>122</v>
      </c>
      <c r="X37" s="26" t="s">
        <v>88</v>
      </c>
      <c r="Y37" s="26" t="s">
        <v>169</v>
      </c>
      <c r="Z37" s="26" t="str">
        <f t="shared" si="5"/>
        <v>https://www.google.co.uk/maps/search/?api=1&amp;query=51.525862,-0.10884609</v>
      </c>
      <c r="AB37" s="19" t="s">
        <v>459</v>
      </c>
      <c r="AC37" s="19" t="s">
        <v>459</v>
      </c>
      <c r="AD37" s="19" t="str">
        <f>IFERROR(VLOOKUP(A37, FromAndy!A:E, 4, FALSE), "")</f>
        <v>EC1R 4QE</v>
      </c>
      <c r="AF37" s="19">
        <v>0</v>
      </c>
      <c r="AG37" s="19" t="s">
        <v>1132</v>
      </c>
      <c r="AH37" s="77" t="str">
        <f>IFERROR(VLOOKUP(A37, FromAndy!A:E, 3, FALSE), "")</f>
        <v>H</v>
      </c>
      <c r="AM37" s="19">
        <v>51.525861999999996</v>
      </c>
      <c r="AN37" s="19">
        <v>-0.10884609000000001</v>
      </c>
      <c r="AO37" s="19"/>
      <c r="AQ37" s="19">
        <f t="shared" si="4"/>
        <v>35</v>
      </c>
      <c r="AS37" s="19" t="s">
        <v>972</v>
      </c>
    </row>
    <row r="38" spans="1:45" x14ac:dyDescent="0.25">
      <c r="A38" s="19" t="s">
        <v>615</v>
      </c>
      <c r="B38" s="26" t="s">
        <v>344</v>
      </c>
      <c r="C38" s="19" t="s">
        <v>71</v>
      </c>
      <c r="D38" s="19" t="s">
        <v>614</v>
      </c>
      <c r="F38" s="19" t="str">
        <f t="shared" si="1"/>
        <v>N1 1BQ</v>
      </c>
      <c r="G38" s="19">
        <f t="shared" si="2"/>
        <v>51.540033999999999</v>
      </c>
      <c r="H38" s="19">
        <f t="shared" si="3"/>
        <v>-0.11441622</v>
      </c>
      <c r="J38" s="19">
        <v>103</v>
      </c>
      <c r="P38" s="19"/>
      <c r="R38" s="19" t="s">
        <v>77</v>
      </c>
      <c r="S38" s="19" t="s">
        <v>77</v>
      </c>
      <c r="U38" s="20" t="s">
        <v>974</v>
      </c>
      <c r="V38" s="19" t="s">
        <v>77</v>
      </c>
      <c r="W38" s="19" t="s">
        <v>77</v>
      </c>
      <c r="X38" s="25" t="s">
        <v>77</v>
      </c>
      <c r="Y38" s="25" t="s">
        <v>77</v>
      </c>
      <c r="Z38" s="26" t="str">
        <f t="shared" si="5"/>
        <v>https://www.google.co.uk/maps/search/?api=1&amp;query=51.540034,-0.11441622</v>
      </c>
      <c r="AB38" s="19" t="s">
        <v>233</v>
      </c>
      <c r="AC38" s="19" t="s">
        <v>77</v>
      </c>
      <c r="AD38" s="19" t="str">
        <f>IFERROR(VLOOKUP(A38, FromAndy!A:E, 4, FALSE), "")</f>
        <v/>
      </c>
      <c r="AF38" s="19">
        <v>0</v>
      </c>
      <c r="AG38" s="19" t="s">
        <v>1134</v>
      </c>
      <c r="AH38" s="19" t="str">
        <f>IFERROR(VLOOKUP(A38, FromAndy!A:E, 3, FALSE), "")</f>
        <v/>
      </c>
      <c r="AM38" s="19">
        <v>51.540033999999999</v>
      </c>
      <c r="AN38" s="19">
        <v>-0.11441622</v>
      </c>
      <c r="AO38" s="19"/>
      <c r="AQ38" s="19">
        <f t="shared" si="4"/>
        <v>36</v>
      </c>
      <c r="AS38" s="19" t="s">
        <v>959</v>
      </c>
    </row>
    <row r="39" spans="1:45" x14ac:dyDescent="0.25">
      <c r="A39" s="19" t="s">
        <v>608</v>
      </c>
      <c r="B39" s="26" t="s">
        <v>340</v>
      </c>
      <c r="C39" s="19" t="s">
        <v>71</v>
      </c>
      <c r="D39" s="19" t="s">
        <v>341</v>
      </c>
      <c r="F39" s="19" t="str">
        <f t="shared" si="1"/>
        <v>N19 3TN</v>
      </c>
      <c r="G39" s="19">
        <f t="shared" si="2"/>
        <v>51.570506000000002</v>
      </c>
      <c r="H39" s="19">
        <f t="shared" si="3"/>
        <v>-0.13495963</v>
      </c>
      <c r="J39" s="19">
        <v>44</v>
      </c>
      <c r="P39" s="19"/>
      <c r="R39" s="19">
        <v>6069</v>
      </c>
      <c r="S39" s="19" t="s">
        <v>62</v>
      </c>
      <c r="U39" s="20" t="s">
        <v>975</v>
      </c>
      <c r="V39" s="19" t="s">
        <v>77</v>
      </c>
      <c r="W39" s="19"/>
      <c r="X39" s="25">
        <v>0</v>
      </c>
      <c r="Y39" s="26" t="s">
        <v>177</v>
      </c>
      <c r="Z39" s="26" t="str">
        <f t="shared" si="5"/>
        <v>https://www.google.co.uk/maps/search/?api=1&amp;query=51.570506,-0.13495963</v>
      </c>
      <c r="AB39" s="19" t="s">
        <v>245</v>
      </c>
      <c r="AC39" s="19" t="s">
        <v>245</v>
      </c>
      <c r="AD39" s="19" t="str">
        <f>IFERROR(VLOOKUP(A39, FromAndy!A:E, 4, FALSE), "")</f>
        <v>N19 3TN</v>
      </c>
      <c r="AF39" s="19">
        <v>0</v>
      </c>
      <c r="AG39" s="19" t="s">
        <v>1131</v>
      </c>
      <c r="AH39" s="77" t="str">
        <f>IFERROR(VLOOKUP(A39, FromAndy!A:E, 3, FALSE), "")</f>
        <v>E</v>
      </c>
      <c r="AM39" s="19">
        <v>51.570506000000002</v>
      </c>
      <c r="AN39" s="19">
        <v>-0.13495963</v>
      </c>
      <c r="AO39" s="19"/>
      <c r="AQ39" s="19">
        <f t="shared" si="4"/>
        <v>37</v>
      </c>
      <c r="AS39" s="19" t="s">
        <v>976</v>
      </c>
    </row>
    <row r="40" spans="1:45" x14ac:dyDescent="0.25">
      <c r="A40" s="19" t="s">
        <v>719</v>
      </c>
      <c r="B40" s="26" t="s">
        <v>720</v>
      </c>
      <c r="C40" s="19" t="s">
        <v>71</v>
      </c>
      <c r="D40" s="19" t="s">
        <v>718</v>
      </c>
      <c r="F40" s="19" t="str">
        <f t="shared" si="1"/>
        <v/>
      </c>
      <c r="G40" s="19" t="str">
        <f t="shared" si="2"/>
        <v/>
      </c>
      <c r="H40" s="19" t="str">
        <f t="shared" si="3"/>
        <v/>
      </c>
      <c r="J40" s="19"/>
      <c r="P40" s="19"/>
      <c r="R40" s="19" t="s">
        <v>77</v>
      </c>
      <c r="S40" s="19" t="s">
        <v>77</v>
      </c>
      <c r="U40" s="20" t="s">
        <v>978</v>
      </c>
      <c r="V40" s="19" t="s">
        <v>77</v>
      </c>
      <c r="W40" s="19" t="s">
        <v>77</v>
      </c>
      <c r="X40" s="25" t="s">
        <v>77</v>
      </c>
      <c r="Y40" s="25" t="s">
        <v>77</v>
      </c>
      <c r="Z40" s="25" t="str">
        <f t="shared" si="5"/>
        <v/>
      </c>
      <c r="AC40" s="19" t="s">
        <v>77</v>
      </c>
      <c r="AD40" s="19" t="str">
        <f>IFERROR(VLOOKUP(A40, FromAndy!A:E, 4, FALSE), "")</f>
        <v/>
      </c>
      <c r="AF40" s="19">
        <v>0</v>
      </c>
      <c r="AG40" s="19" t="s">
        <v>1134</v>
      </c>
      <c r="AH40" s="19" t="str">
        <f>IFERROR(VLOOKUP(A40, FromAndy!A:E, 3, FALSE), "")</f>
        <v/>
      </c>
      <c r="AO40" s="19"/>
      <c r="AQ40" s="19">
        <f t="shared" si="4"/>
        <v>38</v>
      </c>
    </row>
    <row r="41" spans="1:45" x14ac:dyDescent="0.25">
      <c r="A41" s="19" t="s">
        <v>622</v>
      </c>
      <c r="B41" s="26" t="s">
        <v>347</v>
      </c>
      <c r="C41" s="19" t="s">
        <v>71</v>
      </c>
      <c r="D41" s="19" t="s">
        <v>348</v>
      </c>
      <c r="F41" s="19" t="str">
        <f t="shared" si="1"/>
        <v>N5 2DR</v>
      </c>
      <c r="G41" s="19">
        <f t="shared" si="2"/>
        <v>51.555284</v>
      </c>
      <c r="H41" s="19">
        <f t="shared" si="3"/>
        <v>-9.2075385999999995E-2</v>
      </c>
      <c r="J41" s="19">
        <v>124</v>
      </c>
      <c r="P41" s="19"/>
      <c r="R41" s="19">
        <v>8377</v>
      </c>
      <c r="S41" s="19" t="s">
        <v>59</v>
      </c>
      <c r="U41" s="20" t="s">
        <v>979</v>
      </c>
      <c r="V41" s="19" t="s">
        <v>77</v>
      </c>
      <c r="W41" s="26" t="s">
        <v>126</v>
      </c>
      <c r="X41" s="25">
        <v>0</v>
      </c>
      <c r="Y41" s="26" t="s">
        <v>174</v>
      </c>
      <c r="Z41" s="26" t="str">
        <f t="shared" si="5"/>
        <v>https://www.google.co.uk/maps/search/?api=1&amp;query=51.555284,-0.092075386</v>
      </c>
      <c r="AB41" s="19" t="s">
        <v>241</v>
      </c>
      <c r="AC41" s="19" t="s">
        <v>241</v>
      </c>
      <c r="AD41" s="19" t="str">
        <f>IFERROR(VLOOKUP(A41, FromAndy!A:E, 4, FALSE), "")</f>
        <v>N5 2DR</v>
      </c>
      <c r="AF41" s="19">
        <v>0</v>
      </c>
      <c r="AG41" s="19" t="s">
        <v>1134</v>
      </c>
      <c r="AH41" s="19">
        <f>IFERROR(VLOOKUP(A41, FromAndy!A:E, 3, FALSE), "")</f>
        <v>0</v>
      </c>
      <c r="AM41" s="19">
        <v>51.555284</v>
      </c>
      <c r="AN41" s="19">
        <v>-9.2075385999999995E-2</v>
      </c>
      <c r="AO41" s="19"/>
      <c r="AQ41" s="19">
        <f t="shared" si="4"/>
        <v>39</v>
      </c>
      <c r="AS41" s="19" t="s">
        <v>980</v>
      </c>
    </row>
    <row r="42" spans="1:45" x14ac:dyDescent="0.25">
      <c r="A42" s="19" t="s">
        <v>674</v>
      </c>
      <c r="B42" s="26" t="s">
        <v>381</v>
      </c>
      <c r="C42" s="19" t="s">
        <v>71</v>
      </c>
      <c r="D42" s="19" t="s">
        <v>382</v>
      </c>
      <c r="F42" s="19" t="str">
        <f t="shared" si="1"/>
        <v>EC1V 8DA</v>
      </c>
      <c r="G42" s="19">
        <f t="shared" si="2"/>
        <v>51.527822</v>
      </c>
      <c r="H42" s="19">
        <f t="shared" si="3"/>
        <v>-9.7649624000000004E-2</v>
      </c>
      <c r="J42" s="19">
        <v>83</v>
      </c>
      <c r="P42" s="19"/>
      <c r="R42" s="19">
        <v>6941</v>
      </c>
      <c r="S42" s="19" t="s">
        <v>56</v>
      </c>
      <c r="U42" s="20" t="s">
        <v>982</v>
      </c>
      <c r="V42" s="19" t="s">
        <v>77</v>
      </c>
      <c r="W42" s="26" t="s">
        <v>123</v>
      </c>
      <c r="X42" s="26" t="s">
        <v>90</v>
      </c>
      <c r="Y42" s="26" t="s">
        <v>171</v>
      </c>
      <c r="Z42" s="26" t="str">
        <f t="shared" si="5"/>
        <v>https://www.google.co.uk/maps/search/?api=1&amp;query=51.527822,-0.097649624</v>
      </c>
      <c r="AB42" s="19" t="s">
        <v>238</v>
      </c>
      <c r="AC42" s="19" t="s">
        <v>238</v>
      </c>
      <c r="AD42" s="19" t="str">
        <f>IFERROR(VLOOKUP(A42, FromAndy!A:E, 4, FALSE), "")</f>
        <v>EC1V 8DA</v>
      </c>
      <c r="AF42" s="19">
        <v>0</v>
      </c>
      <c r="AG42" s="19" t="s">
        <v>1132</v>
      </c>
      <c r="AH42" s="77" t="str">
        <f>IFERROR(VLOOKUP(A42, FromAndy!A:E, 3, FALSE), "")</f>
        <v>H</v>
      </c>
      <c r="AM42" s="19">
        <v>51.527822</v>
      </c>
      <c r="AN42" s="19">
        <v>-9.7649624000000004E-2</v>
      </c>
      <c r="AO42" s="19"/>
      <c r="AQ42" s="19">
        <f t="shared" si="4"/>
        <v>40</v>
      </c>
      <c r="AS42" s="19" t="s">
        <v>983</v>
      </c>
    </row>
    <row r="43" spans="1:45" x14ac:dyDescent="0.25">
      <c r="A43" s="19" t="s">
        <v>628</v>
      </c>
      <c r="B43" s="26" t="s">
        <v>351</v>
      </c>
      <c r="C43" s="19" t="s">
        <v>71</v>
      </c>
      <c r="D43" s="19" t="s">
        <v>463</v>
      </c>
      <c r="F43" s="19" t="str">
        <f t="shared" si="1"/>
        <v>N7 0ND</v>
      </c>
      <c r="G43" s="19">
        <f t="shared" si="2"/>
        <v>51.556232999999999</v>
      </c>
      <c r="H43" s="19">
        <f t="shared" si="3"/>
        <v>-0.12525805000000001</v>
      </c>
      <c r="J43" s="19">
        <v>44</v>
      </c>
      <c r="P43" s="19"/>
      <c r="R43" s="19">
        <v>12628</v>
      </c>
      <c r="S43" s="19" t="s">
        <v>70</v>
      </c>
      <c r="U43" s="20" t="s">
        <v>985</v>
      </c>
      <c r="V43" s="19" t="s">
        <v>77</v>
      </c>
      <c r="W43" s="26" t="s">
        <v>132</v>
      </c>
      <c r="X43" s="25">
        <v>0</v>
      </c>
      <c r="Y43" s="26" t="s">
        <v>184</v>
      </c>
      <c r="Z43" s="26" t="str">
        <f t="shared" si="5"/>
        <v>https://www.google.co.uk/maps/search/?api=1&amp;query=51.556233,-0.12525805</v>
      </c>
      <c r="AB43" s="19" t="s">
        <v>250</v>
      </c>
      <c r="AC43" s="19" t="s">
        <v>250</v>
      </c>
      <c r="AD43" s="19" t="str">
        <f>IFERROR(VLOOKUP(A43, FromAndy!A:E, 4, FALSE), "")</f>
        <v>N7 0ND</v>
      </c>
      <c r="AF43" s="19">
        <v>0</v>
      </c>
      <c r="AG43" s="19" t="s">
        <v>1131</v>
      </c>
      <c r="AH43" s="77" t="str">
        <f>IFERROR(VLOOKUP(A43, FromAndy!A:E, 3, FALSE), "")</f>
        <v>E</v>
      </c>
      <c r="AM43" s="19">
        <v>51.556232999999999</v>
      </c>
      <c r="AN43" s="19">
        <v>-0.12525805000000001</v>
      </c>
      <c r="AO43" s="19"/>
      <c r="AQ43" s="19">
        <f t="shared" si="4"/>
        <v>41</v>
      </c>
      <c r="AS43" s="19" t="s">
        <v>986</v>
      </c>
    </row>
    <row r="44" spans="1:45" x14ac:dyDescent="0.25">
      <c r="A44" s="19" t="s">
        <v>665</v>
      </c>
      <c r="B44" s="26" t="s">
        <v>375</v>
      </c>
      <c r="C44" s="19" t="s">
        <v>71</v>
      </c>
      <c r="D44" s="19" t="s">
        <v>376</v>
      </c>
      <c r="F44" s="19" t="str">
        <f t="shared" si="1"/>
        <v>EC1R 0EA</v>
      </c>
      <c r="G44" s="19">
        <f t="shared" si="2"/>
        <v>51.523352000000003</v>
      </c>
      <c r="H44" s="19">
        <f t="shared" si="3"/>
        <v>-0.10543275000000001</v>
      </c>
      <c r="J44" s="19">
        <v>162</v>
      </c>
      <c r="P44" s="19"/>
      <c r="R44" s="19">
        <v>6856</v>
      </c>
      <c r="S44" s="19" t="s">
        <v>54</v>
      </c>
      <c r="U44" s="20" t="s">
        <v>988</v>
      </c>
      <c r="V44" s="19" t="s">
        <v>77</v>
      </c>
      <c r="W44" s="26" t="s">
        <v>122</v>
      </c>
      <c r="X44" s="26" t="s">
        <v>89</v>
      </c>
      <c r="Y44" s="26" t="s">
        <v>170</v>
      </c>
      <c r="Z44" s="26" t="str">
        <f t="shared" si="5"/>
        <v>https://www.google.co.uk/maps/search/?api=1&amp;query=51.523352,-0.10543275</v>
      </c>
      <c r="AB44" s="19" t="s">
        <v>236</v>
      </c>
      <c r="AC44" s="19" t="s">
        <v>237</v>
      </c>
      <c r="AD44" s="19" t="str">
        <f>IFERROR(VLOOKUP(A44, FromAndy!A:E, 4, FALSE), "")</f>
        <v>EC1R 0EA</v>
      </c>
      <c r="AF44" s="19">
        <v>0</v>
      </c>
      <c r="AG44" s="19" t="s">
        <v>1131</v>
      </c>
      <c r="AH44" s="77" t="str">
        <f>IFERROR(VLOOKUP(A44, FromAndy!A:E, 3, FALSE), "")</f>
        <v>E</v>
      </c>
      <c r="AM44" s="19">
        <v>51.523352000000003</v>
      </c>
      <c r="AN44" s="19">
        <v>-0.10543275000000001</v>
      </c>
      <c r="AO44" s="19"/>
      <c r="AQ44" s="19">
        <f t="shared" si="4"/>
        <v>42</v>
      </c>
      <c r="AS44" s="19" t="s">
        <v>989</v>
      </c>
    </row>
    <row r="45" spans="1:45" x14ac:dyDescent="0.25">
      <c r="A45" s="19" t="s">
        <v>631</v>
      </c>
      <c r="B45" s="26" t="s">
        <v>352</v>
      </c>
      <c r="C45" s="19" t="s">
        <v>71</v>
      </c>
      <c r="D45" s="19" t="s">
        <v>353</v>
      </c>
      <c r="F45" s="19" t="str">
        <f t="shared" si="1"/>
        <v>N1 8PF</v>
      </c>
      <c r="G45" s="19">
        <f t="shared" si="2"/>
        <v>51.536580000000001</v>
      </c>
      <c r="H45" s="19">
        <f t="shared" si="3"/>
        <v>-9.6534630999999996E-2</v>
      </c>
      <c r="J45" s="19">
        <v>109</v>
      </c>
      <c r="P45" s="19"/>
      <c r="R45" s="19">
        <v>10339</v>
      </c>
      <c r="S45" s="19" t="s">
        <v>65</v>
      </c>
      <c r="U45" s="20" t="s">
        <v>991</v>
      </c>
      <c r="V45" s="19" t="s">
        <v>77</v>
      </c>
      <c r="W45" s="26" t="s">
        <v>129</v>
      </c>
      <c r="X45" s="26" t="s">
        <v>92</v>
      </c>
      <c r="Y45" s="26" t="s">
        <v>179</v>
      </c>
      <c r="Z45" s="26" t="str">
        <f t="shared" si="5"/>
        <v>https://www.google.co.uk/maps/search/?api=1&amp;query=51.53658,-0.096534631</v>
      </c>
      <c r="AB45" s="19" t="s">
        <v>267</v>
      </c>
      <c r="AC45" s="19" t="s">
        <v>267</v>
      </c>
      <c r="AD45" s="19" t="str">
        <f>IFERROR(VLOOKUP(A45, FromAndy!A:E, 4, FALSE), "")</f>
        <v>N1 8PF</v>
      </c>
      <c r="AF45" s="19">
        <v>0</v>
      </c>
      <c r="AG45" s="19" t="s">
        <v>1132</v>
      </c>
      <c r="AH45" s="77" t="str">
        <f>IFERROR(VLOOKUP(A45, FromAndy!A:E, 3, FALSE), "")</f>
        <v>H</v>
      </c>
      <c r="AM45" s="19">
        <v>51.536580000000001</v>
      </c>
      <c r="AN45" s="19">
        <v>-9.6534630999999996E-2</v>
      </c>
      <c r="AO45" s="19"/>
      <c r="AQ45" s="19">
        <f t="shared" si="4"/>
        <v>43</v>
      </c>
      <c r="AS45" s="19" t="s">
        <v>992</v>
      </c>
    </row>
    <row r="46" spans="1:45" x14ac:dyDescent="0.25">
      <c r="A46" s="19" t="s">
        <v>652</v>
      </c>
      <c r="B46" s="26" t="s">
        <v>366</v>
      </c>
      <c r="C46" s="19" t="s">
        <v>71</v>
      </c>
      <c r="D46" s="19" t="s">
        <v>64</v>
      </c>
      <c r="F46" s="19" t="str">
        <f t="shared" si="1"/>
        <v>N19 5RR</v>
      </c>
      <c r="G46" s="19">
        <f t="shared" si="2"/>
        <v>51.562646999999998</v>
      </c>
      <c r="H46" s="19">
        <f t="shared" si="3"/>
        <v>-0.13163098000000001</v>
      </c>
      <c r="J46" s="19">
        <v>306</v>
      </c>
      <c r="P46" s="19"/>
      <c r="R46" s="19">
        <v>10719</v>
      </c>
      <c r="S46" s="19" t="s">
        <v>63</v>
      </c>
      <c r="U46" s="20" t="s">
        <v>994</v>
      </c>
      <c r="V46" s="19" t="s">
        <v>77</v>
      </c>
      <c r="W46" s="26" t="s">
        <v>128</v>
      </c>
      <c r="X46" s="25">
        <v>0</v>
      </c>
      <c r="Y46" s="26" t="s">
        <v>178</v>
      </c>
      <c r="Z46" s="26" t="str">
        <f t="shared" si="5"/>
        <v>https://www.google.co.uk/maps/search/?api=1&amp;query=51.562647,-0.13163098</v>
      </c>
      <c r="AB46" s="19" t="s">
        <v>277</v>
      </c>
      <c r="AC46" s="19" t="s">
        <v>277</v>
      </c>
      <c r="AD46" s="19" t="str">
        <f>IFERROR(VLOOKUP(A46, FromAndy!A:E, 4, FALSE), "")</f>
        <v>N19 5RR</v>
      </c>
      <c r="AF46" s="19">
        <v>0</v>
      </c>
      <c r="AG46" s="19" t="s">
        <v>1131</v>
      </c>
      <c r="AH46" s="77" t="str">
        <f>IFERROR(VLOOKUP(A46, FromAndy!A:E, 3, FALSE), "")</f>
        <v>E</v>
      </c>
      <c r="AM46" s="19">
        <v>51.562646999999998</v>
      </c>
      <c r="AN46" s="19">
        <v>-0.13163098000000001</v>
      </c>
      <c r="AO46" s="19"/>
      <c r="AQ46" s="19">
        <f t="shared" si="4"/>
        <v>44</v>
      </c>
      <c r="AS46" s="19" t="s">
        <v>986</v>
      </c>
    </row>
    <row r="47" spans="1:45" x14ac:dyDescent="0.25">
      <c r="A47" s="19" t="s">
        <v>634</v>
      </c>
      <c r="B47" s="26" t="s">
        <v>354</v>
      </c>
      <c r="C47" s="19" t="s">
        <v>71</v>
      </c>
      <c r="D47" s="19" t="s">
        <v>355</v>
      </c>
      <c r="F47" s="19" t="str">
        <f t="shared" si="1"/>
        <v>N1 4PL</v>
      </c>
      <c r="G47" s="19">
        <f t="shared" si="2"/>
        <v>51.548955999999997</v>
      </c>
      <c r="H47" s="19">
        <f t="shared" si="3"/>
        <v>-8.1724529000000004E-2</v>
      </c>
      <c r="J47" s="19">
        <v>74</v>
      </c>
      <c r="P47" s="19"/>
      <c r="R47" s="19">
        <v>14995</v>
      </c>
      <c r="S47" s="19" t="s">
        <v>67</v>
      </c>
      <c r="U47" s="20" t="s">
        <v>997</v>
      </c>
      <c r="V47" s="19" t="s">
        <v>77</v>
      </c>
      <c r="W47" s="19"/>
      <c r="X47" s="25">
        <v>0</v>
      </c>
      <c r="Y47" s="26" t="s">
        <v>181</v>
      </c>
      <c r="Z47" s="26" t="str">
        <f t="shared" si="5"/>
        <v>https://www.google.co.uk/maps/search/?api=1&amp;query=51.548956,-0.081724529</v>
      </c>
      <c r="AB47" s="19" t="s">
        <v>280</v>
      </c>
      <c r="AC47" s="19" t="s">
        <v>280</v>
      </c>
      <c r="AD47" s="19" t="str">
        <f>IFERROR(VLOOKUP(A47, FromAndy!A:E, 4, FALSE), "")</f>
        <v>N1 4PL</v>
      </c>
      <c r="AF47" s="19">
        <v>0</v>
      </c>
      <c r="AG47" s="19" t="s">
        <v>1134</v>
      </c>
      <c r="AH47" s="19">
        <f>IFERROR(VLOOKUP(A47, FromAndy!A:E, 3, FALSE), "")</f>
        <v>0</v>
      </c>
      <c r="AM47" s="19">
        <v>51.548955999999997</v>
      </c>
      <c r="AN47" s="19">
        <v>-8.1724529000000004E-2</v>
      </c>
      <c r="AO47" s="19"/>
      <c r="AQ47" s="19">
        <f t="shared" si="4"/>
        <v>45</v>
      </c>
      <c r="AS47" s="19" t="s">
        <v>998</v>
      </c>
    </row>
    <row r="48" spans="1:45" x14ac:dyDescent="0.25">
      <c r="A48" s="19" t="s">
        <v>637</v>
      </c>
      <c r="B48" s="26" t="s">
        <v>356</v>
      </c>
      <c r="C48" s="19" t="s">
        <v>71</v>
      </c>
      <c r="D48" s="19" t="s">
        <v>357</v>
      </c>
      <c r="F48" s="19" t="str">
        <f t="shared" si="1"/>
        <v>N7 9JE</v>
      </c>
      <c r="G48" s="19">
        <f t="shared" si="2"/>
        <v>51.551972999999997</v>
      </c>
      <c r="H48" s="19">
        <f t="shared" si="3"/>
        <v>-0.12093279999999999</v>
      </c>
      <c r="J48" s="19">
        <v>268</v>
      </c>
      <c r="P48" s="19"/>
      <c r="R48" s="19">
        <v>13877</v>
      </c>
      <c r="S48" s="19" t="s">
        <v>60</v>
      </c>
      <c r="U48" s="20" t="s">
        <v>1000</v>
      </c>
      <c r="V48" s="19" t="s">
        <v>77</v>
      </c>
      <c r="W48" s="19"/>
      <c r="X48" s="25">
        <v>0</v>
      </c>
      <c r="Y48" s="26" t="s">
        <v>175</v>
      </c>
      <c r="Z48" s="26" t="str">
        <f t="shared" si="5"/>
        <v>https://www.google.co.uk/maps/search/?api=1&amp;query=51.551973,-0.1209328</v>
      </c>
      <c r="AB48" s="19" t="s">
        <v>242</v>
      </c>
      <c r="AC48" s="19" t="s">
        <v>242</v>
      </c>
      <c r="AD48" s="19" t="str">
        <f>IFERROR(VLOOKUP(A48, FromAndy!A:E, 4, FALSE), "")</f>
        <v>N7 9JE</v>
      </c>
      <c r="AF48" s="19">
        <v>0</v>
      </c>
      <c r="AG48" s="19" t="s">
        <v>1134</v>
      </c>
      <c r="AH48" s="19">
        <f>IFERROR(VLOOKUP(A48, FromAndy!A:E, 3, FALSE), "")</f>
        <v>0</v>
      </c>
      <c r="AM48" s="19">
        <v>51.551972999999997</v>
      </c>
      <c r="AN48" s="19">
        <v>-0.12093279999999999</v>
      </c>
      <c r="AO48" s="19"/>
      <c r="AQ48" s="19">
        <f t="shared" si="4"/>
        <v>46</v>
      </c>
      <c r="AS48" s="19" t="s">
        <v>1001</v>
      </c>
    </row>
    <row r="49" spans="1:45" x14ac:dyDescent="0.25">
      <c r="A49" s="19" t="s">
        <v>671</v>
      </c>
      <c r="B49" s="26" t="s">
        <v>379</v>
      </c>
      <c r="C49" s="19" t="s">
        <v>71</v>
      </c>
      <c r="D49" s="19" t="s">
        <v>380</v>
      </c>
      <c r="F49" s="19" t="str">
        <f t="shared" si="1"/>
        <v>EC1R 1XX</v>
      </c>
      <c r="G49" s="19">
        <f t="shared" si="2"/>
        <v>51.530245000000001</v>
      </c>
      <c r="H49" s="19">
        <f t="shared" si="3"/>
        <v>-0.10960161</v>
      </c>
      <c r="J49" s="19">
        <v>72</v>
      </c>
      <c r="P49" s="19"/>
      <c r="R49" s="19" t="s">
        <v>77</v>
      </c>
      <c r="S49" s="19" t="s">
        <v>77</v>
      </c>
      <c r="U49" s="20" t="s">
        <v>1004</v>
      </c>
      <c r="V49" s="19" t="s">
        <v>77</v>
      </c>
      <c r="W49" s="19" t="s">
        <v>77</v>
      </c>
      <c r="X49" s="25" t="s">
        <v>77</v>
      </c>
      <c r="Y49" s="25" t="s">
        <v>77</v>
      </c>
      <c r="Z49" s="26" t="str">
        <f t="shared" si="5"/>
        <v>https://www.google.co.uk/maps/search/?api=1&amp;query=51.530245,-0.10960161</v>
      </c>
      <c r="AB49" s="19" t="s">
        <v>237</v>
      </c>
      <c r="AC49" s="19" t="s">
        <v>77</v>
      </c>
      <c r="AD49" s="19" t="str">
        <f>IFERROR(VLOOKUP(A49, FromAndy!A:E, 4, FALSE), "")</f>
        <v>EC1R 1XX</v>
      </c>
      <c r="AF49" s="19">
        <v>0</v>
      </c>
      <c r="AG49" s="19" t="s">
        <v>1132</v>
      </c>
      <c r="AH49" s="77" t="str">
        <f>IFERROR(VLOOKUP(A49, FromAndy!A:E, 3, FALSE), "")</f>
        <v>H</v>
      </c>
      <c r="AM49" s="19">
        <v>51.530245000000001</v>
      </c>
      <c r="AN49" s="19">
        <v>-0.10960161</v>
      </c>
      <c r="AO49" s="19"/>
      <c r="AQ49" s="19">
        <f t="shared" si="4"/>
        <v>47</v>
      </c>
      <c r="AS49" s="19" t="s">
        <v>1005</v>
      </c>
    </row>
    <row r="50" spans="1:45" x14ac:dyDescent="0.25">
      <c r="A50" s="19" t="s">
        <v>640</v>
      </c>
      <c r="B50" s="26" t="s">
        <v>358</v>
      </c>
      <c r="C50" s="19" t="s">
        <v>71</v>
      </c>
      <c r="D50" s="19" t="s">
        <v>359</v>
      </c>
      <c r="F50" s="19" t="str">
        <f t="shared" si="1"/>
        <v>N4 3LD</v>
      </c>
      <c r="G50" s="19">
        <f t="shared" si="2"/>
        <v>51.565784000000001</v>
      </c>
      <c r="H50" s="19">
        <f t="shared" si="3"/>
        <v>-0.11353868</v>
      </c>
      <c r="J50" s="19">
        <v>232</v>
      </c>
      <c r="P50" s="19"/>
      <c r="R50" s="19">
        <v>25345</v>
      </c>
      <c r="S50" s="19" t="s">
        <v>69</v>
      </c>
      <c r="U50" s="20" t="s">
        <v>1007</v>
      </c>
      <c r="V50" s="26" t="s">
        <v>83</v>
      </c>
      <c r="W50" s="26" t="s">
        <v>131</v>
      </c>
      <c r="X50" s="25">
        <v>0</v>
      </c>
      <c r="Y50" s="26" t="s">
        <v>183</v>
      </c>
      <c r="Z50" s="26" t="str">
        <f t="shared" si="5"/>
        <v>https://www.google.co.uk/maps/search/?api=1&amp;query=51.565784,-0.11353868</v>
      </c>
      <c r="AB50" s="19" t="s">
        <v>248</v>
      </c>
      <c r="AC50" s="19" t="s">
        <v>248</v>
      </c>
      <c r="AD50" s="19" t="str">
        <f>IFERROR(VLOOKUP(A50, FromAndy!A:E, 4, FALSE), "")</f>
        <v>N4 3LD</v>
      </c>
      <c r="AF50" s="19">
        <v>0</v>
      </c>
      <c r="AG50" s="19" t="s">
        <v>1131</v>
      </c>
      <c r="AH50" s="77" t="str">
        <f>IFERROR(VLOOKUP(A50, FromAndy!A:E, 3, FALSE), "")</f>
        <v>E</v>
      </c>
      <c r="AM50" s="19">
        <v>51.565784000000001</v>
      </c>
      <c r="AN50" s="19">
        <v>-0.11353868</v>
      </c>
      <c r="AO50" s="19"/>
      <c r="AQ50" s="19">
        <f t="shared" si="4"/>
        <v>48</v>
      </c>
      <c r="AS50" s="19" t="s">
        <v>1008</v>
      </c>
    </row>
    <row r="51" spans="1:45" x14ac:dyDescent="0.25">
      <c r="A51" s="19" t="s">
        <v>643</v>
      </c>
      <c r="B51" s="26" t="s">
        <v>360</v>
      </c>
      <c r="C51" s="19" t="s">
        <v>71</v>
      </c>
      <c r="D51" s="19" t="s">
        <v>361</v>
      </c>
      <c r="F51" s="19" t="str">
        <f t="shared" si="1"/>
        <v>N19 3AD</v>
      </c>
      <c r="G51" s="19">
        <f t="shared" si="2"/>
        <v>51.571128999999999</v>
      </c>
      <c r="H51" s="19">
        <f t="shared" si="3"/>
        <v>-0.12328881</v>
      </c>
      <c r="J51" s="19">
        <v>81</v>
      </c>
      <c r="P51" s="19"/>
      <c r="R51" s="19">
        <v>9307</v>
      </c>
      <c r="S51" s="19" t="s">
        <v>61</v>
      </c>
      <c r="U51" s="20" t="s">
        <v>1011</v>
      </c>
      <c r="V51" s="19" t="s">
        <v>77</v>
      </c>
      <c r="W51" s="26" t="s">
        <v>127</v>
      </c>
      <c r="X51" s="25">
        <v>0</v>
      </c>
      <c r="Y51" s="26" t="s">
        <v>176</v>
      </c>
      <c r="Z51" s="26" t="str">
        <f t="shared" si="5"/>
        <v>https://www.google.co.uk/maps/search/?api=1&amp;query=51.571129,-0.12328881</v>
      </c>
      <c r="AB51" s="19" t="s">
        <v>244</v>
      </c>
      <c r="AC51" s="19" t="s">
        <v>244</v>
      </c>
      <c r="AD51" s="19" t="str">
        <f>IFERROR(VLOOKUP(A51, FromAndy!A:E, 4, FALSE), "")</f>
        <v>N19 3AD</v>
      </c>
      <c r="AF51" s="19">
        <v>0</v>
      </c>
      <c r="AG51" s="19" t="s">
        <v>1131</v>
      </c>
      <c r="AH51" s="77" t="str">
        <f>IFERROR(VLOOKUP(A51, FromAndy!A:E, 3, FALSE), "")</f>
        <v>E</v>
      </c>
      <c r="AM51" s="19">
        <v>51.571128999999999</v>
      </c>
      <c r="AN51" s="19">
        <v>-0.12328881</v>
      </c>
      <c r="AO51" s="19"/>
      <c r="AQ51" s="19">
        <f t="shared" si="4"/>
        <v>49</v>
      </c>
      <c r="AS51" s="19" t="s">
        <v>1012</v>
      </c>
    </row>
    <row r="52" spans="1:45" x14ac:dyDescent="0.25">
      <c r="A52" s="19" t="s">
        <v>607</v>
      </c>
      <c r="B52" s="26" t="s">
        <v>338</v>
      </c>
      <c r="C52" s="19" t="s">
        <v>71</v>
      </c>
      <c r="D52" s="19" t="s">
        <v>339</v>
      </c>
      <c r="F52" s="19" t="str">
        <f t="shared" si="1"/>
        <v>N1 2TX</v>
      </c>
      <c r="G52" s="19">
        <f t="shared" si="2"/>
        <v>51.538373999999997</v>
      </c>
      <c r="H52" s="19">
        <f t="shared" si="3"/>
        <v>-0.10180962</v>
      </c>
      <c r="J52" s="19">
        <v>207</v>
      </c>
      <c r="P52" s="19"/>
      <c r="R52" s="19">
        <v>6128</v>
      </c>
      <c r="S52" s="19" t="s">
        <v>66</v>
      </c>
      <c r="U52" s="20" t="s">
        <v>1014</v>
      </c>
      <c r="V52" s="19" t="s">
        <v>77</v>
      </c>
      <c r="W52" s="26" t="s">
        <v>129</v>
      </c>
      <c r="X52" s="26" t="s">
        <v>93</v>
      </c>
      <c r="Y52" s="26" t="s">
        <v>180</v>
      </c>
      <c r="Z52" s="26" t="str">
        <f t="shared" si="5"/>
        <v>https://www.google.co.uk/maps/search/?api=1&amp;query=51.538374,-0.10180962</v>
      </c>
      <c r="AB52" s="19" t="s">
        <v>246</v>
      </c>
      <c r="AC52" s="19" t="s">
        <v>246</v>
      </c>
      <c r="AD52" s="19" t="str">
        <f>IFERROR(VLOOKUP(A52, FromAndy!A:E, 4, FALSE), "")</f>
        <v>N1 2TX</v>
      </c>
      <c r="AF52" s="19">
        <v>0</v>
      </c>
      <c r="AG52" s="19" t="s">
        <v>1131</v>
      </c>
      <c r="AH52" s="77" t="str">
        <f>IFERROR(VLOOKUP(A52, FromAndy!A:E, 3, FALSE), "")</f>
        <v>E</v>
      </c>
      <c r="AM52" s="19">
        <v>51.538373999999997</v>
      </c>
      <c r="AN52" s="19">
        <v>-0.10180962</v>
      </c>
      <c r="AO52" s="19"/>
      <c r="AQ52" s="19">
        <f t="shared" si="4"/>
        <v>50</v>
      </c>
      <c r="AS52" s="19" t="s">
        <v>1015</v>
      </c>
    </row>
    <row r="53" spans="1:45" x14ac:dyDescent="0.25">
      <c r="A53" s="19" t="s">
        <v>708</v>
      </c>
      <c r="B53" s="26" t="s">
        <v>392</v>
      </c>
      <c r="C53" s="19" t="s">
        <v>71</v>
      </c>
      <c r="D53" s="19" t="s">
        <v>393</v>
      </c>
      <c r="F53" s="19" t="str">
        <f t="shared" si="1"/>
        <v/>
      </c>
      <c r="G53" s="19" t="str">
        <f t="shared" si="2"/>
        <v/>
      </c>
      <c r="H53" s="19" t="str">
        <f t="shared" si="3"/>
        <v/>
      </c>
      <c r="J53" s="19"/>
      <c r="P53" s="19"/>
      <c r="R53" s="19" t="s">
        <v>77</v>
      </c>
      <c r="S53" s="19" t="s">
        <v>77</v>
      </c>
      <c r="U53" s="20" t="s">
        <v>1017</v>
      </c>
      <c r="V53" s="19" t="s">
        <v>77</v>
      </c>
      <c r="W53" s="19" t="s">
        <v>77</v>
      </c>
      <c r="X53" s="25" t="s">
        <v>77</v>
      </c>
      <c r="Y53" s="25" t="s">
        <v>77</v>
      </c>
      <c r="Z53" s="25" t="str">
        <f t="shared" si="5"/>
        <v/>
      </c>
      <c r="AC53" s="19" t="s">
        <v>77</v>
      </c>
      <c r="AD53" s="19" t="str">
        <f>IFERROR(VLOOKUP(A53, FromAndy!A:E, 4, FALSE), "")</f>
        <v/>
      </c>
      <c r="AF53" s="19">
        <v>0</v>
      </c>
      <c r="AG53" s="19" t="s">
        <v>1134</v>
      </c>
      <c r="AH53" s="19" t="str">
        <f>IFERROR(VLOOKUP(A53, FromAndy!A:E, 3, FALSE), "")</f>
        <v/>
      </c>
      <c r="AO53" s="19"/>
      <c r="AQ53" s="19">
        <f t="shared" si="4"/>
        <v>51</v>
      </c>
    </row>
    <row r="54" spans="1:45" x14ac:dyDescent="0.25">
      <c r="A54" s="19" t="s">
        <v>653</v>
      </c>
      <c r="B54" s="26" t="s">
        <v>367</v>
      </c>
      <c r="C54" s="19" t="s">
        <v>71</v>
      </c>
      <c r="D54" s="19" t="s">
        <v>368</v>
      </c>
      <c r="F54" s="19" t="str">
        <f t="shared" si="1"/>
        <v>N4 3DQ</v>
      </c>
      <c r="G54" s="19">
        <f t="shared" si="2"/>
        <v>51.570076999999998</v>
      </c>
      <c r="H54" s="19">
        <f t="shared" si="3"/>
        <v>-0.11657886000000001</v>
      </c>
      <c r="J54" s="19"/>
      <c r="P54" s="19"/>
      <c r="R54" s="19">
        <v>25345</v>
      </c>
      <c r="S54" s="19" t="s">
        <v>69</v>
      </c>
      <c r="U54" s="19"/>
      <c r="V54" s="26" t="s">
        <v>83</v>
      </c>
      <c r="W54" s="26" t="s">
        <v>131</v>
      </c>
      <c r="X54" s="25">
        <v>0</v>
      </c>
      <c r="Y54" s="26" t="s">
        <v>183</v>
      </c>
      <c r="Z54" s="25" t="str">
        <f t="shared" si="5"/>
        <v>https://www.google.co.uk/maps/search/?api=1&amp;query=51.570077,-0.11657886</v>
      </c>
      <c r="AB54" s="19" t="s">
        <v>460</v>
      </c>
      <c r="AC54" s="19" t="s">
        <v>460</v>
      </c>
      <c r="AD54" s="19">
        <f>IFERROR(VLOOKUP(A54, FromAndy!A:E, 4, FALSE), "")</f>
        <v>0</v>
      </c>
      <c r="AF54" s="19">
        <v>0</v>
      </c>
      <c r="AG54" s="19" t="s">
        <v>1131</v>
      </c>
      <c r="AH54" s="19" t="str">
        <f>IFERROR(VLOOKUP(A54, FromAndy!A:E, 3, FALSE), "")</f>
        <v>E</v>
      </c>
      <c r="AM54" s="19">
        <v>51.570076999999998</v>
      </c>
      <c r="AN54" s="19">
        <v>-0.11657886000000001</v>
      </c>
      <c r="AO54" s="19"/>
      <c r="AQ54" s="19">
        <f t="shared" si="4"/>
        <v>52</v>
      </c>
    </row>
    <row r="55" spans="1:45" x14ac:dyDescent="0.25">
      <c r="A55" s="19" t="s">
        <v>656</v>
      </c>
      <c r="B55" s="26" t="s">
        <v>369</v>
      </c>
      <c r="C55" s="19" t="s">
        <v>71</v>
      </c>
      <c r="D55" s="19" t="s">
        <v>370</v>
      </c>
      <c r="F55" s="19" t="str">
        <f t="shared" si="1"/>
        <v>N1 9UL</v>
      </c>
      <c r="G55" s="19">
        <f t="shared" si="2"/>
        <v>51.533591999999999</v>
      </c>
      <c r="H55" s="19">
        <f t="shared" si="3"/>
        <v>-0.11191412000000001</v>
      </c>
      <c r="J55" s="19">
        <v>70</v>
      </c>
      <c r="P55" s="19"/>
      <c r="R55" s="19">
        <v>5972</v>
      </c>
      <c r="S55" s="19" t="s">
        <v>68</v>
      </c>
      <c r="U55" s="20" t="s">
        <v>1018</v>
      </c>
      <c r="V55" s="19" t="s">
        <v>77</v>
      </c>
      <c r="W55" s="26" t="s">
        <v>130</v>
      </c>
      <c r="X55" s="25">
        <v>0</v>
      </c>
      <c r="Y55" s="26" t="s">
        <v>182</v>
      </c>
      <c r="Z55" s="26" t="str">
        <f t="shared" si="5"/>
        <v>https://www.google.co.uk/maps/search/?api=1&amp;query=51.533592,-0.11191412</v>
      </c>
      <c r="AB55" s="19" t="s">
        <v>247</v>
      </c>
      <c r="AC55" s="19" t="s">
        <v>247</v>
      </c>
      <c r="AD55" s="19" t="str">
        <f>IFERROR(VLOOKUP(A55, FromAndy!A:E, 4, FALSE), "")</f>
        <v>N1 9UL</v>
      </c>
      <c r="AF55" s="19">
        <v>0</v>
      </c>
      <c r="AG55" s="19" t="s">
        <v>1132</v>
      </c>
      <c r="AH55" s="19" t="str">
        <f>IFERROR(VLOOKUP(A55, FromAndy!A:E, 3, FALSE), "")</f>
        <v>H</v>
      </c>
      <c r="AM55" s="19">
        <v>51.533591999999999</v>
      </c>
      <c r="AN55" s="19">
        <v>-0.11191412000000001</v>
      </c>
      <c r="AO55" s="19"/>
      <c r="AQ55" s="19">
        <f t="shared" si="4"/>
        <v>53</v>
      </c>
      <c r="AS55" s="19" t="s">
        <v>1019</v>
      </c>
    </row>
    <row r="56" spans="1:45" x14ac:dyDescent="0.25">
      <c r="A56" s="19" t="s">
        <v>659</v>
      </c>
      <c r="B56" s="26" t="s">
        <v>371</v>
      </c>
      <c r="C56" s="19" t="s">
        <v>71</v>
      </c>
      <c r="D56" s="19" t="s">
        <v>372</v>
      </c>
      <c r="F56" s="19" t="str">
        <f t="shared" si="1"/>
        <v>N1 2DF</v>
      </c>
      <c r="G56" s="19">
        <f t="shared" si="2"/>
        <v>51.540891000000002</v>
      </c>
      <c r="H56" s="19">
        <f t="shared" si="3"/>
        <v>-9.6758531999999994E-2</v>
      </c>
      <c r="J56" s="19">
        <v>136</v>
      </c>
      <c r="P56" s="19"/>
      <c r="R56" s="19">
        <v>8039</v>
      </c>
      <c r="S56" s="19" t="s">
        <v>52</v>
      </c>
      <c r="U56" s="20" t="s">
        <v>1021</v>
      </c>
      <c r="V56" s="19" t="s">
        <v>77</v>
      </c>
      <c r="W56" s="26" t="s">
        <v>121</v>
      </c>
      <c r="X56" s="25">
        <v>0</v>
      </c>
      <c r="Y56" s="26" t="s">
        <v>168</v>
      </c>
      <c r="Z56" s="26" t="str">
        <f t="shared" si="5"/>
        <v>https://www.google.co.uk/maps/search/?api=1&amp;query=51.540891,-0.096758532</v>
      </c>
      <c r="AB56" s="19" t="s">
        <v>235</v>
      </c>
      <c r="AC56" s="19" t="s">
        <v>235</v>
      </c>
      <c r="AD56" s="19" t="str">
        <f>IFERROR(VLOOKUP(A56, FromAndy!A:E, 4, FALSE), "")</f>
        <v>N1 2DF</v>
      </c>
      <c r="AF56" s="19">
        <v>0</v>
      </c>
      <c r="AG56" s="19" t="s">
        <v>1134</v>
      </c>
      <c r="AH56" s="19">
        <f>IFERROR(VLOOKUP(A56, FromAndy!A:E, 3, FALSE), "")</f>
        <v>0</v>
      </c>
      <c r="AM56" s="19">
        <v>51.540891000000002</v>
      </c>
      <c r="AN56" s="19">
        <v>-9.6758531999999994E-2</v>
      </c>
      <c r="AO56" s="19"/>
      <c r="AQ56" s="19">
        <f t="shared" si="4"/>
        <v>54</v>
      </c>
      <c r="AS56" s="19" t="s">
        <v>1022</v>
      </c>
    </row>
    <row r="57" spans="1:45" x14ac:dyDescent="0.25">
      <c r="A57" s="19" t="s">
        <v>662</v>
      </c>
      <c r="B57" s="26" t="s">
        <v>373</v>
      </c>
      <c r="C57" s="19" t="s">
        <v>71</v>
      </c>
      <c r="D57" s="19" t="s">
        <v>374</v>
      </c>
      <c r="F57" s="19" t="str">
        <f t="shared" si="1"/>
        <v>N4 2QP</v>
      </c>
      <c r="G57" s="19">
        <f t="shared" si="2"/>
        <v>51.559401999999999</v>
      </c>
      <c r="H57" s="19">
        <f t="shared" si="3"/>
        <v>-0.10366083</v>
      </c>
      <c r="J57" s="19">
        <v>155</v>
      </c>
      <c r="P57" s="19"/>
      <c r="R57" s="19">
        <v>8196</v>
      </c>
      <c r="S57" s="19" t="s">
        <v>57</v>
      </c>
      <c r="U57" s="20" t="s">
        <v>1024</v>
      </c>
      <c r="V57" s="19" t="s">
        <v>77</v>
      </c>
      <c r="W57" s="26" t="s">
        <v>124</v>
      </c>
      <c r="X57" s="25">
        <v>0</v>
      </c>
      <c r="Y57" s="26" t="s">
        <v>172</v>
      </c>
      <c r="Z57" s="26" t="str">
        <f t="shared" si="5"/>
        <v>https://www.google.co.uk/maps/search/?api=1&amp;query=51.559402,-0.10366083</v>
      </c>
      <c r="AB57" s="19" t="s">
        <v>239</v>
      </c>
      <c r="AC57" s="19" t="s">
        <v>239</v>
      </c>
      <c r="AD57" s="19" t="str">
        <f>IFERROR(VLOOKUP(A57, FromAndy!A:E, 4, FALSE), "")</f>
        <v>N4 2QP</v>
      </c>
      <c r="AF57" s="19">
        <v>0</v>
      </c>
      <c r="AG57" s="19" t="s">
        <v>1134</v>
      </c>
      <c r="AH57" s="19">
        <f>IFERROR(VLOOKUP(A57, FromAndy!A:E, 3, FALSE), "")</f>
        <v>0</v>
      </c>
      <c r="AM57" s="19">
        <v>51.559401999999999</v>
      </c>
      <c r="AN57" s="19">
        <v>-0.10366083</v>
      </c>
      <c r="AO57" s="19"/>
      <c r="AQ57" s="19">
        <f t="shared" si="4"/>
        <v>55</v>
      </c>
      <c r="AS57" s="19" t="s">
        <v>1025</v>
      </c>
    </row>
    <row r="58" spans="1:45" x14ac:dyDescent="0.25">
      <c r="A58" s="19" t="s">
        <v>611</v>
      </c>
      <c r="B58" s="26" t="s">
        <v>342</v>
      </c>
      <c r="C58" s="19" t="s">
        <v>71</v>
      </c>
      <c r="D58" s="19" t="s">
        <v>343</v>
      </c>
      <c r="F58" s="19" t="str">
        <f t="shared" si="1"/>
        <v/>
      </c>
      <c r="G58" s="19" t="str">
        <f t="shared" si="2"/>
        <v/>
      </c>
      <c r="H58" s="19" t="str">
        <f t="shared" si="3"/>
        <v/>
      </c>
      <c r="J58" s="19"/>
      <c r="P58" s="19"/>
      <c r="R58" s="19" t="s">
        <v>77</v>
      </c>
      <c r="S58" s="19" t="s">
        <v>77</v>
      </c>
      <c r="U58" s="19"/>
      <c r="V58" s="19" t="s">
        <v>77</v>
      </c>
      <c r="W58" s="19" t="s">
        <v>77</v>
      </c>
      <c r="X58" s="25" t="s">
        <v>77</v>
      </c>
      <c r="Y58" s="25" t="s">
        <v>77</v>
      </c>
      <c r="Z58" s="25" t="str">
        <f t="shared" si="5"/>
        <v/>
      </c>
      <c r="AC58" s="19" t="s">
        <v>77</v>
      </c>
      <c r="AD58" s="19">
        <f>IFERROR(VLOOKUP(A58, FromAndy!A:E, 4, FALSE), "")</f>
        <v>0</v>
      </c>
      <c r="AF58" s="19">
        <v>0</v>
      </c>
      <c r="AG58" s="19" t="s">
        <v>1131</v>
      </c>
      <c r="AH58" s="19" t="str">
        <f>IFERROR(VLOOKUP(A58, FromAndy!A:E, 3, FALSE), "")</f>
        <v>E</v>
      </c>
      <c r="AO58" s="19"/>
      <c r="AQ58" s="19">
        <f t="shared" si="4"/>
        <v>56</v>
      </c>
    </row>
    <row r="59" spans="1:45" x14ac:dyDescent="0.25">
      <c r="A59" s="19" t="s">
        <v>683</v>
      </c>
      <c r="B59" s="26" t="s">
        <v>390</v>
      </c>
      <c r="C59" s="19" t="s">
        <v>71</v>
      </c>
      <c r="D59" s="19" t="s">
        <v>391</v>
      </c>
      <c r="F59" s="19" t="str">
        <f t="shared" si="1"/>
        <v/>
      </c>
      <c r="G59" s="19" t="str">
        <f t="shared" si="2"/>
        <v/>
      </c>
      <c r="H59" s="19" t="str">
        <f t="shared" si="3"/>
        <v/>
      </c>
      <c r="J59" s="19"/>
      <c r="P59" s="19"/>
      <c r="R59" s="19" t="s">
        <v>77</v>
      </c>
      <c r="S59" s="19" t="s">
        <v>77</v>
      </c>
      <c r="U59" s="20" t="s">
        <v>1027</v>
      </c>
      <c r="V59" s="19" t="s">
        <v>77</v>
      </c>
      <c r="W59" s="19" t="s">
        <v>77</v>
      </c>
      <c r="X59" s="25" t="s">
        <v>77</v>
      </c>
      <c r="Y59" s="25" t="s">
        <v>77</v>
      </c>
      <c r="Z59" s="25" t="str">
        <f t="shared" si="5"/>
        <v/>
      </c>
      <c r="AC59" s="19" t="s">
        <v>77</v>
      </c>
      <c r="AD59" s="19" t="str">
        <f>IFERROR(VLOOKUP(A59, FromAndy!A:E, 4, FALSE), "")</f>
        <v/>
      </c>
      <c r="AF59" s="19">
        <v>0</v>
      </c>
      <c r="AG59" s="19" t="s">
        <v>1134</v>
      </c>
      <c r="AH59" s="19" t="str">
        <f>IFERROR(VLOOKUP(A59, FromAndy!A:E, 3, FALSE), "")</f>
        <v/>
      </c>
      <c r="AO59" s="19"/>
      <c r="AQ59" s="19">
        <f t="shared" si="4"/>
        <v>57</v>
      </c>
    </row>
    <row r="60" spans="1:45" x14ac:dyDescent="0.25">
      <c r="A60" s="19" t="s">
        <v>615</v>
      </c>
      <c r="B60" s="26" t="s">
        <v>346</v>
      </c>
      <c r="C60" s="19" t="s">
        <v>71</v>
      </c>
      <c r="D60" s="19" t="s">
        <v>51</v>
      </c>
      <c r="F60" s="19" t="str">
        <f t="shared" si="1"/>
        <v>N1 0ES</v>
      </c>
      <c r="G60" s="19">
        <f t="shared" si="2"/>
        <v>51.536521</v>
      </c>
      <c r="H60" s="19">
        <f t="shared" si="3"/>
        <v>-0.11063936000000001</v>
      </c>
      <c r="J60" s="19">
        <v>66</v>
      </c>
      <c r="P60" s="19"/>
      <c r="R60" s="19" t="s">
        <v>77</v>
      </c>
      <c r="S60" s="19" t="s">
        <v>77</v>
      </c>
      <c r="U60" s="20" t="s">
        <v>1028</v>
      </c>
      <c r="V60" s="20" t="s">
        <v>82</v>
      </c>
      <c r="W60" s="19" t="s">
        <v>77</v>
      </c>
      <c r="X60" s="25" t="s">
        <v>77</v>
      </c>
      <c r="Y60" s="25" t="s">
        <v>77</v>
      </c>
      <c r="Z60" s="26" t="str">
        <f t="shared" si="5"/>
        <v>https://www.google.co.uk/maps/search/?api=1&amp;query=51.536521,-0.11063936</v>
      </c>
      <c r="AB60" s="19" t="s">
        <v>234</v>
      </c>
      <c r="AC60" s="19" t="s">
        <v>77</v>
      </c>
      <c r="AD60" s="19" t="str">
        <f>IFERROR(VLOOKUP(A60, FromAndy!A:E, 4, FALSE), "")</f>
        <v/>
      </c>
      <c r="AF60" s="19">
        <v>0</v>
      </c>
      <c r="AG60" s="19" t="s">
        <v>1134</v>
      </c>
      <c r="AH60" s="19" t="str">
        <f>IFERROR(VLOOKUP(A60, FromAndy!A:E, 3, FALSE), "")</f>
        <v/>
      </c>
      <c r="AM60" s="19">
        <v>51.536521</v>
      </c>
      <c r="AN60" s="19">
        <v>-0.11063936000000001</v>
      </c>
      <c r="AO60" s="19"/>
      <c r="AQ60" s="19">
        <f t="shared" si="4"/>
        <v>58</v>
      </c>
      <c r="AS60" s="19" t="s">
        <v>959</v>
      </c>
    </row>
    <row r="61" spans="1:45" x14ac:dyDescent="0.25">
      <c r="A61" s="19" t="s">
        <v>680</v>
      </c>
      <c r="B61" s="26" t="s">
        <v>388</v>
      </c>
      <c r="C61" s="19" t="s">
        <v>71</v>
      </c>
      <c r="D61" s="19" t="s">
        <v>389</v>
      </c>
      <c r="F61" s="19" t="str">
        <f t="shared" si="1"/>
        <v/>
      </c>
      <c r="G61" s="19" t="str">
        <f t="shared" si="2"/>
        <v/>
      </c>
      <c r="H61" s="19" t="str">
        <f t="shared" si="3"/>
        <v/>
      </c>
      <c r="J61" s="19"/>
      <c r="P61" s="19"/>
      <c r="R61" s="19" t="s">
        <v>77</v>
      </c>
      <c r="S61" s="19" t="s">
        <v>77</v>
      </c>
      <c r="U61" s="19"/>
      <c r="V61" s="19" t="s">
        <v>77</v>
      </c>
      <c r="W61" s="19" t="s">
        <v>77</v>
      </c>
      <c r="X61" s="25" t="s">
        <v>77</v>
      </c>
      <c r="Y61" s="25" t="s">
        <v>77</v>
      </c>
      <c r="Z61" s="25" t="str">
        <f t="shared" si="5"/>
        <v/>
      </c>
      <c r="AC61" s="19" t="s">
        <v>77</v>
      </c>
      <c r="AD61" s="19" t="str">
        <f>IFERROR(VLOOKUP(A61, FromAndy!A:E, 4, FALSE), "")</f>
        <v/>
      </c>
      <c r="AF61" s="19">
        <v>0</v>
      </c>
      <c r="AG61" s="19" t="s">
        <v>1134</v>
      </c>
      <c r="AH61" s="19" t="str">
        <f>IFERROR(VLOOKUP(A61, FromAndy!A:E, 3, FALSE), "")</f>
        <v/>
      </c>
      <c r="AO61" s="19"/>
      <c r="AQ61" s="19">
        <f t="shared" si="4"/>
        <v>59</v>
      </c>
    </row>
    <row r="62" spans="1:45" x14ac:dyDescent="0.25">
      <c r="A62" s="19" t="s">
        <v>679</v>
      </c>
      <c r="B62" s="26" t="s">
        <v>387</v>
      </c>
      <c r="C62" s="19" t="s">
        <v>71</v>
      </c>
      <c r="D62" s="19" t="s">
        <v>55</v>
      </c>
      <c r="F62" s="19" t="str">
        <f t="shared" si="1"/>
        <v>EC1R 1XX</v>
      </c>
      <c r="G62" s="19">
        <f t="shared" si="2"/>
        <v>51.530245000000001</v>
      </c>
      <c r="H62" s="19">
        <f t="shared" si="3"/>
        <v>-0.10960161</v>
      </c>
      <c r="J62" s="19"/>
      <c r="P62" s="19"/>
      <c r="R62" s="19">
        <v>6856</v>
      </c>
      <c r="S62" s="19" t="s">
        <v>54</v>
      </c>
      <c r="U62" s="20" t="s">
        <v>1029</v>
      </c>
      <c r="V62" s="19" t="s">
        <v>77</v>
      </c>
      <c r="W62" s="26" t="s">
        <v>122</v>
      </c>
      <c r="X62" s="25">
        <v>0</v>
      </c>
      <c r="Y62" s="26" t="s">
        <v>170</v>
      </c>
      <c r="Z62" s="26" t="str">
        <f t="shared" si="5"/>
        <v>https://www.google.co.uk/maps/search/?api=1&amp;query=51.530245,-0.10960161</v>
      </c>
      <c r="AC62" s="19" t="s">
        <v>237</v>
      </c>
      <c r="AD62" s="19">
        <f>IFERROR(VLOOKUP(A62, FromAndy!A:E, 4, FALSE), "")</f>
        <v>0</v>
      </c>
      <c r="AF62" s="19">
        <v>0</v>
      </c>
      <c r="AG62" s="19" t="s">
        <v>1134</v>
      </c>
      <c r="AH62" s="19">
        <f>IFERROR(VLOOKUP(A62, FromAndy!A:E, 3, FALSE), "")</f>
        <v>0</v>
      </c>
      <c r="AM62" s="19">
        <v>51.530245000000001</v>
      </c>
      <c r="AN62" s="19">
        <v>-0.10960161</v>
      </c>
      <c r="AO62" s="19"/>
      <c r="AQ62" s="19">
        <f t="shared" si="4"/>
        <v>60</v>
      </c>
    </row>
    <row r="63" spans="1:45" x14ac:dyDescent="0.25">
      <c r="A63" s="19" t="s">
        <v>766</v>
      </c>
      <c r="B63" s="26" t="s">
        <v>423</v>
      </c>
      <c r="C63" s="19" t="s">
        <v>50</v>
      </c>
      <c r="D63" s="19" t="s">
        <v>424</v>
      </c>
      <c r="F63" s="19" t="str">
        <f t="shared" si="1"/>
        <v>E3 3PN</v>
      </c>
      <c r="G63" s="19">
        <f t="shared" si="2"/>
        <v>51.520327000000002</v>
      </c>
      <c r="H63" s="19">
        <f t="shared" si="3"/>
        <v>-2.022498E-2</v>
      </c>
      <c r="J63" s="19">
        <v>161</v>
      </c>
      <c r="P63" s="19"/>
      <c r="R63" s="19">
        <v>6196</v>
      </c>
      <c r="S63" s="19" t="s">
        <v>37</v>
      </c>
      <c r="U63" s="20" t="s">
        <v>1031</v>
      </c>
      <c r="V63" s="19" t="s">
        <v>77</v>
      </c>
      <c r="W63" s="26" t="s">
        <v>136</v>
      </c>
      <c r="X63" s="26" t="s">
        <v>100</v>
      </c>
      <c r="Y63" s="26" t="s">
        <v>191</v>
      </c>
      <c r="Z63" s="26" t="str">
        <f t="shared" si="5"/>
        <v>https://www.google.co.uk/maps/search/?api=1&amp;query=51.520327,-0.02022498</v>
      </c>
      <c r="AB63" s="19" t="s">
        <v>1030</v>
      </c>
      <c r="AC63" s="19" t="s">
        <v>254</v>
      </c>
      <c r="AD63" s="19" t="str">
        <f>IFERROR(VLOOKUP(A63, FromAndy!A:E, 4, FALSE), "")</f>
        <v>E3 3PN</v>
      </c>
      <c r="AF63" s="19">
        <v>0</v>
      </c>
      <c r="AG63" s="19" t="s">
        <v>1131</v>
      </c>
      <c r="AH63" s="19" t="str">
        <f>IFERROR(VLOOKUP(A63, FromAndy!A:E, 3, FALSE), "")</f>
        <v>E</v>
      </c>
      <c r="AM63" s="19">
        <v>51.520327000000002</v>
      </c>
      <c r="AN63" s="19">
        <v>-2.022498E-2</v>
      </c>
      <c r="AO63" s="19"/>
      <c r="AQ63" s="19">
        <f t="shared" si="4"/>
        <v>61</v>
      </c>
      <c r="AS63" s="19" t="s">
        <v>1032</v>
      </c>
    </row>
    <row r="64" spans="1:45" x14ac:dyDescent="0.25">
      <c r="A64" s="19" t="s">
        <v>754</v>
      </c>
      <c r="B64" s="26" t="s">
        <v>415</v>
      </c>
      <c r="C64" s="19" t="s">
        <v>50</v>
      </c>
      <c r="D64" s="19" t="s">
        <v>753</v>
      </c>
      <c r="F64" s="19" t="str">
        <f t="shared" si="1"/>
        <v>E14 0EY</v>
      </c>
      <c r="G64" s="19">
        <f t="shared" si="2"/>
        <v>51.510477000000002</v>
      </c>
      <c r="H64" s="19">
        <f t="shared" si="3"/>
        <v>-1.2624882E-2</v>
      </c>
      <c r="J64" s="19">
        <v>344</v>
      </c>
      <c r="P64" s="19"/>
      <c r="R64" s="19" t="s">
        <v>77</v>
      </c>
      <c r="S64" s="19" t="s">
        <v>77</v>
      </c>
      <c r="U64" s="20" t="s">
        <v>1034</v>
      </c>
      <c r="V64" s="19" t="s">
        <v>77</v>
      </c>
      <c r="W64" s="19" t="s">
        <v>77</v>
      </c>
      <c r="X64" s="25" t="s">
        <v>77</v>
      </c>
      <c r="Y64" s="25" t="s">
        <v>77</v>
      </c>
      <c r="Z64" s="26" t="str">
        <f t="shared" si="5"/>
        <v>https://www.google.co.uk/maps/search/?api=1&amp;query=51.510477,-0.012624882</v>
      </c>
      <c r="AB64" s="19" t="s">
        <v>260</v>
      </c>
      <c r="AC64" s="19" t="s">
        <v>77</v>
      </c>
      <c r="AD64" s="19" t="str">
        <f>IFERROR(VLOOKUP(A64, FromAndy!A:E, 4, FALSE), "")</f>
        <v/>
      </c>
      <c r="AF64" s="19">
        <v>0</v>
      </c>
      <c r="AG64" s="19" t="s">
        <v>1134</v>
      </c>
      <c r="AH64" s="19" t="str">
        <f>IFERROR(VLOOKUP(A64, FromAndy!A:E, 3, FALSE), "")</f>
        <v/>
      </c>
      <c r="AM64" s="19">
        <v>51.510477000000002</v>
      </c>
      <c r="AN64" s="19">
        <v>-1.2624882E-2</v>
      </c>
      <c r="AO64" s="19"/>
      <c r="AQ64" s="19">
        <f t="shared" si="4"/>
        <v>62</v>
      </c>
      <c r="AS64" s="19" t="s">
        <v>1035</v>
      </c>
    </row>
    <row r="65" spans="1:45" x14ac:dyDescent="0.25">
      <c r="A65" s="19" t="s">
        <v>758</v>
      </c>
      <c r="B65" s="26" t="s">
        <v>417</v>
      </c>
      <c r="C65" s="19" t="s">
        <v>50</v>
      </c>
      <c r="D65" s="19" t="s">
        <v>418</v>
      </c>
      <c r="F65" s="19" t="str">
        <f t="shared" si="1"/>
        <v>E14 8LH</v>
      </c>
      <c r="G65" s="19">
        <f t="shared" si="2"/>
        <v>51.499136</v>
      </c>
      <c r="H65" s="19">
        <f t="shared" si="3"/>
        <v>-2.3736838999999999E-2</v>
      </c>
      <c r="J65" s="19">
        <v>151</v>
      </c>
      <c r="P65" s="19"/>
      <c r="R65" s="19" t="s">
        <v>77</v>
      </c>
      <c r="S65" s="19" t="s">
        <v>77</v>
      </c>
      <c r="U65" s="20" t="s">
        <v>1038</v>
      </c>
      <c r="V65" s="19" t="s">
        <v>77</v>
      </c>
      <c r="W65" s="19" t="s">
        <v>77</v>
      </c>
      <c r="X65" s="25" t="s">
        <v>77</v>
      </c>
      <c r="Y65" s="25" t="s">
        <v>77</v>
      </c>
      <c r="Z65" s="26" t="str">
        <f t="shared" si="5"/>
        <v>https://www.google.co.uk/maps/search/?api=1&amp;query=51.499136,-0.023736839</v>
      </c>
      <c r="AB65" s="19" t="s">
        <v>256</v>
      </c>
      <c r="AC65" s="19" t="s">
        <v>77</v>
      </c>
      <c r="AD65" s="19" t="str">
        <f>IFERROR(VLOOKUP(A65, FromAndy!A:E, 4, FALSE), "")</f>
        <v/>
      </c>
      <c r="AF65" s="19">
        <v>0</v>
      </c>
      <c r="AG65" s="19" t="s">
        <v>1134</v>
      </c>
      <c r="AH65" s="19" t="str">
        <f>IFERROR(VLOOKUP(A65, FromAndy!A:E, 3, FALSE), "")</f>
        <v/>
      </c>
      <c r="AM65" s="19">
        <v>51.499136</v>
      </c>
      <c r="AN65" s="19">
        <v>-2.3736838999999999E-2</v>
      </c>
      <c r="AO65" s="19"/>
      <c r="AQ65" s="19">
        <f t="shared" si="4"/>
        <v>63</v>
      </c>
      <c r="AS65" s="19" t="s">
        <v>1039</v>
      </c>
    </row>
    <row r="66" spans="1:45" x14ac:dyDescent="0.25">
      <c r="A66" s="19" t="s">
        <v>762</v>
      </c>
      <c r="B66" s="26" t="s">
        <v>419</v>
      </c>
      <c r="C66" s="19" t="s">
        <v>50</v>
      </c>
      <c r="D66" s="19" t="s">
        <v>420</v>
      </c>
      <c r="F66" s="19" t="str">
        <f t="shared" si="1"/>
        <v>E14 3BN</v>
      </c>
      <c r="G66" s="19">
        <f t="shared" si="2"/>
        <v>51.489291000000001</v>
      </c>
      <c r="H66" s="19">
        <f t="shared" si="3"/>
        <v>-6.3439621000000003E-3</v>
      </c>
      <c r="J66" s="19">
        <v>99</v>
      </c>
      <c r="P66" s="19"/>
      <c r="R66" s="19">
        <v>32052</v>
      </c>
      <c r="S66" s="19" t="s">
        <v>38</v>
      </c>
      <c r="U66" s="20" t="s">
        <v>1042</v>
      </c>
      <c r="V66" s="19" t="s">
        <v>77</v>
      </c>
      <c r="W66" s="26" t="s">
        <v>137</v>
      </c>
      <c r="X66" s="25">
        <v>0</v>
      </c>
      <c r="Y66" s="26" t="s">
        <v>192</v>
      </c>
      <c r="Z66" s="26" t="str">
        <f t="shared" ref="Z66:Z88" si="6">IF("" = G66, "", SUBSTITUTE(SUBSTITUTE(GoogleStreetViewLinkFormat, "$lat$", G66), "$long$", H66))</f>
        <v>https://www.google.co.uk/maps/search/?api=1&amp;query=51.489291,-0.0063439621</v>
      </c>
      <c r="AB66" s="19" t="s">
        <v>255</v>
      </c>
      <c r="AC66" s="19" t="s">
        <v>255</v>
      </c>
      <c r="AD66" s="19" t="str">
        <f>IFERROR(VLOOKUP(A66, FromAndy!A:E, 4, FALSE), "")</f>
        <v>E14 3BN</v>
      </c>
      <c r="AF66" s="19">
        <v>0</v>
      </c>
      <c r="AG66" s="19" t="s">
        <v>1132</v>
      </c>
      <c r="AH66" s="19" t="str">
        <f>IFERROR(VLOOKUP(A66, FromAndy!A:E, 3, FALSE), "")</f>
        <v>H</v>
      </c>
      <c r="AM66" s="19">
        <v>51.489291000000001</v>
      </c>
      <c r="AN66" s="19">
        <v>-6.3439621000000003E-3</v>
      </c>
      <c r="AO66" s="19"/>
      <c r="AQ66" s="19">
        <f t="shared" si="4"/>
        <v>64</v>
      </c>
      <c r="AS66" s="19" t="s">
        <v>1039</v>
      </c>
    </row>
    <row r="67" spans="1:45" x14ac:dyDescent="0.25">
      <c r="A67" s="19" t="s">
        <v>797</v>
      </c>
      <c r="B67" s="26" t="s">
        <v>442</v>
      </c>
      <c r="C67" s="19" t="s">
        <v>50</v>
      </c>
      <c r="D67" s="19" t="s">
        <v>443</v>
      </c>
      <c r="F67" s="19" t="str">
        <f t="shared" ref="F67:F89" si="7">SUBSTITUTE(IF("" &lt;&gt; AB67, AB67, AC67), ")", "")</f>
        <v>E1 6LY</v>
      </c>
      <c r="G67" s="19">
        <f t="shared" ref="G67:G89" si="8">IF(0 = IF("" = AK67, AM67, AK67), "", IF("" = AK67, AM67, AK67))</f>
        <v>51.519075999999998</v>
      </c>
      <c r="H67" s="19">
        <f t="shared" ref="H67:H89" si="9">IF(0 = IF("" = AL67, AN67, AL67), "", IF("" = AL67, AN67, AL67))</f>
        <v>-7.3683262999999999E-2</v>
      </c>
      <c r="J67" s="19">
        <v>207</v>
      </c>
      <c r="P67" s="19"/>
      <c r="R67" s="19">
        <v>12526</v>
      </c>
      <c r="S67" s="19" t="s">
        <v>44</v>
      </c>
      <c r="U67" s="20" t="s">
        <v>1043</v>
      </c>
      <c r="V67" s="19" t="s">
        <v>77</v>
      </c>
      <c r="W67" s="26" t="s">
        <v>142</v>
      </c>
      <c r="X67" s="26" t="s">
        <v>105</v>
      </c>
      <c r="Y67" s="26" t="s">
        <v>197</v>
      </c>
      <c r="Z67" s="26" t="str">
        <f t="shared" si="6"/>
        <v>https://www.google.co.uk/maps/search/?api=1&amp;query=51.519076,-0.073683263</v>
      </c>
      <c r="AB67" s="19" t="s">
        <v>263</v>
      </c>
      <c r="AC67" s="19" t="s">
        <v>263</v>
      </c>
      <c r="AD67" s="19" t="str">
        <f>IFERROR(VLOOKUP(A67, FromAndy!A:E, 4, FALSE), "")</f>
        <v>E1 6LY</v>
      </c>
      <c r="AF67" s="19">
        <v>1</v>
      </c>
      <c r="AG67" s="19" t="s">
        <v>1131</v>
      </c>
      <c r="AH67" s="19" t="str">
        <f>IFERROR(VLOOKUP(A67, FromAndy!A:E, 3, FALSE), "")</f>
        <v>E</v>
      </c>
      <c r="AM67" s="19">
        <v>51.519075999999998</v>
      </c>
      <c r="AN67" s="19">
        <v>-7.3683262999999999E-2</v>
      </c>
      <c r="AO67" s="19"/>
      <c r="AQ67" s="19">
        <f t="shared" ref="AQ67:AQ89" si="10">ROW() - 2</f>
        <v>65</v>
      </c>
      <c r="AS67" s="19" t="s">
        <v>1044</v>
      </c>
    </row>
    <row r="68" spans="1:45" x14ac:dyDescent="0.25">
      <c r="A68" s="19" t="s">
        <v>807</v>
      </c>
      <c r="B68" s="26" t="s">
        <v>446</v>
      </c>
      <c r="C68" s="19" t="s">
        <v>50</v>
      </c>
      <c r="D68" s="19" t="s">
        <v>447</v>
      </c>
      <c r="F68" s="19" t="str">
        <f t="shared" si="7"/>
        <v/>
      </c>
      <c r="G68" s="19" t="str">
        <f t="shared" si="8"/>
        <v/>
      </c>
      <c r="H68" s="19" t="str">
        <f t="shared" si="9"/>
        <v/>
      </c>
      <c r="J68" s="19"/>
      <c r="P68" s="19"/>
      <c r="R68" s="19" t="s">
        <v>77</v>
      </c>
      <c r="S68" s="19" t="s">
        <v>77</v>
      </c>
      <c r="U68" s="19"/>
      <c r="V68" s="19" t="s">
        <v>77</v>
      </c>
      <c r="W68" s="19" t="s">
        <v>77</v>
      </c>
      <c r="X68" s="25" t="s">
        <v>77</v>
      </c>
      <c r="Y68" s="25" t="s">
        <v>77</v>
      </c>
      <c r="Z68" s="25" t="str">
        <f t="shared" si="6"/>
        <v/>
      </c>
      <c r="AC68" s="19" t="s">
        <v>77</v>
      </c>
      <c r="AD68" s="19" t="str">
        <f>IFERROR(VLOOKUP(A68, FromAndy!A:E, 4, FALSE), "")</f>
        <v/>
      </c>
      <c r="AF68" s="19">
        <v>0</v>
      </c>
      <c r="AG68" s="19" t="s">
        <v>1134</v>
      </c>
      <c r="AH68" s="19" t="str">
        <f>IFERROR(VLOOKUP(A68, FromAndy!A:E, 3, FALSE), "")</f>
        <v/>
      </c>
      <c r="AO68" s="19"/>
      <c r="AQ68" s="19">
        <f t="shared" si="10"/>
        <v>66</v>
      </c>
    </row>
    <row r="69" spans="1:45" x14ac:dyDescent="0.25">
      <c r="A69" s="19" t="s">
        <v>854</v>
      </c>
      <c r="B69" s="26" t="s">
        <v>450</v>
      </c>
      <c r="C69" s="19" t="s">
        <v>50</v>
      </c>
      <c r="D69" s="19" t="s">
        <v>853</v>
      </c>
      <c r="F69" s="19" t="str">
        <f t="shared" si="7"/>
        <v/>
      </c>
      <c r="G69" s="19" t="str">
        <f t="shared" si="8"/>
        <v/>
      </c>
      <c r="H69" s="19" t="str">
        <f t="shared" si="9"/>
        <v/>
      </c>
      <c r="J69" s="19"/>
      <c r="P69" s="19"/>
      <c r="R69" s="19" t="s">
        <v>77</v>
      </c>
      <c r="S69" s="19" t="s">
        <v>77</v>
      </c>
      <c r="U69" s="19"/>
      <c r="V69" s="19" t="s">
        <v>77</v>
      </c>
      <c r="W69" s="19" t="s">
        <v>77</v>
      </c>
      <c r="X69" s="25" t="s">
        <v>77</v>
      </c>
      <c r="Y69" s="25" t="s">
        <v>77</v>
      </c>
      <c r="Z69" s="25" t="str">
        <f t="shared" si="6"/>
        <v/>
      </c>
      <c r="AC69" s="19" t="s">
        <v>77</v>
      </c>
      <c r="AD69" s="19" t="str">
        <f>IFERROR(VLOOKUP(A69, FromAndy!A:E, 4, FALSE), "")</f>
        <v/>
      </c>
      <c r="AF69" s="19">
        <v>0</v>
      </c>
      <c r="AG69" s="19" t="s">
        <v>1134</v>
      </c>
      <c r="AH69" s="19" t="str">
        <f>IFERROR(VLOOKUP(A69, FromAndy!A:E, 3, FALSE), "")</f>
        <v/>
      </c>
      <c r="AO69" s="19"/>
      <c r="AQ69" s="19">
        <f t="shared" si="10"/>
        <v>67</v>
      </c>
    </row>
    <row r="70" spans="1:45" x14ac:dyDescent="0.25">
      <c r="A70" s="19" t="s">
        <v>750</v>
      </c>
      <c r="B70" s="26" t="s">
        <v>413</v>
      </c>
      <c r="C70" s="19" t="s">
        <v>50</v>
      </c>
      <c r="D70" s="19" t="s">
        <v>414</v>
      </c>
      <c r="F70" s="19" t="str">
        <f t="shared" si="7"/>
        <v>E14 0EY</v>
      </c>
      <c r="G70" s="19" t="str">
        <f t="shared" si="8"/>
        <v/>
      </c>
      <c r="H70" s="19" t="str">
        <f t="shared" si="9"/>
        <v/>
      </c>
      <c r="J70" s="19"/>
      <c r="P70" s="19"/>
      <c r="R70" s="19" t="s">
        <v>77</v>
      </c>
      <c r="S70" s="19" t="s">
        <v>77</v>
      </c>
      <c r="U70" s="19"/>
      <c r="V70" s="19" t="s">
        <v>77</v>
      </c>
      <c r="W70" s="19" t="s">
        <v>77</v>
      </c>
      <c r="X70" s="25" t="s">
        <v>77</v>
      </c>
      <c r="Y70" s="25" t="s">
        <v>77</v>
      </c>
      <c r="Z70" s="25" t="str">
        <f t="shared" si="6"/>
        <v/>
      </c>
      <c r="AC70" s="19" t="s">
        <v>260</v>
      </c>
      <c r="AD70" s="19" t="str">
        <f>IFERROR(VLOOKUP(A70, FromAndy!A:E, 4, FALSE), "")</f>
        <v>E14 0EY</v>
      </c>
      <c r="AF70" s="19">
        <v>0</v>
      </c>
      <c r="AG70" s="19" t="s">
        <v>1132</v>
      </c>
      <c r="AH70" s="19" t="str">
        <f>IFERROR(VLOOKUP(A70, FromAndy!A:E, 3, FALSE), "")</f>
        <v>H</v>
      </c>
      <c r="AO70" s="19"/>
      <c r="AQ70" s="19">
        <f t="shared" si="10"/>
        <v>68</v>
      </c>
    </row>
    <row r="71" spans="1:45" x14ac:dyDescent="0.25">
      <c r="A71" s="19" t="s">
        <v>775</v>
      </c>
      <c r="B71" s="26" t="s">
        <v>428</v>
      </c>
      <c r="C71" s="19" t="s">
        <v>50</v>
      </c>
      <c r="D71" s="19" t="s">
        <v>429</v>
      </c>
      <c r="F71" s="19" t="str">
        <f t="shared" si="7"/>
        <v>E14 7HA</v>
      </c>
      <c r="G71" s="19">
        <f t="shared" si="8"/>
        <v>51.51144</v>
      </c>
      <c r="H71" s="19">
        <f t="shared" si="9"/>
        <v>-2.8652011000000002E-2</v>
      </c>
      <c r="J71" s="19">
        <v>109</v>
      </c>
      <c r="P71" s="19"/>
      <c r="R71" s="19" t="s">
        <v>77</v>
      </c>
      <c r="S71" s="19" t="s">
        <v>77</v>
      </c>
      <c r="U71" s="20" t="s">
        <v>1049</v>
      </c>
      <c r="V71" s="19" t="s">
        <v>77</v>
      </c>
      <c r="W71" s="19" t="s">
        <v>77</v>
      </c>
      <c r="X71" s="25" t="s">
        <v>77</v>
      </c>
      <c r="Y71" s="25" t="s">
        <v>77</v>
      </c>
      <c r="Z71" s="26" t="str">
        <f t="shared" si="6"/>
        <v>https://www.google.co.uk/maps/search/?api=1&amp;query=51.51144,-0.028652011</v>
      </c>
      <c r="AB71" s="19" t="s">
        <v>257</v>
      </c>
      <c r="AC71" s="19" t="s">
        <v>77</v>
      </c>
      <c r="AD71" s="19" t="str">
        <f>IFERROR(VLOOKUP(A71, FromAndy!A:E, 4, FALSE), "")</f>
        <v>E14 7HA</v>
      </c>
      <c r="AF71" s="19">
        <v>0</v>
      </c>
      <c r="AG71" s="19" t="s">
        <v>1131</v>
      </c>
      <c r="AH71" s="19" t="str">
        <f>IFERROR(VLOOKUP(A71, FromAndy!A:E, 3, FALSE), "")</f>
        <v>E</v>
      </c>
      <c r="AM71" s="19">
        <v>51.51144</v>
      </c>
      <c r="AN71" s="19">
        <v>-2.8652011000000002E-2</v>
      </c>
      <c r="AO71" s="19"/>
      <c r="AQ71" s="19">
        <f t="shared" si="10"/>
        <v>69</v>
      </c>
      <c r="AS71" s="19" t="s">
        <v>1050</v>
      </c>
    </row>
    <row r="72" spans="1:45" x14ac:dyDescent="0.25">
      <c r="A72" s="19" t="s">
        <v>778</v>
      </c>
      <c r="B72" s="26" t="s">
        <v>430</v>
      </c>
      <c r="C72" s="19" t="s">
        <v>50</v>
      </c>
      <c r="D72" s="19" t="s">
        <v>40</v>
      </c>
      <c r="F72" s="19" t="str">
        <f t="shared" si="7"/>
        <v>E14 7HP</v>
      </c>
      <c r="G72" s="19">
        <f t="shared" si="8"/>
        <v>51.511521000000002</v>
      </c>
      <c r="H72" s="19">
        <f t="shared" si="9"/>
        <v>-3.1357896000000003E-2</v>
      </c>
      <c r="J72" s="19"/>
      <c r="P72" s="19"/>
      <c r="R72" s="19">
        <v>13115</v>
      </c>
      <c r="S72" s="19" t="s">
        <v>39</v>
      </c>
      <c r="U72" s="19"/>
      <c r="V72" s="19" t="s">
        <v>77</v>
      </c>
      <c r="W72" s="26" t="s">
        <v>138</v>
      </c>
      <c r="X72" s="26" t="s">
        <v>101</v>
      </c>
      <c r="Y72" s="26" t="s">
        <v>193</v>
      </c>
      <c r="Z72" s="25" t="str">
        <f t="shared" si="6"/>
        <v>https://www.google.co.uk/maps/search/?api=1&amp;query=51.511521,-0.031357896</v>
      </c>
      <c r="AB72" s="19" t="s">
        <v>1052</v>
      </c>
      <c r="AC72" s="19" t="s">
        <v>257</v>
      </c>
      <c r="AD72" s="19" t="str">
        <f>IFERROR(VLOOKUP(A72, FromAndy!A:E, 4, FALSE), "")</f>
        <v/>
      </c>
      <c r="AF72" s="19">
        <v>0</v>
      </c>
      <c r="AG72" s="19" t="s">
        <v>1134</v>
      </c>
      <c r="AH72" s="19" t="str">
        <f>IFERROR(VLOOKUP(A72, FromAndy!A:E, 3, FALSE), "")</f>
        <v/>
      </c>
      <c r="AM72" s="19">
        <v>51.511521000000002</v>
      </c>
      <c r="AN72" s="19">
        <v>-3.1357896000000003E-2</v>
      </c>
      <c r="AO72" s="19"/>
      <c r="AQ72" s="19">
        <f t="shared" si="10"/>
        <v>70</v>
      </c>
    </row>
    <row r="73" spans="1:45" x14ac:dyDescent="0.25">
      <c r="A73" s="19" t="s">
        <v>738</v>
      </c>
      <c r="B73" s="26" t="s">
        <v>406</v>
      </c>
      <c r="C73" s="19" t="s">
        <v>50</v>
      </c>
      <c r="D73" s="19" t="s">
        <v>407</v>
      </c>
      <c r="F73" s="19" t="str">
        <f t="shared" si="7"/>
        <v>E3 5TG</v>
      </c>
      <c r="G73" s="19">
        <f t="shared" si="8"/>
        <v>51.531364000000004</v>
      </c>
      <c r="H73" s="19">
        <f t="shared" si="9"/>
        <v>-4.0248490999999997E-2</v>
      </c>
      <c r="J73" s="19">
        <v>104</v>
      </c>
      <c r="P73" s="19"/>
      <c r="R73" s="19">
        <v>3649</v>
      </c>
      <c r="S73" s="19" t="s">
        <v>30</v>
      </c>
      <c r="U73" s="20" t="s">
        <v>1053</v>
      </c>
      <c r="V73" s="19" t="s">
        <v>77</v>
      </c>
      <c r="W73" s="26" t="s">
        <v>133</v>
      </c>
      <c r="X73" s="26" t="s">
        <v>94</v>
      </c>
      <c r="Y73" s="26" t="s">
        <v>185</v>
      </c>
      <c r="Z73" s="26" t="str">
        <f t="shared" si="6"/>
        <v>https://www.google.co.uk/maps/search/?api=1&amp;query=51.531364,-0.040248491</v>
      </c>
      <c r="AB73" s="19" t="s">
        <v>268</v>
      </c>
      <c r="AC73" s="19" t="s">
        <v>268</v>
      </c>
      <c r="AD73" s="19" t="str">
        <f>IFERROR(VLOOKUP(A73, FromAndy!A:E, 4, FALSE), "")</f>
        <v>E3 5TG</v>
      </c>
      <c r="AF73" s="19">
        <v>0</v>
      </c>
      <c r="AG73" s="19" t="s">
        <v>1132</v>
      </c>
      <c r="AH73" s="19" t="str">
        <f>IFERROR(VLOOKUP(A73, FromAndy!A:E, 3, FALSE), "")</f>
        <v>H</v>
      </c>
      <c r="AM73" s="19">
        <v>51.531364000000004</v>
      </c>
      <c r="AN73" s="19">
        <v>-4.0248490999999997E-2</v>
      </c>
      <c r="AO73" s="19"/>
      <c r="AQ73" s="19">
        <f t="shared" si="10"/>
        <v>71</v>
      </c>
      <c r="AS73" s="19" t="s">
        <v>1054</v>
      </c>
    </row>
    <row r="74" spans="1:45" x14ac:dyDescent="0.25">
      <c r="A74" s="19" t="s">
        <v>791</v>
      </c>
      <c r="B74" s="26" t="s">
        <v>439</v>
      </c>
      <c r="C74" s="19" t="s">
        <v>50</v>
      </c>
      <c r="D74" s="19" t="s">
        <v>464</v>
      </c>
      <c r="F74" s="19" t="str">
        <f t="shared" si="7"/>
        <v>E1 0NR</v>
      </c>
      <c r="G74" s="19">
        <f t="shared" si="8"/>
        <v>51.516883</v>
      </c>
      <c r="H74" s="19">
        <f t="shared" si="9"/>
        <v>-4.1691713999999998E-2</v>
      </c>
      <c r="J74" s="19">
        <v>107</v>
      </c>
      <c r="P74" s="19"/>
      <c r="R74" s="19">
        <v>28415</v>
      </c>
      <c r="S74" s="19" t="s">
        <v>49</v>
      </c>
      <c r="U74" s="20" t="s">
        <v>1056</v>
      </c>
      <c r="V74" s="19" t="s">
        <v>77</v>
      </c>
      <c r="W74" s="26" t="s">
        <v>144</v>
      </c>
      <c r="X74" s="25">
        <v>0</v>
      </c>
      <c r="Y74" s="26" t="s">
        <v>201</v>
      </c>
      <c r="Z74" s="26" t="str">
        <f t="shared" si="6"/>
        <v>https://www.google.co.uk/maps/search/?api=1&amp;query=51.516883,-0.041691714</v>
      </c>
      <c r="AB74" s="19" t="s">
        <v>266</v>
      </c>
      <c r="AC74" s="19" t="s">
        <v>266</v>
      </c>
      <c r="AD74" s="19" t="str">
        <f>IFERROR(VLOOKUP(A74, FromAndy!A:E, 4, FALSE), "")</f>
        <v>E1 0NR</v>
      </c>
      <c r="AF74" s="19">
        <v>4</v>
      </c>
      <c r="AG74" s="19" t="s">
        <v>1132</v>
      </c>
      <c r="AH74" s="19" t="str">
        <f>IFERROR(VLOOKUP(A74, FromAndy!A:E, 3, FALSE), "")</f>
        <v>H</v>
      </c>
      <c r="AM74" s="19">
        <v>51.516883</v>
      </c>
      <c r="AN74" s="19">
        <v>-4.1691713999999998E-2</v>
      </c>
      <c r="AO74" s="19"/>
      <c r="AQ74" s="19">
        <f t="shared" si="10"/>
        <v>72</v>
      </c>
      <c r="AS74" s="19" t="s">
        <v>1057</v>
      </c>
    </row>
    <row r="75" spans="1:45" x14ac:dyDescent="0.25">
      <c r="A75" s="19" t="s">
        <v>781</v>
      </c>
      <c r="B75" s="26" t="s">
        <v>431</v>
      </c>
      <c r="C75" s="19" t="s">
        <v>50</v>
      </c>
      <c r="D75" s="19" t="s">
        <v>432</v>
      </c>
      <c r="F75" s="19" t="str">
        <f t="shared" si="7"/>
        <v>E1 0BH</v>
      </c>
      <c r="G75" s="19">
        <f t="shared" si="8"/>
        <v>51.510415999999999</v>
      </c>
      <c r="H75" s="19">
        <f t="shared" si="9"/>
        <v>-6.0559639999999998E-2</v>
      </c>
      <c r="J75" s="19">
        <v>51</v>
      </c>
      <c r="P75" s="19"/>
      <c r="R75" s="19">
        <v>12241</v>
      </c>
      <c r="S75" s="19" t="s">
        <v>46</v>
      </c>
      <c r="U75" s="20" t="s">
        <v>1060</v>
      </c>
      <c r="V75" s="19" t="s">
        <v>77</v>
      </c>
      <c r="W75" s="19"/>
      <c r="X75" s="26" t="s">
        <v>106</v>
      </c>
      <c r="Y75" s="26" t="s">
        <v>199</v>
      </c>
      <c r="Z75" s="26" t="str">
        <f t="shared" si="6"/>
        <v>https://www.google.co.uk/maps/search/?api=1&amp;query=51.510416,-0.06055964</v>
      </c>
      <c r="AB75" s="19" t="s">
        <v>1059</v>
      </c>
      <c r="AC75" s="19" t="s">
        <v>265</v>
      </c>
      <c r="AD75" s="19" t="str">
        <f>IFERROR(VLOOKUP(A75, FromAndy!A:E, 4, FALSE), "")</f>
        <v>E1 0BH</v>
      </c>
      <c r="AF75" s="19">
        <v>2</v>
      </c>
      <c r="AG75" s="19" t="s">
        <v>1132</v>
      </c>
      <c r="AH75" s="19" t="str">
        <f>IFERROR(VLOOKUP(A75, FromAndy!A:E, 3, FALSE), "")</f>
        <v>L</v>
      </c>
      <c r="AI75" s="78" t="s">
        <v>1135</v>
      </c>
      <c r="AM75" s="19">
        <v>51.510415999999999</v>
      </c>
      <c r="AN75" s="19">
        <v>-6.0559639999999998E-2</v>
      </c>
      <c r="AO75" s="19"/>
      <c r="AQ75" s="19">
        <f t="shared" si="10"/>
        <v>73</v>
      </c>
      <c r="AS75" s="19" t="s">
        <v>1061</v>
      </c>
    </row>
    <row r="76" spans="1:45" x14ac:dyDescent="0.25">
      <c r="A76" s="19" t="s">
        <v>741</v>
      </c>
      <c r="B76" s="26" t="s">
        <v>408</v>
      </c>
      <c r="C76" s="19" t="s">
        <v>50</v>
      </c>
      <c r="D76" s="19" t="s">
        <v>409</v>
      </c>
      <c r="F76" s="19" t="str">
        <f t="shared" si="7"/>
        <v>E2 9JD</v>
      </c>
      <c r="G76" s="19">
        <f t="shared" si="8"/>
        <v>51.531272000000001</v>
      </c>
      <c r="H76" s="19">
        <f t="shared" si="9"/>
        <v>-4.7663258E-2</v>
      </c>
      <c r="J76" s="19">
        <v>42</v>
      </c>
      <c r="P76" s="19"/>
      <c r="R76" s="19">
        <v>5641</v>
      </c>
      <c r="S76" s="19" t="s">
        <v>31</v>
      </c>
      <c r="U76" s="20" t="s">
        <v>1063</v>
      </c>
      <c r="V76" s="19" t="s">
        <v>77</v>
      </c>
      <c r="W76" s="26" t="s">
        <v>133</v>
      </c>
      <c r="X76" s="26" t="s">
        <v>95</v>
      </c>
      <c r="Y76" s="26" t="s">
        <v>186</v>
      </c>
      <c r="Z76" s="26" t="str">
        <f t="shared" si="6"/>
        <v>https://www.google.co.uk/maps/search/?api=1&amp;query=51.531272,-0.047663258</v>
      </c>
      <c r="AB76" s="19" t="s">
        <v>251</v>
      </c>
      <c r="AC76" s="19" t="s">
        <v>251</v>
      </c>
      <c r="AD76" s="19" t="str">
        <f>IFERROR(VLOOKUP(A76, FromAndy!A:E, 4, FALSE), "")</f>
        <v>E2 9JD</v>
      </c>
      <c r="AF76" s="19">
        <v>3</v>
      </c>
      <c r="AG76" s="19" t="s">
        <v>1130</v>
      </c>
      <c r="AH76" s="19" t="str">
        <f>IFERROR(VLOOKUP(A76, FromAndy!A:E, 3, FALSE), "")</f>
        <v>L</v>
      </c>
      <c r="AM76" s="19">
        <v>51.531272000000001</v>
      </c>
      <c r="AN76" s="19">
        <v>-4.7663258E-2</v>
      </c>
      <c r="AO76" s="19"/>
      <c r="AQ76" s="19">
        <f t="shared" si="10"/>
        <v>74</v>
      </c>
      <c r="AS76" s="19" t="s">
        <v>1064</v>
      </c>
    </row>
    <row r="77" spans="1:45" x14ac:dyDescent="0.25">
      <c r="A77" s="19" t="s">
        <v>744</v>
      </c>
      <c r="B77" s="26" t="s">
        <v>410</v>
      </c>
      <c r="C77" s="19" t="s">
        <v>50</v>
      </c>
      <c r="D77" s="19" t="s">
        <v>48</v>
      </c>
      <c r="F77" s="19" t="str">
        <f t="shared" si="7"/>
        <v>E2 9PA</v>
      </c>
      <c r="G77" s="19">
        <f t="shared" si="8"/>
        <v>51.527659</v>
      </c>
      <c r="H77" s="19">
        <f t="shared" si="9"/>
        <v>-5.4838771000000001E-2</v>
      </c>
      <c r="J77" s="19">
        <v>92</v>
      </c>
      <c r="P77" s="19"/>
      <c r="R77" s="19">
        <v>21869</v>
      </c>
      <c r="S77" s="19" t="s">
        <v>47</v>
      </c>
      <c r="U77" s="20" t="s">
        <v>1066</v>
      </c>
      <c r="V77" s="19" t="s">
        <v>77</v>
      </c>
      <c r="W77" s="26" t="s">
        <v>107</v>
      </c>
      <c r="X77" s="26" t="s">
        <v>107</v>
      </c>
      <c r="Y77" s="26" t="s">
        <v>200</v>
      </c>
      <c r="Z77" s="26" t="str">
        <f t="shared" si="6"/>
        <v>https://www.google.co.uk/maps/search/?api=1&amp;query=51.527659,-0.054838771</v>
      </c>
      <c r="AB77" s="19" t="s">
        <v>279</v>
      </c>
      <c r="AC77" s="19" t="s">
        <v>279</v>
      </c>
      <c r="AD77" s="19" t="str">
        <f>IFERROR(VLOOKUP(A77, FromAndy!A:E, 4, FALSE), "")</f>
        <v>E2 9PA</v>
      </c>
      <c r="AF77" s="19">
        <v>4</v>
      </c>
      <c r="AG77" s="19" t="s">
        <v>1132</v>
      </c>
      <c r="AH77" s="19" t="str">
        <f>IFERROR(VLOOKUP(A77, FromAndy!A:E, 3, FALSE), "")</f>
        <v>H</v>
      </c>
      <c r="AM77" s="19">
        <v>51.527659</v>
      </c>
      <c r="AN77" s="19">
        <v>-5.4838771000000001E-2</v>
      </c>
      <c r="AO77" s="19"/>
      <c r="AQ77" s="19">
        <f t="shared" si="10"/>
        <v>75</v>
      </c>
      <c r="AS77" s="19" t="s">
        <v>1067</v>
      </c>
    </row>
    <row r="78" spans="1:45" x14ac:dyDescent="0.25">
      <c r="A78" s="19" t="s">
        <v>765</v>
      </c>
      <c r="B78" s="26" t="s">
        <v>421</v>
      </c>
      <c r="C78" s="19" t="s">
        <v>50</v>
      </c>
      <c r="D78" s="19" t="s">
        <v>422</v>
      </c>
      <c r="F78" s="19" t="str">
        <f t="shared" si="7"/>
        <v>E14 8LH</v>
      </c>
      <c r="G78" s="19">
        <f t="shared" si="8"/>
        <v>51.499136</v>
      </c>
      <c r="H78" s="19">
        <f t="shared" si="9"/>
        <v>-2.3736838999999999E-2</v>
      </c>
      <c r="J78" s="19">
        <v>40</v>
      </c>
      <c r="P78" s="19"/>
      <c r="R78" s="19">
        <v>32052</v>
      </c>
      <c r="S78" s="19" t="s">
        <v>38</v>
      </c>
      <c r="U78" s="20" t="s">
        <v>81</v>
      </c>
      <c r="V78" s="19" t="s">
        <v>77</v>
      </c>
      <c r="W78" s="26" t="s">
        <v>137</v>
      </c>
      <c r="X78" s="25">
        <v>0</v>
      </c>
      <c r="Y78" s="26" t="s">
        <v>192</v>
      </c>
      <c r="Z78" s="26" t="str">
        <f t="shared" si="6"/>
        <v>https://www.google.co.uk/maps/search/?api=1&amp;query=51.499136,-0.023736839</v>
      </c>
      <c r="AB78" s="19" t="s">
        <v>256</v>
      </c>
      <c r="AC78" s="19" t="s">
        <v>256</v>
      </c>
      <c r="AD78" s="19" t="str">
        <f>IFERROR(VLOOKUP(A78, FromAndy!A:E, 4, FALSE), "")</f>
        <v>E14 8LH</v>
      </c>
      <c r="AF78" s="19">
        <v>0</v>
      </c>
      <c r="AG78" s="19" t="s">
        <v>1131</v>
      </c>
      <c r="AH78" s="19" t="str">
        <f>IFERROR(VLOOKUP(A78, FromAndy!A:E, 3, FALSE), "")</f>
        <v>E</v>
      </c>
      <c r="AM78" s="19">
        <v>51.499136</v>
      </c>
      <c r="AN78" s="19">
        <v>-2.3736838999999999E-2</v>
      </c>
      <c r="AO78" s="19"/>
      <c r="AQ78" s="19">
        <f t="shared" si="10"/>
        <v>76</v>
      </c>
      <c r="AS78" s="19" t="s">
        <v>1039</v>
      </c>
    </row>
    <row r="79" spans="1:45" x14ac:dyDescent="0.25">
      <c r="A79" s="19" t="s">
        <v>862</v>
      </c>
      <c r="B79" s="26" t="s">
        <v>452</v>
      </c>
      <c r="C79" s="19" t="s">
        <v>50</v>
      </c>
      <c r="D79" s="19" t="s">
        <v>861</v>
      </c>
      <c r="F79" s="19" t="str">
        <f t="shared" si="7"/>
        <v/>
      </c>
      <c r="G79" s="19" t="str">
        <f t="shared" si="8"/>
        <v/>
      </c>
      <c r="H79" s="19" t="str">
        <f t="shared" si="9"/>
        <v/>
      </c>
      <c r="J79" s="19"/>
      <c r="P79" s="19"/>
      <c r="R79" s="19" t="s">
        <v>77</v>
      </c>
      <c r="S79" s="19" t="s">
        <v>77</v>
      </c>
      <c r="U79" s="19"/>
      <c r="V79" s="19" t="s">
        <v>77</v>
      </c>
      <c r="W79" s="19" t="s">
        <v>77</v>
      </c>
      <c r="X79" s="25" t="s">
        <v>77</v>
      </c>
      <c r="Y79" s="25" t="s">
        <v>77</v>
      </c>
      <c r="Z79" s="25" t="str">
        <f t="shared" si="6"/>
        <v/>
      </c>
      <c r="AC79" s="19" t="s">
        <v>77</v>
      </c>
      <c r="AD79" s="19" t="str">
        <f>IFERROR(VLOOKUP(A79, FromAndy!A:E, 4, FALSE), "")</f>
        <v/>
      </c>
      <c r="AF79" s="19">
        <v>0</v>
      </c>
      <c r="AG79" s="19" t="s">
        <v>1134</v>
      </c>
      <c r="AH79" s="19" t="str">
        <f>IFERROR(VLOOKUP(A79, FromAndy!A:E, 3, FALSE), "")</f>
        <v/>
      </c>
      <c r="AO79" s="19"/>
      <c r="AQ79" s="19">
        <f t="shared" si="10"/>
        <v>77</v>
      </c>
    </row>
    <row r="80" spans="1:45" x14ac:dyDescent="0.25">
      <c r="A80" s="19" t="s">
        <v>769</v>
      </c>
      <c r="B80" s="26" t="s">
        <v>425</v>
      </c>
      <c r="C80" s="19" t="s">
        <v>50</v>
      </c>
      <c r="D80" s="19" t="s">
        <v>35</v>
      </c>
      <c r="F80" s="19" t="str">
        <f t="shared" si="7"/>
        <v>E3 3AH</v>
      </c>
      <c r="G80" s="19">
        <f t="shared" si="8"/>
        <v>51.528162999999999</v>
      </c>
      <c r="H80" s="19">
        <f t="shared" si="9"/>
        <v>-1.8342409E-2</v>
      </c>
      <c r="J80" s="19">
        <v>90</v>
      </c>
      <c r="P80" s="19"/>
      <c r="R80" s="19">
        <v>23145</v>
      </c>
      <c r="S80" s="19" t="s">
        <v>34</v>
      </c>
      <c r="U80" s="20" t="s">
        <v>1069</v>
      </c>
      <c r="V80" s="19" t="s">
        <v>77</v>
      </c>
      <c r="W80" s="26" t="s">
        <v>134</v>
      </c>
      <c r="X80" s="26" t="s">
        <v>98</v>
      </c>
      <c r="Y80" s="26" t="s">
        <v>189</v>
      </c>
      <c r="Z80" s="26" t="str">
        <f t="shared" si="6"/>
        <v>https://www.google.co.uk/maps/search/?api=1&amp;query=51.528163,-0.018342409</v>
      </c>
      <c r="AB80" s="19" t="s">
        <v>278</v>
      </c>
      <c r="AC80" s="19" t="s">
        <v>278</v>
      </c>
      <c r="AD80" s="19" t="str">
        <f>IFERROR(VLOOKUP(A80, FromAndy!A:E, 4, FALSE), "")</f>
        <v>E3 3AH</v>
      </c>
      <c r="AF80" s="19">
        <v>0</v>
      </c>
      <c r="AG80" s="19" t="s">
        <v>1131</v>
      </c>
      <c r="AH80" s="19" t="str">
        <f>IFERROR(VLOOKUP(A80, FromAndy!A:E, 3, FALSE), "")</f>
        <v>E</v>
      </c>
      <c r="AM80" s="19">
        <v>51.528162999999999</v>
      </c>
      <c r="AN80" s="19">
        <v>-1.8342409E-2</v>
      </c>
      <c r="AO80" s="19"/>
      <c r="AQ80" s="19">
        <f t="shared" si="10"/>
        <v>78</v>
      </c>
      <c r="AS80" s="19" t="s">
        <v>1070</v>
      </c>
    </row>
    <row r="81" spans="1:45" x14ac:dyDescent="0.25">
      <c r="A81" s="19" t="s">
        <v>782</v>
      </c>
      <c r="B81" s="26" t="s">
        <v>433</v>
      </c>
      <c r="C81" s="19" t="s">
        <v>50</v>
      </c>
      <c r="D81" s="19" t="s">
        <v>434</v>
      </c>
      <c r="F81" s="19" t="str">
        <f t="shared" si="7"/>
        <v>E1 0BQ</v>
      </c>
      <c r="G81" s="19">
        <f t="shared" si="8"/>
        <v>51.510215000000002</v>
      </c>
      <c r="H81" s="19">
        <f t="shared" si="9"/>
        <v>-5.4933388E-2</v>
      </c>
      <c r="J81" s="19">
        <v>60</v>
      </c>
      <c r="P81" s="19"/>
      <c r="R81" s="19">
        <v>5686</v>
      </c>
      <c r="S81" s="19" t="s">
        <v>45</v>
      </c>
      <c r="U81" s="20" t="s">
        <v>1072</v>
      </c>
      <c r="V81" s="19" t="s">
        <v>77</v>
      </c>
      <c r="W81" s="26" t="s">
        <v>143</v>
      </c>
      <c r="X81" s="25">
        <v>0</v>
      </c>
      <c r="Y81" s="26" t="s">
        <v>198</v>
      </c>
      <c r="Z81" s="26" t="str">
        <f t="shared" si="6"/>
        <v>https://www.google.co.uk/maps/search/?api=1&amp;query=51.510215,-0.054933388</v>
      </c>
      <c r="AB81" s="19" t="s">
        <v>264</v>
      </c>
      <c r="AC81" s="19" t="s">
        <v>264</v>
      </c>
      <c r="AD81" s="19" t="str">
        <f>IFERROR(VLOOKUP(A81, FromAndy!A:E, 4, FALSE), "")</f>
        <v>E1 0BQ</v>
      </c>
      <c r="AF81" s="19">
        <v>4</v>
      </c>
      <c r="AG81" s="19" t="s">
        <v>1132</v>
      </c>
      <c r="AH81" s="19" t="str">
        <f>IFERROR(VLOOKUP(A81, FromAndy!A:E, 3, FALSE), "")</f>
        <v>H</v>
      </c>
      <c r="AM81" s="19">
        <v>51.510215000000002</v>
      </c>
      <c r="AN81" s="19">
        <v>-5.4933388E-2</v>
      </c>
      <c r="AO81" s="19"/>
      <c r="AQ81" s="19">
        <f t="shared" si="10"/>
        <v>79</v>
      </c>
      <c r="AS81" s="19" t="s">
        <v>1073</v>
      </c>
    </row>
    <row r="82" spans="1:45" x14ac:dyDescent="0.25">
      <c r="A82" s="19" t="s">
        <v>734</v>
      </c>
      <c r="B82" s="26" t="s">
        <v>404</v>
      </c>
      <c r="C82" s="19" t="s">
        <v>50</v>
      </c>
      <c r="D82" s="19" t="s">
        <v>405</v>
      </c>
      <c r="F82" s="19" t="str">
        <f t="shared" si="7"/>
        <v>E2 6DT</v>
      </c>
      <c r="G82" s="19">
        <f t="shared" si="8"/>
        <v>51.525098999999997</v>
      </c>
      <c r="H82" s="19">
        <f t="shared" si="9"/>
        <v>-6.8095186000000002E-2</v>
      </c>
      <c r="J82" s="19">
        <v>63</v>
      </c>
      <c r="P82" s="19"/>
      <c r="R82" s="19">
        <v>12272</v>
      </c>
      <c r="S82" s="19" t="s">
        <v>32</v>
      </c>
      <c r="U82" s="20" t="s">
        <v>80</v>
      </c>
      <c r="V82" s="19" t="s">
        <v>77</v>
      </c>
      <c r="W82" s="26" t="s">
        <v>133</v>
      </c>
      <c r="X82" s="26" t="s">
        <v>96</v>
      </c>
      <c r="Y82" s="26" t="s">
        <v>187</v>
      </c>
      <c r="Z82" s="26" t="str">
        <f t="shared" si="6"/>
        <v>https://www.google.co.uk/maps/search/?api=1&amp;query=51.525099,-0.068095186</v>
      </c>
      <c r="AB82" s="19" t="s">
        <v>269</v>
      </c>
      <c r="AC82" s="19" t="s">
        <v>269</v>
      </c>
      <c r="AD82" s="19" t="str">
        <f>IFERROR(VLOOKUP(A82, FromAndy!A:E, 4, FALSE), "")</f>
        <v>E2 6DT</v>
      </c>
      <c r="AF82" s="19">
        <v>3</v>
      </c>
      <c r="AG82" s="19" t="s">
        <v>1132</v>
      </c>
      <c r="AH82" s="19" t="str">
        <f>IFERROR(VLOOKUP(A82, FromAndy!A:E, 3, FALSE), "")</f>
        <v>H</v>
      </c>
      <c r="AM82" s="19">
        <v>51.525098999999997</v>
      </c>
      <c r="AN82" s="19">
        <v>-6.8095186000000002E-2</v>
      </c>
      <c r="AO82" s="19"/>
      <c r="AQ82" s="19">
        <f t="shared" si="10"/>
        <v>80</v>
      </c>
      <c r="AS82" s="19" t="s">
        <v>1075</v>
      </c>
    </row>
    <row r="83" spans="1:45" x14ac:dyDescent="0.25">
      <c r="A83" s="19" t="s">
        <v>754</v>
      </c>
      <c r="B83" s="26" t="s">
        <v>416</v>
      </c>
      <c r="C83" s="19" t="s">
        <v>50</v>
      </c>
      <c r="D83" s="19" t="s">
        <v>755</v>
      </c>
      <c r="F83" s="19" t="str">
        <f t="shared" si="7"/>
        <v>E14 0PT</v>
      </c>
      <c r="G83" s="19">
        <f t="shared" si="8"/>
        <v>51.514231000000002</v>
      </c>
      <c r="H83" s="19">
        <f t="shared" si="9"/>
        <v>-4.9524992999999996E-3</v>
      </c>
      <c r="J83" s="19">
        <v>344</v>
      </c>
      <c r="P83" s="19"/>
      <c r="R83" s="19" t="s">
        <v>77</v>
      </c>
      <c r="S83" s="19" t="s">
        <v>77</v>
      </c>
      <c r="U83" s="20" t="s">
        <v>1077</v>
      </c>
      <c r="V83" s="19" t="s">
        <v>77</v>
      </c>
      <c r="W83" s="19" t="s">
        <v>77</v>
      </c>
      <c r="X83" s="25" t="s">
        <v>77</v>
      </c>
      <c r="Y83" s="25" t="s">
        <v>77</v>
      </c>
      <c r="Z83" s="25" t="str">
        <f t="shared" si="6"/>
        <v>https://www.google.co.uk/maps/search/?api=1&amp;query=51.514231,-0.0049524993</v>
      </c>
      <c r="AB83" s="19" t="s">
        <v>261</v>
      </c>
      <c r="AC83" s="19" t="s">
        <v>77</v>
      </c>
      <c r="AD83" s="19" t="str">
        <f>IFERROR(VLOOKUP(A83, FromAndy!A:E, 4, FALSE), "")</f>
        <v/>
      </c>
      <c r="AF83" s="19">
        <v>0</v>
      </c>
      <c r="AG83" s="19" t="s">
        <v>1134</v>
      </c>
      <c r="AH83" s="19" t="str">
        <f>IFERROR(VLOOKUP(A83, FromAndy!A:E, 3, FALSE), "")</f>
        <v/>
      </c>
      <c r="AM83" s="19">
        <v>51.514231000000002</v>
      </c>
      <c r="AN83" s="19">
        <v>-4.9524992999999996E-3</v>
      </c>
      <c r="AO83" s="19"/>
      <c r="AQ83" s="19">
        <f t="shared" si="10"/>
        <v>81</v>
      </c>
    </row>
    <row r="84" spans="1:45" x14ac:dyDescent="0.25">
      <c r="A84" s="19" t="s">
        <v>772</v>
      </c>
      <c r="B84" s="26" t="s">
        <v>426</v>
      </c>
      <c r="C84" s="19" t="s">
        <v>50</v>
      </c>
      <c r="D84" s="19" t="s">
        <v>427</v>
      </c>
      <c r="F84" s="19" t="str">
        <f t="shared" si="7"/>
        <v>E9 5HT</v>
      </c>
      <c r="G84" s="19">
        <f t="shared" si="8"/>
        <v>51.539682999999997</v>
      </c>
      <c r="H84" s="19">
        <f t="shared" si="9"/>
        <v>-2.8498850999999999E-2</v>
      </c>
      <c r="J84" s="19">
        <v>129</v>
      </c>
      <c r="P84" s="19"/>
      <c r="R84" s="19">
        <v>15551</v>
      </c>
      <c r="S84" s="19" t="s">
        <v>42</v>
      </c>
      <c r="U84" s="20" t="s">
        <v>1079</v>
      </c>
      <c r="V84" s="19" t="s">
        <v>77</v>
      </c>
      <c r="W84" s="26" t="s">
        <v>140</v>
      </c>
      <c r="X84" s="26" t="s">
        <v>103</v>
      </c>
      <c r="Y84" s="26" t="s">
        <v>195</v>
      </c>
      <c r="Z84" s="26" t="str">
        <f t="shared" si="6"/>
        <v>https://www.google.co.uk/maps/search/?api=1&amp;query=51.539683,-0.028498851</v>
      </c>
      <c r="AB84" s="19" t="s">
        <v>1078</v>
      </c>
      <c r="AC84" s="19" t="s">
        <v>259</v>
      </c>
      <c r="AD84" s="19" t="str">
        <f>IFERROR(VLOOKUP(A84, FromAndy!A:E, 4, FALSE), "")</f>
        <v>E3 5JL</v>
      </c>
      <c r="AF84" s="19">
        <v>0</v>
      </c>
      <c r="AG84" s="19" t="s">
        <v>1130</v>
      </c>
      <c r="AH84" s="19" t="str">
        <f>IFERROR(VLOOKUP(A84, FromAndy!A:E, 3, FALSE), "")</f>
        <v>L</v>
      </c>
      <c r="AM84" s="19">
        <v>51.539682999999997</v>
      </c>
      <c r="AN84" s="19">
        <v>-2.8498850999999999E-2</v>
      </c>
      <c r="AO84" s="19"/>
      <c r="AQ84" s="19">
        <f t="shared" si="10"/>
        <v>82</v>
      </c>
      <c r="AS84" s="19" t="s">
        <v>1080</v>
      </c>
    </row>
    <row r="85" spans="1:45" x14ac:dyDescent="0.25">
      <c r="A85" s="19" t="s">
        <v>794</v>
      </c>
      <c r="B85" s="26" t="s">
        <v>440</v>
      </c>
      <c r="C85" s="19" t="s">
        <v>50</v>
      </c>
      <c r="D85" s="19" t="s">
        <v>441</v>
      </c>
      <c r="F85" s="19" t="str">
        <f t="shared" si="7"/>
        <v>E3 4AR</v>
      </c>
      <c r="G85" s="19">
        <f t="shared" si="8"/>
        <v>51.517195000000001</v>
      </c>
      <c r="H85" s="19">
        <f t="shared" si="9"/>
        <v>-2.9153035000000001E-2</v>
      </c>
      <c r="J85" s="19">
        <v>79</v>
      </c>
      <c r="P85" s="19"/>
      <c r="R85" s="19">
        <v>6912</v>
      </c>
      <c r="S85" s="19" t="s">
        <v>36</v>
      </c>
      <c r="U85" s="20" t="s">
        <v>1082</v>
      </c>
      <c r="V85" s="19" t="s">
        <v>77</v>
      </c>
      <c r="W85" s="26" t="s">
        <v>135</v>
      </c>
      <c r="X85" s="26" t="s">
        <v>99</v>
      </c>
      <c r="Y85" s="26" t="s">
        <v>190</v>
      </c>
      <c r="Z85" s="26" t="str">
        <f t="shared" si="6"/>
        <v>https://www.google.co.uk/maps/search/?api=1&amp;query=51.517195,-0.029153035</v>
      </c>
      <c r="AB85" s="19" t="s">
        <v>253</v>
      </c>
      <c r="AC85" s="19" t="s">
        <v>253</v>
      </c>
      <c r="AD85" s="19" t="str">
        <f>IFERROR(VLOOKUP(A85, FromAndy!A:E, 4, FALSE), "")</f>
        <v>E3 4AR</v>
      </c>
      <c r="AF85" s="19">
        <v>0</v>
      </c>
      <c r="AG85" s="19" t="s">
        <v>1132</v>
      </c>
      <c r="AH85" s="19" t="str">
        <f>IFERROR(VLOOKUP(A85, FromAndy!A:E, 3, FALSE), "")</f>
        <v>H</v>
      </c>
      <c r="AM85" s="19">
        <v>51.517195000000001</v>
      </c>
      <c r="AN85" s="19">
        <v>-2.9153035000000001E-2</v>
      </c>
      <c r="AO85" s="19"/>
      <c r="AQ85" s="19">
        <f t="shared" si="10"/>
        <v>83</v>
      </c>
      <c r="AS85" s="19" t="s">
        <v>1083</v>
      </c>
    </row>
    <row r="86" spans="1:45" x14ac:dyDescent="0.25">
      <c r="A86" s="19" t="s">
        <v>788</v>
      </c>
      <c r="B86" s="26" t="s">
        <v>437</v>
      </c>
      <c r="C86" s="19" t="s">
        <v>50</v>
      </c>
      <c r="D86" s="19" t="s">
        <v>438</v>
      </c>
      <c r="F86" s="19" t="str">
        <f t="shared" si="7"/>
        <v>E1W 3DH</v>
      </c>
      <c r="G86" s="19">
        <f t="shared" si="8"/>
        <v>51.509518</v>
      </c>
      <c r="H86" s="19">
        <f t="shared" si="9"/>
        <v>-5.3046399000000001E-2</v>
      </c>
      <c r="J86" s="19">
        <v>244</v>
      </c>
      <c r="P86" s="19"/>
      <c r="R86" s="19">
        <v>6088</v>
      </c>
      <c r="S86" s="19" t="s">
        <v>43</v>
      </c>
      <c r="U86" s="20" t="s">
        <v>1085</v>
      </c>
      <c r="V86" s="19" t="s">
        <v>77</v>
      </c>
      <c r="W86" s="26" t="s">
        <v>141</v>
      </c>
      <c r="X86" s="26" t="s">
        <v>104</v>
      </c>
      <c r="Y86" s="26" t="s">
        <v>196</v>
      </c>
      <c r="Z86" s="26" t="str">
        <f t="shared" si="6"/>
        <v>https://www.google.co.uk/maps/search/?api=1&amp;query=51.509518,-0.053046399</v>
      </c>
      <c r="AB86" s="19" t="s">
        <v>262</v>
      </c>
      <c r="AC86" s="19" t="s">
        <v>262</v>
      </c>
      <c r="AD86" s="19" t="str">
        <f>IFERROR(VLOOKUP(A86, FromAndy!A:E, 4, FALSE), "")</f>
        <v>E1W 3DH</v>
      </c>
      <c r="AF86" s="19">
        <v>1</v>
      </c>
      <c r="AG86" s="19" t="s">
        <v>1131</v>
      </c>
      <c r="AH86" s="19" t="str">
        <f>IFERROR(VLOOKUP(A86, FromAndy!A:E, 3, FALSE), "")</f>
        <v>E</v>
      </c>
      <c r="AM86" s="19">
        <v>51.509518</v>
      </c>
      <c r="AN86" s="19">
        <v>-5.3046399000000001E-2</v>
      </c>
      <c r="AO86" s="19"/>
      <c r="AQ86" s="19">
        <f t="shared" si="10"/>
        <v>84</v>
      </c>
      <c r="AS86" s="19" t="s">
        <v>1086</v>
      </c>
    </row>
    <row r="87" spans="1:45" x14ac:dyDescent="0.25">
      <c r="A87" s="19" t="s">
        <v>747</v>
      </c>
      <c r="B87" s="26" t="s">
        <v>411</v>
      </c>
      <c r="C87" s="19" t="s">
        <v>50</v>
      </c>
      <c r="D87" s="19" t="s">
        <v>412</v>
      </c>
      <c r="F87" s="19" t="str">
        <f t="shared" si="7"/>
        <v>E2 7AE</v>
      </c>
      <c r="G87" s="19">
        <f t="shared" si="8"/>
        <v>51.529953999999996</v>
      </c>
      <c r="H87" s="19">
        <f t="shared" si="9"/>
        <v>-6.4213211000000006E-2</v>
      </c>
      <c r="J87" s="19">
        <v>119</v>
      </c>
      <c r="P87" s="19"/>
      <c r="R87" s="19">
        <v>9069</v>
      </c>
      <c r="S87" s="19" t="s">
        <v>33</v>
      </c>
      <c r="U87" s="20" t="s">
        <v>1090</v>
      </c>
      <c r="V87" s="19" t="s">
        <v>77</v>
      </c>
      <c r="W87" s="26" t="s">
        <v>133</v>
      </c>
      <c r="X87" s="26" t="s">
        <v>97</v>
      </c>
      <c r="Y87" s="26" t="s">
        <v>188</v>
      </c>
      <c r="Z87" s="26" t="str">
        <f t="shared" si="6"/>
        <v>https://www.google.co.uk/maps/search/?api=1&amp;query=51.529954,-0.064213211</v>
      </c>
      <c r="AB87" s="19" t="s">
        <v>252</v>
      </c>
      <c r="AC87" s="19" t="s">
        <v>252</v>
      </c>
      <c r="AD87" s="19" t="str">
        <f>IFERROR(VLOOKUP(A87, FromAndy!A:E, 4, FALSE), "")</f>
        <v>E2 7AE</v>
      </c>
      <c r="AF87" s="19">
        <v>3</v>
      </c>
      <c r="AG87" s="19" t="s">
        <v>1131</v>
      </c>
      <c r="AH87" s="19" t="str">
        <f>IFERROR(VLOOKUP(A87, FromAndy!A:E, 3, FALSE), "")</f>
        <v>E</v>
      </c>
      <c r="AM87" s="19">
        <v>51.529953999999996</v>
      </c>
      <c r="AN87" s="19">
        <v>-6.4213211000000006E-2</v>
      </c>
      <c r="AO87" s="19"/>
      <c r="AQ87" s="19">
        <f t="shared" si="10"/>
        <v>85</v>
      </c>
      <c r="AS87" s="19" t="s">
        <v>1091</v>
      </c>
    </row>
    <row r="88" spans="1:45" x14ac:dyDescent="0.25">
      <c r="A88" s="19" t="s">
        <v>785</v>
      </c>
      <c r="B88" s="26" t="s">
        <v>435</v>
      </c>
      <c r="C88" s="19" t="s">
        <v>50</v>
      </c>
      <c r="D88" s="19" t="s">
        <v>436</v>
      </c>
      <c r="F88" s="19" t="str">
        <f t="shared" si="7"/>
        <v>E1W 2RW</v>
      </c>
      <c r="G88" s="19">
        <f t="shared" si="8"/>
        <v>51.505381</v>
      </c>
      <c r="H88" s="19">
        <f t="shared" si="9"/>
        <v>-5.7905906E-2</v>
      </c>
      <c r="J88" s="19">
        <v>104</v>
      </c>
      <c r="P88" s="19"/>
      <c r="R88" s="19">
        <v>8933</v>
      </c>
      <c r="S88" s="19" t="s">
        <v>41</v>
      </c>
      <c r="U88" s="20" t="s">
        <v>1093</v>
      </c>
      <c r="V88" s="19" t="s">
        <v>77</v>
      </c>
      <c r="W88" s="26" t="s">
        <v>139</v>
      </c>
      <c r="X88" s="26" t="s">
        <v>102</v>
      </c>
      <c r="Y88" s="26" t="s">
        <v>194</v>
      </c>
      <c r="Z88" s="26" t="str">
        <f t="shared" si="6"/>
        <v>https://www.google.co.uk/maps/search/?api=1&amp;query=51.505381,-0.057905906</v>
      </c>
      <c r="AB88" s="19" t="s">
        <v>258</v>
      </c>
      <c r="AC88" s="19" t="s">
        <v>258</v>
      </c>
      <c r="AD88" s="19" t="str">
        <f>IFERROR(VLOOKUP(A88, FromAndy!A:E, 4, FALSE), "")</f>
        <v>E1W 2RW</v>
      </c>
      <c r="AF88" s="19">
        <v>3</v>
      </c>
      <c r="AG88" s="19" t="s">
        <v>1132</v>
      </c>
      <c r="AH88" s="19" t="str">
        <f>IFERROR(VLOOKUP(A88, FromAndy!A:E, 3, FALSE), "")</f>
        <v>H</v>
      </c>
      <c r="AM88" s="19">
        <v>51.505381</v>
      </c>
      <c r="AN88" s="19">
        <v>-5.7905906E-2</v>
      </c>
      <c r="AO88" s="19"/>
      <c r="AQ88" s="19">
        <f t="shared" si="10"/>
        <v>86</v>
      </c>
      <c r="AS88" s="19" t="s">
        <v>1094</v>
      </c>
    </row>
    <row r="89" spans="1:45" x14ac:dyDescent="0.25">
      <c r="A89" s="19" t="s">
        <v>800</v>
      </c>
      <c r="B89" s="26" t="s">
        <v>444</v>
      </c>
      <c r="C89" s="19" t="s">
        <v>50</v>
      </c>
      <c r="D89" s="19" t="s">
        <v>465</v>
      </c>
      <c r="F89" s="19" t="str">
        <f t="shared" si="7"/>
        <v>E14 4AL</v>
      </c>
      <c r="G89" s="19">
        <f t="shared" si="8"/>
        <v>51.507644999999997</v>
      </c>
      <c r="H89" s="19">
        <f t="shared" si="9"/>
        <v>-2.3844205E-2</v>
      </c>
      <c r="J89" s="19"/>
      <c r="P89" s="19"/>
      <c r="R89" s="19">
        <v>13115</v>
      </c>
      <c r="S89" s="19" t="s">
        <v>39</v>
      </c>
      <c r="U89" s="20" t="s">
        <v>1096</v>
      </c>
      <c r="V89" s="19" t="s">
        <v>77</v>
      </c>
      <c r="W89" s="26" t="s">
        <v>138</v>
      </c>
      <c r="X89" s="25">
        <v>0</v>
      </c>
      <c r="Y89" s="26" t="s">
        <v>193</v>
      </c>
      <c r="Z89" s="26" t="str">
        <f t="shared" ref="Z89" si="11">IF("" = G89, "", SUBSTITUTE(SUBSTITUTE(GoogleStreetViewLinkFormat, "$lat$", G89), "$long$", H89))</f>
        <v>https://www.google.co.uk/maps/search/?api=1&amp;query=51.507645,-0.023844205</v>
      </c>
      <c r="AC89" s="19" t="s">
        <v>1133</v>
      </c>
      <c r="AD89" s="19" t="str">
        <f>IFERROR(VLOOKUP(A89, FromAndy!A:E, 4, FALSE), "")</f>
        <v>BMO</v>
      </c>
      <c r="AF89" s="19">
        <v>0</v>
      </c>
      <c r="AG89" s="19" t="s">
        <v>1131</v>
      </c>
      <c r="AH89" s="19" t="str">
        <f>IFERROR(VLOOKUP(A89, FromAndy!A:E, 3, FALSE), "")</f>
        <v>E</v>
      </c>
      <c r="AM89" s="19">
        <v>51.507644999999997</v>
      </c>
      <c r="AN89" s="19">
        <v>-2.3844205E-2</v>
      </c>
      <c r="AO89" s="19"/>
      <c r="AQ89" s="19">
        <f t="shared" si="10"/>
        <v>87</v>
      </c>
    </row>
    <row r="90" spans="1:45" x14ac:dyDescent="0.25">
      <c r="A90" s="74"/>
      <c r="B90" s="75"/>
      <c r="C90" s="74"/>
      <c r="D90" s="74"/>
      <c r="E90" s="74"/>
      <c r="F90" s="74"/>
      <c r="G90" s="74"/>
      <c r="H90" s="74"/>
      <c r="I90" s="74"/>
      <c r="J90" s="76"/>
      <c r="K90" s="74"/>
      <c r="L90" s="74"/>
      <c r="M90" s="74"/>
      <c r="N90" s="74"/>
      <c r="O90" s="74"/>
      <c r="P90" s="75"/>
      <c r="Q90" s="74"/>
      <c r="R90" s="74"/>
      <c r="S90" s="74"/>
      <c r="T90" s="74"/>
      <c r="U90" s="75"/>
      <c r="V90" s="75"/>
      <c r="W90" s="75"/>
      <c r="X90" s="75"/>
      <c r="Y90" s="75"/>
      <c r="Z90" s="75"/>
      <c r="AA90" s="74"/>
      <c r="AB90" s="74"/>
      <c r="AC90" s="74"/>
      <c r="AD90" s="74"/>
      <c r="AE90" s="74"/>
      <c r="AF90" s="74"/>
      <c r="AG90" s="74"/>
      <c r="AH90" s="74"/>
      <c r="AI90" s="74"/>
      <c r="AJ90" s="74"/>
      <c r="AK90" s="74"/>
      <c r="AL90" s="74"/>
      <c r="AM90" s="74"/>
      <c r="AN90" s="74"/>
      <c r="AP90" s="74"/>
      <c r="AQ90" s="74"/>
      <c r="AR90" s="74"/>
      <c r="AS90" s="74"/>
    </row>
  </sheetData>
  <autoFilter ref="A1:AS1"/>
  <conditionalFormatting sqref="K2:M88 Q2:T88 V2:AA88 AS1 AM2:AN88 A1:I88 AT1:XFD88 AP1:AR88 AP90:XFD1048576 AJ50:AJ88 AF50:AG89 AC3:AC88 AE3:AG49 AE50:AE88 AD3:AD89 AB31 AI3:AJ49 AI50:AI89 A90:AN1048576 AC2:AJ2 J1:AN1 AH3:AH89">
    <cfRule type="expression" dxfId="10" priority="11">
      <formula>_xlfn.ISFORMULA(A1)</formula>
    </cfRule>
  </conditionalFormatting>
  <conditionalFormatting sqref="F89:H89 A89:D89 K89:M89 Q89:T89 V89:AA89 AT89:XFD89 AM89:AN89 AP89:AQ89 AC89 AJ89 AE89">
    <cfRule type="expression" dxfId="9" priority="6">
      <formula>_xlfn.ISFORMULA(A89)</formula>
    </cfRule>
  </conditionalFormatting>
  <conditionalFormatting sqref="AR89">
    <cfRule type="expression" dxfId="8" priority="5">
      <formula>_xlfn.ISFORMULA(AR89)</formula>
    </cfRule>
  </conditionalFormatting>
  <conditionalFormatting sqref="E89">
    <cfRule type="expression" dxfId="7" priority="4">
      <formula>_xlfn.ISFORMULA(E89)</formula>
    </cfRule>
  </conditionalFormatting>
  <conditionalFormatting sqref="I89">
    <cfRule type="expression" dxfId="6" priority="3">
      <formula>_xlfn.ISFORMULA(I89)</formula>
    </cfRule>
  </conditionalFormatting>
  <conditionalFormatting sqref="AD2">
    <cfRule type="expression" dxfId="5" priority="2">
      <formula>AND("" &lt;&gt; $AD2, $AD2 &lt;&gt; $F2)</formula>
    </cfRule>
  </conditionalFormatting>
  <conditionalFormatting sqref="AD3:AD89">
    <cfRule type="expression" dxfId="4" priority="1">
      <formula>AND("" &lt;&gt; $AD3, $AD3 &lt;&gt; $F3)</formula>
    </cfRule>
  </conditionalFormatting>
  <dataValidations count="1">
    <dataValidation type="list" showInputMessage="1" showErrorMessage="1" sqref="AG2:AG89">
      <formula1>ChurchmanshipOptions</formula1>
    </dataValidation>
  </dataValidations>
  <hyperlinks>
    <hyperlink ref="B9" r:id="rId1"/>
    <hyperlink ref="B2" r:id="rId2"/>
    <hyperlink ref="B3" r:id="rId3"/>
    <hyperlink ref="B4" r:id="rId4"/>
    <hyperlink ref="B5" r:id="rId5"/>
    <hyperlink ref="B6" r:id="rId6"/>
    <hyperlink ref="B7" r:id="rId7"/>
    <hyperlink ref="B8"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B79" r:id="rId78"/>
    <hyperlink ref="B80" r:id="rId79"/>
    <hyperlink ref="B81" r:id="rId80"/>
    <hyperlink ref="B82" r:id="rId81"/>
    <hyperlink ref="B83" r:id="rId82"/>
    <hyperlink ref="B84" r:id="rId83"/>
    <hyperlink ref="B85" r:id="rId84"/>
    <hyperlink ref="B86" r:id="rId85"/>
    <hyperlink ref="B87" r:id="rId86"/>
    <hyperlink ref="B88" r:id="rId87"/>
    <hyperlink ref="V50" r:id="rId88" display="=IFERROR(VLOOKUP($C50, DataFromWikipedia!A:T, 17, FALSE), &quot;&quot;)"/>
    <hyperlink ref="V54" r:id="rId89" display="=IFERROR(VLOOKUP($C54, DataFromWikipedia!A:T, 17, FALSE), &quot;&quot;)"/>
    <hyperlink ref="W5" r:id="rId90"/>
    <hyperlink ref="W6" r:id="rId91"/>
    <hyperlink ref="W7" r:id="rId92"/>
    <hyperlink ref="W8" r:id="rId93"/>
    <hyperlink ref="W10" r:id="rId94"/>
    <hyperlink ref="W11" r:id="rId95"/>
    <hyperlink ref="W14" r:id="rId96"/>
    <hyperlink ref="W15" r:id="rId97"/>
    <hyperlink ref="W16" r:id="rId98"/>
    <hyperlink ref="W17" r:id="rId99"/>
    <hyperlink ref="W18" r:id="rId100"/>
    <hyperlink ref="W20" r:id="rId101"/>
    <hyperlink ref="W21" r:id="rId102"/>
    <hyperlink ref="W22" r:id="rId103"/>
    <hyperlink ref="W23" r:id="rId104"/>
    <hyperlink ref="W24" r:id="rId105"/>
    <hyperlink ref="W26" r:id="rId106"/>
    <hyperlink ref="W27" r:id="rId107"/>
    <hyperlink ref="W28" r:id="rId108"/>
    <hyperlink ref="W29" r:id="rId109"/>
    <hyperlink ref="W30" r:id="rId110"/>
    <hyperlink ref="W31" r:id="rId111"/>
    <hyperlink ref="W33" r:id="rId112"/>
    <hyperlink ref="W34" r:id="rId113"/>
    <hyperlink ref="W37" r:id="rId114"/>
    <hyperlink ref="W41" r:id="rId115"/>
    <hyperlink ref="W42" r:id="rId116"/>
    <hyperlink ref="W43" r:id="rId117"/>
    <hyperlink ref="W44" r:id="rId118"/>
    <hyperlink ref="W45" r:id="rId119"/>
    <hyperlink ref="W46" r:id="rId120"/>
    <hyperlink ref="W50" r:id="rId121"/>
    <hyperlink ref="W51" r:id="rId122"/>
    <hyperlink ref="W52" r:id="rId123"/>
    <hyperlink ref="W54" r:id="rId124"/>
    <hyperlink ref="W55" r:id="rId125"/>
    <hyperlink ref="W56" r:id="rId126"/>
    <hyperlink ref="W57" r:id="rId127"/>
    <hyperlink ref="W62" r:id="rId128"/>
    <hyperlink ref="W63" r:id="rId129"/>
    <hyperlink ref="W66" r:id="rId130"/>
    <hyperlink ref="W67" r:id="rId131"/>
    <hyperlink ref="W72" r:id="rId132"/>
    <hyperlink ref="W73" r:id="rId133"/>
    <hyperlink ref="W74" r:id="rId134"/>
    <hyperlink ref="W76" r:id="rId135"/>
    <hyperlink ref="W77" r:id="rId136"/>
    <hyperlink ref="W78" r:id="rId137"/>
    <hyperlink ref="W80" r:id="rId138"/>
    <hyperlink ref="W81" r:id="rId139"/>
    <hyperlink ref="W82" r:id="rId140"/>
    <hyperlink ref="W84" r:id="rId141"/>
    <hyperlink ref="W85" r:id="rId142"/>
    <hyperlink ref="W86" r:id="rId143"/>
    <hyperlink ref="W87" r:id="rId144"/>
    <hyperlink ref="W88" r:id="rId145"/>
    <hyperlink ref="X10" r:id="rId146"/>
    <hyperlink ref="X18" r:id="rId147"/>
    <hyperlink ref="X20" r:id="rId148"/>
    <hyperlink ref="X25" r:id="rId149"/>
    <hyperlink ref="X33" r:id="rId150"/>
    <hyperlink ref="X37" r:id="rId151"/>
    <hyperlink ref="X42" r:id="rId152"/>
    <hyperlink ref="X44" r:id="rId153"/>
    <hyperlink ref="X45" r:id="rId154"/>
    <hyperlink ref="X52" r:id="rId155"/>
    <hyperlink ref="X63" r:id="rId156"/>
    <hyperlink ref="X67" r:id="rId157"/>
    <hyperlink ref="X72" r:id="rId158"/>
    <hyperlink ref="X73" r:id="rId159"/>
    <hyperlink ref="X75" r:id="rId160"/>
    <hyperlink ref="X76" r:id="rId161"/>
    <hyperlink ref="X77" r:id="rId162"/>
    <hyperlink ref="X80" r:id="rId163"/>
    <hyperlink ref="X82" r:id="rId164"/>
    <hyperlink ref="X84" r:id="rId165"/>
    <hyperlink ref="X85" r:id="rId166"/>
    <hyperlink ref="X86" r:id="rId167"/>
    <hyperlink ref="X87" r:id="rId168"/>
    <hyperlink ref="X88" r:id="rId169"/>
    <hyperlink ref="Y5" r:id="rId170"/>
    <hyperlink ref="Y6" r:id="rId171"/>
    <hyperlink ref="Y7" r:id="rId172"/>
    <hyperlink ref="Y8" r:id="rId173"/>
    <hyperlink ref="Y10" r:id="rId174"/>
    <hyperlink ref="Y11" r:id="rId175"/>
    <hyperlink ref="Y12" r:id="rId176"/>
    <hyperlink ref="Y14" r:id="rId177"/>
    <hyperlink ref="Y15" r:id="rId178"/>
    <hyperlink ref="Y16" r:id="rId179"/>
    <hyperlink ref="Y17" r:id="rId180"/>
    <hyperlink ref="Y18" r:id="rId181"/>
    <hyperlink ref="Y19" r:id="rId182"/>
    <hyperlink ref="Y20" r:id="rId183"/>
    <hyperlink ref="Y21" r:id="rId184"/>
    <hyperlink ref="Y22" r:id="rId185"/>
    <hyperlink ref="Y23" r:id="rId186"/>
    <hyperlink ref="Y24" r:id="rId187"/>
    <hyperlink ref="Y25" r:id="rId188"/>
    <hyperlink ref="Y26" r:id="rId189"/>
    <hyperlink ref="Y27" r:id="rId190"/>
    <hyperlink ref="Y28" r:id="rId191"/>
    <hyperlink ref="Y29" r:id="rId192"/>
    <hyperlink ref="Y30" r:id="rId193"/>
    <hyperlink ref="Y31" r:id="rId194"/>
    <hyperlink ref="Y33" r:id="rId195"/>
    <hyperlink ref="Y34" r:id="rId196"/>
    <hyperlink ref="Y37" r:id="rId197"/>
    <hyperlink ref="Y39" r:id="rId198"/>
    <hyperlink ref="Y41" r:id="rId199"/>
    <hyperlink ref="Y42" r:id="rId200"/>
    <hyperlink ref="Y43" r:id="rId201"/>
    <hyperlink ref="Y44" r:id="rId202"/>
    <hyperlink ref="Y45" r:id="rId203"/>
    <hyperlink ref="Y46" r:id="rId204"/>
    <hyperlink ref="Y47" r:id="rId205"/>
    <hyperlink ref="Y48" r:id="rId206"/>
    <hyperlink ref="Y50" r:id="rId207"/>
    <hyperlink ref="Y51" r:id="rId208"/>
    <hyperlink ref="Y52" r:id="rId209"/>
    <hyperlink ref="Y54" r:id="rId210"/>
    <hyperlink ref="Y55" r:id="rId211"/>
    <hyperlink ref="Y56" r:id="rId212"/>
    <hyperlink ref="Y57" r:id="rId213"/>
    <hyperlink ref="Y62" r:id="rId214"/>
    <hyperlink ref="Y63" r:id="rId215"/>
    <hyperlink ref="Y66" r:id="rId216"/>
    <hyperlink ref="Y67" r:id="rId217"/>
    <hyperlink ref="Y72" r:id="rId218"/>
    <hyperlink ref="Y73" r:id="rId219"/>
    <hyperlink ref="Y74" r:id="rId220"/>
    <hyperlink ref="Y75" r:id="rId221"/>
    <hyperlink ref="Y76" r:id="rId222"/>
    <hyperlink ref="Y77" r:id="rId223"/>
    <hyperlink ref="Y78" r:id="rId224"/>
    <hyperlink ref="Y80" r:id="rId225"/>
    <hyperlink ref="Y81" r:id="rId226"/>
    <hyperlink ref="Y82" r:id="rId227"/>
    <hyperlink ref="Y84" r:id="rId228"/>
    <hyperlink ref="Y85" r:id="rId229"/>
    <hyperlink ref="Y86" r:id="rId230"/>
    <hyperlink ref="Y87" r:id="rId231"/>
    <hyperlink ref="Y88" r:id="rId232"/>
    <hyperlink ref="V32" r:id="rId233"/>
    <hyperlink ref="V60" r:id="rId234"/>
    <hyperlink ref="V34" r:id="rId235" display="=IFERROR(VLOOKUP($C50, DataFromWikipedia!A:T, 17, FALSE), &quot;&quot;)"/>
    <hyperlink ref="Z2" r:id="rId236" display="https://www.google.co.uk/maps/search/?api=1&amp;query=51.539088,-0.073342"/>
    <hyperlink ref="Z3" r:id="rId237" display="https://www.google.co.uk/maps/search/?api=1&amp;query=51.556048,-0.04167"/>
    <hyperlink ref="Z4" r:id="rId238" display="https://www.google.co.uk/maps/search/?api=1&amp;query=51.504806,0.112953"/>
    <hyperlink ref="Z5" r:id="rId239" display="https://www.google.co.uk/maps/search/?api=1&amp;query=51.533785,-0.082290279"/>
    <hyperlink ref="Z6" r:id="rId240" display="https://www.google.co.uk/maps/search/?api=1&amp;query=51.544907,-0.073299"/>
    <hyperlink ref="Z7" r:id="rId241" display="https://www.google.co.uk/maps/search/?api=1&amp;query=51.544907,-0.073299"/>
    <hyperlink ref="Z8" r:id="rId242" display="https://www.google.co.uk/maps/search/?api=1&amp;query=51.531055,-0.091797"/>
    <hyperlink ref="Z9" r:id="rId243" display="https://www.google.co.uk/maps/search/?api=1&amp;query=51.549724,-0.061133"/>
    <hyperlink ref="Z10" r:id="rId244" display="https://www.google.co.uk/maps/search/?api=1&amp;query=51.570606,-0.080285"/>
    <hyperlink ref="Z11" r:id="rId245" display="https://www.google.co.uk/maps/search/?api=1&amp;query=51.534498,-0.081228"/>
    <hyperlink ref="Z12" r:id="rId246" display="https://www.google.co.uk/maps/search/?api=1&amp;query=51.548629,-0.043458629"/>
    <hyperlink ref="Z13" r:id="rId247" display="https://www.google.co.uk/maps/search/?api=1&amp;query=51.548829,-0.042604"/>
    <hyperlink ref="Z14" r:id="rId248" display="https://www.google.co.uk/maps/search/?api=1&amp;query=51.576473,-0.06956"/>
    <hyperlink ref="Z15" r:id="rId249" display="https://www.google.co.uk/maps/search/?api=1&amp;query=51.531642,-0.073274"/>
    <hyperlink ref="Z16" r:id="rId250" display="https://www.google.co.uk/maps/search/?api=1&amp;query=51.549911,-0.061197"/>
    <hyperlink ref="Z17" r:id="rId251" display="https://www.google.co.uk/maps/search/?api=1&amp;query=51.540365,-0.046082"/>
    <hyperlink ref="Z18" r:id="rId252" display="https://www.google.co.uk/maps/search/?api=1&amp;query=51.53046,-0.083416"/>
    <hyperlink ref="Z19" r:id="rId253" display="https://www.google.co.uk/maps/search/?api=1&amp;query=51.565583,-0.10072"/>
    <hyperlink ref="Z20" r:id="rId254" display="https://www.google.co.uk/maps/search/?api=1&amp;query=51.526761,-0.077228"/>
    <hyperlink ref="Z21" r:id="rId255" display="https://www.google.co.uk/maps/search/?api=1&amp;query=51.549436,-0.070424"/>
    <hyperlink ref="Z22" r:id="rId256" display="https://www.google.co.uk/maps/search/?api=1&amp;query=51.545324,-0.030726"/>
    <hyperlink ref="Z23" r:id="rId257" display="https://www.google.co.uk/maps/search/?api=1&amp;query=51.560782,-0.08445"/>
    <hyperlink ref="Z24" r:id="rId258" display="https://www.google.co.uk/maps/search/?api=1&amp;query=51.563403,-0.058989"/>
    <hyperlink ref="Z25" r:id="rId259" display="https://www.google.co.uk/maps/search/?api=1&amp;query=51.55266,-0.079265"/>
    <hyperlink ref="Z26" r:id="rId260" display="https://www.google.co.uk/maps/search/?api=1&amp;query=51.540672,-0.064067"/>
    <hyperlink ref="Z27" r:id="rId261" display="https://www.google.co.uk/maps/search/?api=1&amp;query=51.562711,-0.066117"/>
    <hyperlink ref="Z28" r:id="rId262" display="https://www.google.co.uk/maps/search/?api=1&amp;query=51.571391,-0.092576"/>
    <hyperlink ref="Z29" r:id="rId263" display="https://www.google.co.uk/maps/search/?api=1&amp;query=51.556929,-0.074008"/>
    <hyperlink ref="Z30" r:id="rId264" display="https://www.google.co.uk/maps/search/?api=1&amp;query=51.54085,-0.080358"/>
    <hyperlink ref="Z31" r:id="rId265" display="https://www.google.co.uk/maps/search/?api=1&amp;query=51.569841,-0.064587"/>
    <hyperlink ref="Z32" r:id="rId266" display="https://www.google.co.uk/maps/search/?api=1&amp;query=51.535258,-0.116601"/>
    <hyperlink ref="Z33" r:id="rId267" display="https://www.google.co.uk/maps/search/?api=1&amp;query=51.552526,-0.098727"/>
    <hyperlink ref="Z35" r:id="rId268" display="https://www.google.co.uk/maps/search/?api=1&amp;query=51.54787,-0.10632"/>
    <hyperlink ref="Z37" r:id="rId269" display="https://www.google.co.uk/maps/search/?api=1&amp;query=51.525483,-0.109214"/>
    <hyperlink ref="Z38" r:id="rId270" display="https://www.google.co.uk/maps/search/?api=1&amp;query=51.541003,-0.115216"/>
    <hyperlink ref="Z39" r:id="rId271" display="https://www.google.co.uk/maps/search/?api=1&amp;query=51.569478,-0.135682"/>
    <hyperlink ref="Z41" r:id="rId272" display="https://www.google.co.uk/maps/search/?api=1&amp;query=51.554687,-0.092225"/>
    <hyperlink ref="Z42" r:id="rId273" display="https://www.google.co.uk/maps/search/?api=1&amp;query=51.527725,-0.097732"/>
    <hyperlink ref="Z43" r:id="rId274" display="https://www.google.co.uk/maps/search/?api=1&amp;query=51.556822,-0.126171"/>
    <hyperlink ref="Z44" r:id="rId275" display="https://www.google.co.uk/maps/search/?api=1&amp;query=51.523574,-0.105679"/>
    <hyperlink ref="Z45" r:id="rId276" display="https://www.google.co.uk/maps/search/?api=1&amp;query=51.536527,-0.096514"/>
    <hyperlink ref="Z46" r:id="rId277" display="https://www.google.co.uk/maps/search/?api=1&amp;query=51.561657,-0.131321"/>
    <hyperlink ref="Z47" r:id="rId278" display="https://www.google.co.uk/maps/search/?api=1&amp;query=51.549097,-0.080931"/>
    <hyperlink ref="Z48" r:id="rId279" display="https://www.google.co.uk/maps/search/?api=1&amp;query=51.552457,-0.121323"/>
    <hyperlink ref="Z49" r:id="rId280" display="https://www.google.co.uk/maps/search/?api=1&amp;query=51.530047,-0.108996"/>
    <hyperlink ref="Z50" r:id="rId281" display="https://www.google.co.uk/maps/search/?api=1&amp;query=51.565186,-0.115699"/>
    <hyperlink ref="Z51" r:id="rId282" display="https://www.google.co.uk/maps/search/?api=1&amp;query=51.571335,-0.122738"/>
    <hyperlink ref="Z52" r:id="rId283" display="https://www.google.co.uk/maps/search/?api=1&amp;query=51.538358,-0.101831"/>
    <hyperlink ref="Z55" r:id="rId284" display="https://www.google.co.uk/maps/search/?api=1&amp;query=51.533362,-0.111962"/>
    <hyperlink ref="Z56" r:id="rId285" display="https://www.google.co.uk/maps/search/?api=1&amp;query=51.540907,-0.097067"/>
    <hyperlink ref="Z57" r:id="rId286" display="https://www.google.co.uk/maps/search/?api=1&amp;query=51.559874,-0.103849"/>
    <hyperlink ref="Z60" r:id="rId287" display="https://www.google.co.uk/maps/search/?api=1&amp;query=51.535938,-0.110871"/>
    <hyperlink ref="Z62" r:id="rId288" display="https://www.google.co.uk/maps/search/?api=1&amp;query=51.530245,-0.10960161"/>
    <hyperlink ref="Z63" r:id="rId289" display="https://www.google.co.uk/maps/search/?api=1&amp;query=51.520814,-0.020428"/>
    <hyperlink ref="Z64" r:id="rId290" display="https://www.google.co.uk/maps/search/?api=1&amp;query=51.510539,-0.011906"/>
    <hyperlink ref="Z65" r:id="rId291" display="https://www.google.co.uk/maps/search/?api=1&amp;query=51.489075,-0.006311"/>
    <hyperlink ref="Z66" r:id="rId292" display="https://www.google.co.uk/maps/search/?api=1&amp;query=51.489075,-0.006311"/>
    <hyperlink ref="Z67" r:id="rId293" display="https://www.google.co.uk/maps/search/?api=1&amp;query=51.519104,-0.074071"/>
    <hyperlink ref="Z71" r:id="rId294" display="https://www.google.co.uk/maps/search/?api=1&amp;query=51.512027,-0.031135"/>
    <hyperlink ref="Z73" r:id="rId295" display="https://www.google.co.uk/maps/search/?api=1&amp;query=51.531134,-0.039997"/>
    <hyperlink ref="Z74" r:id="rId296" display="https://www.google.co.uk/maps/search/?api=1&amp;query=51.516798,-0.041729"/>
    <hyperlink ref="Z75" r:id="rId297" display="https://www.google.co.uk/maps/search/?api=1&amp;query=51.509994,-0.059872"/>
    <hyperlink ref="Z76" r:id="rId298" display="https://www.google.co.uk/maps/search/?api=1&amp;query=51.531754,-0.048054"/>
    <hyperlink ref="Z77" r:id="rId299" display="https://www.google.co.uk/maps/search/?api=1&amp;query=51.527596,-0.055146"/>
    <hyperlink ref="Z78" r:id="rId300" display="https://www.google.co.uk/maps/search/?api=1&amp;query=51.499704,-0.023281"/>
    <hyperlink ref="Z80" r:id="rId301" display="https://www.google.co.uk/maps/search/?api=1&amp;query=51.52861,-0.017306"/>
    <hyperlink ref="Z81" r:id="rId302" display="https://www.google.co.uk/maps/search/?api=1&amp;query=51.511173,-0.05064"/>
    <hyperlink ref="Z82" r:id="rId303" display="https://www.google.co.uk/maps/search/?api=1&amp;query=51.525101,-0.067163"/>
    <hyperlink ref="Z84" r:id="rId304" display="https://www.google.co.uk/maps/search/?api=1&amp;query=51.53262,-0.03081"/>
    <hyperlink ref="Z85" r:id="rId305" display="https://www.google.co.uk/maps/search/?api=1&amp;query=51.517783,-0.029182"/>
    <hyperlink ref="Z86" r:id="rId306" display="https://www.google.co.uk/maps/search/?api=1&amp;query=51.509422,-0.052067"/>
    <hyperlink ref="Z87" r:id="rId307" display="https://www.google.co.uk/maps/search/?api=1&amp;query=51.530373,-0.064759"/>
    <hyperlink ref="Z88" r:id="rId308" display="https://www.google.co.uk/maps/search/?api=1&amp;query=51.506167,-0.058075"/>
    <hyperlink ref="B89" r:id="rId309"/>
    <hyperlink ref="W89" r:id="rId310"/>
    <hyperlink ref="Y89" r:id="rId311"/>
    <hyperlink ref="Z89" r:id="rId312" display="https://www.google.co.uk/maps/search/?api=1&amp;query=51.507645,-0.023844205"/>
    <hyperlink ref="U3" r:id="rId313" display="https://http/www.hackneymarshteam.org.uk"/>
    <hyperlink ref="U4" r:id="rId314" display="http://www.hackneymarshteam.org.uk/"/>
    <hyperlink ref="U5" r:id="rId315" display="https://www.gracechurchhackney.org.uk/"/>
    <hyperlink ref="U9" r:id="rId316" display="https://hackney.church/"/>
    <hyperlink ref="U10" r:id="rId317" display="http://www.standrewsn16.org/"/>
    <hyperlink ref="U11" r:id="rId318" display="http://www.hoxtonchurch.org.uk/"/>
    <hyperlink ref="U12" r:id="rId319" display="https://saintbarnabasdalston.org.uk/"/>
    <hyperlink ref="U14" r:id="rId320" display="https://www.holybart.com/"/>
    <hyperlink ref="U16" r:id="rId321" display="https://www.stjamesclapton.co.uk/"/>
    <hyperlink ref="U17" r:id="rId322" display="http://www.sjoj.co.uk/"/>
    <hyperlink ref="U18" r:id="rId323" display="https://www.stjohnshoxton.org.uk/"/>
    <hyperlink ref="U19" r:id="rId324" display="https://www.sjebp.com/"/>
    <hyperlink ref="U20" r:id="rId325"/>
    <hyperlink ref="U21" r:id="rId326"/>
    <hyperlink ref="U22" r:id="rId327" display="http://www.stmaryofeton.org.uk/"/>
    <hyperlink ref="U23" r:id="rId328" display="https://www.stmaryn16.org/"/>
    <hyperlink ref="U24" r:id="rId329"/>
    <hyperlink ref="U25" r:id="rId330" display="https://www.stmchurch.co.uk/"/>
    <hyperlink ref="U26" r:id="rId331" display="https://www.stmichaelslondonfields.org.uk/"/>
    <hyperlink ref="U28" r:id="rId332" display="http://www.stolaveschurch.co.uk/"/>
    <hyperlink ref="U29" r:id="rId333" display="http://stpaulswesthackney.org/"/>
    <hyperlink ref="U30" r:id="rId334" display="http://www.stpeterdebeauvoir.org.uk/"/>
    <hyperlink ref="U31" r:id="rId335" display="https://www.saintthomasclapton.org/"/>
    <hyperlink ref="U32" r:id="rId336" display="http://www.allsaintsislington.org/"/>
    <hyperlink ref="U33" r:id="rId337" display="http://www.christchurchhighbury.com/"/>
    <hyperlink ref="U35" r:id="rId338" display="http://www.hopechurchislington.org/"/>
    <hyperlink ref="U36" r:id="rId339" display="https://nagsheadcc.com/"/>
    <hyperlink ref="U37" r:id="rId340" display="http://www.holyredeemerclerkenwell.com/"/>
    <hyperlink ref="U38" r:id="rId341" display="https://www.standrewsislington.com/"/>
    <hyperlink ref="U39" r:id="rId342" display="http://www.standrewsn19.org/"/>
    <hyperlink ref="U40" r:id="rId343"/>
    <hyperlink ref="U41" r:id="rId344" display="http://www.staugustine.org.uk/"/>
    <hyperlink ref="U42" r:id="rId345" display="https://www.stclementfinsbury.org/"/>
    <hyperlink ref="U43" r:id="rId346" display="http://www.stgeorgestufnellpark.org/"/>
    <hyperlink ref="U44" r:id="rId347"/>
    <hyperlink ref="U45" r:id="rId348" display="https://www.stjamesislington.org/"/>
    <hyperlink ref="U46" r:id="rId349" display="http://www.stjohnsupperholloway.church/"/>
    <hyperlink ref="U47" r:id="rId350" display="http://www.sjsp.org.uk/"/>
    <hyperlink ref="U48" r:id="rId351" display="http://www.saintlukeschurch.org.uk/"/>
    <hyperlink ref="U49" r:id="rId352" display="https://www.stmarks-clerkenwell.co.uk/"/>
    <hyperlink ref="U50" r:id="rId353" display="https://www.tollingtonparish.org.uk/"/>
    <hyperlink ref="U51" r:id="rId354" display="http://www.stmaryshornseyrise.org.uk/"/>
    <hyperlink ref="U52" r:id="rId355" display="https://www.stmaryislington.org/"/>
    <hyperlink ref="U53" r:id="rId356" display="http://www.smmacademy.org/"/>
    <hyperlink ref="U55" r:id="rId357" display="https://www.saint-silas.org.uk/"/>
    <hyperlink ref="U56" r:id="rId358" display="http://www.ststephenscanonbury.org.uk/"/>
    <hyperlink ref="U57" r:id="rId359" display="https://www.stthomaschurch.co.uk/"/>
    <hyperlink ref="U59" r:id="rId360" display="http://www.thecharterhouse.org/"/>
    <hyperlink ref="U60" r:id="rId361" display="http://www.churchonthecorner.org.uk/"/>
    <hyperlink ref="U62" r:id="rId362" display="https://www.trinityislington.org/"/>
    <hyperlink ref="U63" r:id="rId363" display="http://www.allhallowsbow.org.uk/"/>
    <hyperlink ref="U64" r:id="rId364" display="http://www.parishofpoplar.org/"/>
    <hyperlink ref="U65" r:id="rId365" display="http://www.parishiod.org.uk/"/>
    <hyperlink ref="U66" r:id="rId366" display="https://www.parishiod.org.uk/"/>
    <hyperlink ref="U67" r:id="rId367" display="http://www.ccspits.org/"/>
    <hyperlink ref="U71" r:id="rId368" display="http://www.stanneslimehouse.org/"/>
    <hyperlink ref="U73" r:id="rId369" display="http://www.stbarnabasbethnalgreen.org/"/>
    <hyperlink ref="U74" r:id="rId370" display="http://www.stdunstanstepney.com/"/>
    <hyperlink ref="U75" r:id="rId371" display="http://www.stgeorgeintheeast.org/"/>
    <hyperlink ref="U76" r:id="rId372" display="http://stjamesthelessbg.org.uk/"/>
    <hyperlink ref="U77" r:id="rId373" display="https://www.stjohnonbethnalgreen.org/"/>
    <hyperlink ref="U78" r:id="rId374"/>
    <hyperlink ref="U80" r:id="rId375"/>
    <hyperlink ref="U81" r:id="rId376" display="http://stmaryscablest.blogspot.com/"/>
    <hyperlink ref="U82" r:id="rId377"/>
    <hyperlink ref="U83" r:id="rId378" display="http://stnicholaspoplar.org/"/>
    <hyperlink ref="U84" r:id="rId379" display="http://www.stpauloldford.com/"/>
    <hyperlink ref="U85" r:id="rId380" display="http://www.stpaulsbowcommon.org.uk/"/>
    <hyperlink ref="U86" r:id="rId381" display="http://sps.church/"/>
    <hyperlink ref="U87" r:id="rId382" display="https://www.stpetersbethnalgreen.org/"/>
    <hyperlink ref="U88" r:id="rId383" display="http://www.stpeterslondondocks.org.uk/"/>
    <hyperlink ref="U89" r:id="rId384" display="https://www.stpetersbarge.org/"/>
  </hyperlinks>
  <pageMargins left="0.7" right="0.7" top="0.75" bottom="0.75" header="0.3" footer="0.3"/>
  <pageSetup paperSize="9" orientation="portrait" r:id="rId38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5"/>
  <sheetViews>
    <sheetView showGridLines="0" workbookViewId="0">
      <selection activeCell="C3" sqref="C3"/>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1119</v>
      </c>
    </row>
    <row r="2" spans="1:8" x14ac:dyDescent="0.25">
      <c r="B2" s="17" t="s">
        <v>213</v>
      </c>
      <c r="G2" s="45"/>
      <c r="H2" s="45"/>
    </row>
    <row r="3" spans="1:8" ht="270" x14ac:dyDescent="0.25">
      <c r="B3" s="18" t="s">
        <v>1136</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1125</v>
      </c>
      <c r="C12" s="53" t="s">
        <v>467</v>
      </c>
    </row>
    <row r="13" spans="1:8" x14ac:dyDescent="0.25">
      <c r="B13" s="12" t="s">
        <v>1122</v>
      </c>
      <c r="C13" s="13" t="s">
        <v>1123</v>
      </c>
    </row>
    <row r="14" spans="1:8" x14ac:dyDescent="0.25">
      <c r="B14" s="100" t="s">
        <v>210</v>
      </c>
      <c r="C14" s="101"/>
    </row>
    <row r="17" spans="1:3" x14ac:dyDescent="0.25">
      <c r="A17" s="16" t="s">
        <v>1120</v>
      </c>
      <c r="B17" s="51"/>
    </row>
    <row r="18" spans="1:3" x14ac:dyDescent="0.25">
      <c r="B18" s="102" t="s">
        <v>1121</v>
      </c>
      <c r="C18" s="102"/>
    </row>
    <row r="21" spans="1:3" x14ac:dyDescent="0.25">
      <c r="A21" s="16" t="s">
        <v>1129</v>
      </c>
    </row>
    <row r="22" spans="1:3" x14ac:dyDescent="0.25">
      <c r="B22" s="55" t="s">
        <v>1130</v>
      </c>
    </row>
    <row r="23" spans="1:3" x14ac:dyDescent="0.25">
      <c r="B23" s="56" t="s">
        <v>1131</v>
      </c>
    </row>
    <row r="24" spans="1:3" x14ac:dyDescent="0.25">
      <c r="B24" s="58" t="s">
        <v>1132</v>
      </c>
    </row>
    <row r="25" spans="1:3" x14ac:dyDescent="0.25">
      <c r="B25" s="57" t="s">
        <v>1134</v>
      </c>
    </row>
  </sheetData>
  <mergeCells count="2">
    <mergeCell ref="B14:C14"/>
    <mergeCell ref="B18:C1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90"/>
  <sheetViews>
    <sheetView tabSelected="1" workbookViewId="0">
      <pane ySplit="1" topLeftCell="A44" activePane="bottomLeft" state="frozen"/>
      <selection pane="bottomLeft" activeCell="G72" sqref="G72"/>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107"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1138</v>
      </c>
      <c r="B1" s="63" t="s">
        <v>1139</v>
      </c>
      <c r="C1" s="64" t="s">
        <v>1140</v>
      </c>
      <c r="D1" s="64" t="s">
        <v>1141</v>
      </c>
      <c r="E1" s="64" t="s">
        <v>1142</v>
      </c>
      <c r="F1" s="103"/>
      <c r="G1" s="22" t="s">
        <v>1193</v>
      </c>
      <c r="H1" s="21" t="s">
        <v>27</v>
      </c>
      <c r="I1" s="108"/>
      <c r="J1" s="62" t="s">
        <v>1194</v>
      </c>
      <c r="K1" s="62" t="s">
        <v>1195</v>
      </c>
    </row>
    <row r="2" spans="1:11" ht="20.25" customHeight="1" x14ac:dyDescent="0.25">
      <c r="A2" s="65" t="s">
        <v>471</v>
      </c>
      <c r="B2" s="66" t="s">
        <v>282</v>
      </c>
      <c r="C2" s="67" t="s">
        <v>1143</v>
      </c>
      <c r="D2" s="68" t="s">
        <v>888</v>
      </c>
      <c r="E2" s="69">
        <v>1</v>
      </c>
      <c r="F2" s="104"/>
      <c r="G2" s="19" t="s">
        <v>485</v>
      </c>
      <c r="H2" s="19" t="s">
        <v>26</v>
      </c>
      <c r="I2" s="107"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104"/>
      <c r="G3" s="19" t="s">
        <v>491</v>
      </c>
      <c r="H3" s="19" t="s">
        <v>490</v>
      </c>
      <c r="I3" s="107"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1144</v>
      </c>
      <c r="D4" s="68" t="s">
        <v>1145</v>
      </c>
      <c r="E4" s="69">
        <v>3</v>
      </c>
      <c r="F4" s="104"/>
      <c r="G4" s="19" t="s">
        <v>491</v>
      </c>
      <c r="H4" s="19" t="s">
        <v>495</v>
      </c>
      <c r="I4" s="107"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1146</v>
      </c>
      <c r="C5" s="67"/>
      <c r="D5" s="68" t="s">
        <v>1147</v>
      </c>
      <c r="E5" s="69"/>
      <c r="F5" s="104"/>
      <c r="G5" s="19" t="s">
        <v>555</v>
      </c>
      <c r="H5" s="19" t="s">
        <v>17</v>
      </c>
      <c r="I5" s="107"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104"/>
      <c r="G6" s="19" t="s">
        <v>482</v>
      </c>
      <c r="H6" s="19" t="s">
        <v>290</v>
      </c>
      <c r="I6" s="107" t="str">
        <f t="shared" si="0"/>
        <v>@Ref:0506A: Holy Trinity Dalston</v>
      </c>
      <c r="J6" s="59" t="str">
        <f t="shared" si="1"/>
        <v>Ref:0507</v>
      </c>
      <c r="K6" s="59" t="str">
        <f t="shared" si="2"/>
        <v>@Ref:0506A: Holy Trinity Dalston</v>
      </c>
    </row>
    <row r="7" spans="1:11" ht="20.25" customHeight="1" x14ac:dyDescent="0.25">
      <c r="A7" s="65" t="s">
        <v>487</v>
      </c>
      <c r="B7" s="66" t="s">
        <v>1148</v>
      </c>
      <c r="C7" s="67" t="s">
        <v>1143</v>
      </c>
      <c r="D7" s="68"/>
      <c r="E7" s="69" t="s">
        <v>1149</v>
      </c>
      <c r="F7" s="104"/>
      <c r="G7" s="19" t="s">
        <v>479</v>
      </c>
      <c r="H7" s="19" t="s">
        <v>288</v>
      </c>
      <c r="I7" s="107" t="str">
        <f t="shared" si="0"/>
        <v>@Ref:0506: Holy Trinity Dalston with All Saints Haggerston</v>
      </c>
      <c r="J7" s="59" t="str">
        <f t="shared" si="1"/>
        <v>Ref:0509A</v>
      </c>
      <c r="K7" s="59" t="str">
        <f t="shared" si="2"/>
        <v>Ref:0506</v>
      </c>
    </row>
    <row r="8" spans="1:11" ht="20.25" customHeight="1" x14ac:dyDescent="0.25">
      <c r="A8" s="65" t="s">
        <v>496</v>
      </c>
      <c r="B8" s="66" t="s">
        <v>1150</v>
      </c>
      <c r="C8" s="67" t="s">
        <v>1151</v>
      </c>
      <c r="D8" s="68" t="s">
        <v>908</v>
      </c>
      <c r="E8" s="69">
        <v>3</v>
      </c>
      <c r="F8" s="104"/>
      <c r="G8" s="19" t="s">
        <v>536</v>
      </c>
      <c r="H8" s="19" t="s">
        <v>321</v>
      </c>
      <c r="I8" s="107" t="str">
        <f t="shared" si="0"/>
        <v>@Ref:0525: Holy Trinity Hoxton</v>
      </c>
      <c r="J8" s="59" t="str">
        <f t="shared" si="1"/>
        <v>Ref:0510</v>
      </c>
      <c r="K8" s="59" t="str">
        <f t="shared" si="2"/>
        <v>Ref:0525</v>
      </c>
    </row>
    <row r="9" spans="1:11" ht="20.25" customHeight="1" x14ac:dyDescent="0.25">
      <c r="A9" s="65" t="s">
        <v>500</v>
      </c>
      <c r="B9" s="66" t="s">
        <v>300</v>
      </c>
      <c r="C9" s="67"/>
      <c r="D9" s="68" t="s">
        <v>222</v>
      </c>
      <c r="E9" s="69" t="s">
        <v>1152</v>
      </c>
      <c r="F9" s="104"/>
      <c r="G9" s="19" t="s">
        <v>471</v>
      </c>
      <c r="H9" s="19" t="s">
        <v>282</v>
      </c>
      <c r="I9" s="107" t="str">
        <f t="shared" si="0"/>
        <v>@Ref:0501: Parish of Hackney</v>
      </c>
      <c r="J9" s="59" t="str">
        <f t="shared" si="1"/>
        <v>Ref:0511</v>
      </c>
      <c r="K9" s="59" t="str">
        <f t="shared" si="2"/>
        <v>Ref:0501</v>
      </c>
    </row>
    <row r="10" spans="1:11" ht="20.25" customHeight="1" x14ac:dyDescent="0.25">
      <c r="A10" s="65" t="s">
        <v>503</v>
      </c>
      <c r="B10" s="66" t="s">
        <v>1153</v>
      </c>
      <c r="C10" s="70"/>
      <c r="D10" s="68" t="s">
        <v>224</v>
      </c>
      <c r="E10" s="69"/>
      <c r="F10" s="104"/>
      <c r="G10" s="19" t="s">
        <v>515</v>
      </c>
      <c r="H10" s="19" t="s">
        <v>308</v>
      </c>
      <c r="I10" s="107" t="str">
        <f t="shared" si="0"/>
        <v>@Ref:0516: St Andrew Stoke Newington</v>
      </c>
      <c r="J10" s="59" t="str">
        <f t="shared" si="1"/>
        <v>Ref:0512</v>
      </c>
      <c r="K10" s="59" t="str">
        <f t="shared" si="2"/>
        <v>Ref:0516</v>
      </c>
    </row>
    <row r="11" spans="1:11" ht="20.25" customHeight="1" x14ac:dyDescent="0.25">
      <c r="A11" s="65" t="s">
        <v>506</v>
      </c>
      <c r="B11" s="66" t="s">
        <v>1154</v>
      </c>
      <c r="C11" s="67" t="s">
        <v>1151</v>
      </c>
      <c r="D11" s="68" t="s">
        <v>944</v>
      </c>
      <c r="E11" s="69"/>
      <c r="F11" s="104"/>
      <c r="G11" s="19" t="s">
        <v>533</v>
      </c>
      <c r="H11" s="19" t="s">
        <v>319</v>
      </c>
      <c r="I11" s="107" t="str">
        <f t="shared" si="0"/>
        <v>@Ref:0523: St Anne Hoxton</v>
      </c>
      <c r="J11" s="59" t="str">
        <f t="shared" si="1"/>
        <v>Ref:0513</v>
      </c>
      <c r="K11" s="59" t="str">
        <f t="shared" si="2"/>
        <v>Ref:0523</v>
      </c>
    </row>
    <row r="12" spans="1:11" ht="20.25" customHeight="1" x14ac:dyDescent="0.25">
      <c r="A12" s="65" t="s">
        <v>509</v>
      </c>
      <c r="B12" s="66" t="s">
        <v>304</v>
      </c>
      <c r="C12" s="67" t="s">
        <v>1151</v>
      </c>
      <c r="D12" s="68" t="s">
        <v>219</v>
      </c>
      <c r="E12" s="69">
        <v>4</v>
      </c>
      <c r="F12" s="104"/>
      <c r="G12" s="19" t="s">
        <v>552</v>
      </c>
      <c r="H12" s="19" t="s">
        <v>331</v>
      </c>
      <c r="I12" s="107"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104"/>
      <c r="G13" s="19" t="s">
        <v>487</v>
      </c>
      <c r="H13" s="19" t="s">
        <v>8</v>
      </c>
      <c r="I13" s="107" t="str">
        <f t="shared" si="0"/>
        <v>@Ref:0509A: St Barnabas, Homerton</v>
      </c>
      <c r="J13" s="59" t="str">
        <f t="shared" si="1"/>
        <v>Ref:0515</v>
      </c>
      <c r="K13" s="59" t="str">
        <f t="shared" si="2"/>
        <v>Ref:0509A</v>
      </c>
    </row>
    <row r="14" spans="1:11" ht="20.25" customHeight="1" x14ac:dyDescent="0.25">
      <c r="A14" s="65" t="s">
        <v>515</v>
      </c>
      <c r="B14" s="66" t="s">
        <v>1155</v>
      </c>
      <c r="C14" s="67"/>
      <c r="D14" s="68" t="s">
        <v>275</v>
      </c>
      <c r="E14" s="71" t="s">
        <v>1156</v>
      </c>
      <c r="F14" s="105"/>
      <c r="G14" s="19" t="s">
        <v>546</v>
      </c>
      <c r="H14" s="19" t="s">
        <v>327</v>
      </c>
      <c r="I14" s="107" t="str">
        <f t="shared" si="0"/>
        <v>@Ref:0528: St Bartholomew Stamford Hill</v>
      </c>
      <c r="J14" s="59" t="str">
        <f t="shared" si="1"/>
        <v>Ref:0516</v>
      </c>
      <c r="K14" s="59" t="str">
        <f t="shared" si="2"/>
        <v>Ref:0528</v>
      </c>
    </row>
    <row r="15" spans="1:11" ht="20.25" customHeight="1" x14ac:dyDescent="0.25">
      <c r="A15" s="65" t="s">
        <v>518</v>
      </c>
      <c r="B15" s="66" t="s">
        <v>310</v>
      </c>
      <c r="C15" s="67" t="s">
        <v>1144</v>
      </c>
      <c r="D15" s="68" t="s">
        <v>232</v>
      </c>
      <c r="E15" s="71" t="s">
        <v>1157</v>
      </c>
      <c r="F15" s="105"/>
      <c r="G15" s="19" t="s">
        <v>542</v>
      </c>
      <c r="H15" s="19" t="s">
        <v>325</v>
      </c>
      <c r="I15" s="107" t="str">
        <f t="shared" si="0"/>
        <v>@Ref:0527: St Chad Haggerston</v>
      </c>
      <c r="J15" s="59" t="str">
        <f t="shared" si="1"/>
        <v>Ref:0517</v>
      </c>
      <c r="K15" s="59" t="str">
        <f t="shared" si="2"/>
        <v>Ref:0527</v>
      </c>
    </row>
    <row r="16" spans="1:11" ht="20.25" customHeight="1" x14ac:dyDescent="0.25">
      <c r="A16" s="65" t="s">
        <v>521</v>
      </c>
      <c r="B16" s="66" t="s">
        <v>1158</v>
      </c>
      <c r="C16" s="67"/>
      <c r="D16" s="68" t="s">
        <v>276</v>
      </c>
      <c r="E16" s="69"/>
      <c r="F16" s="104"/>
      <c r="G16" s="19" t="s">
        <v>549</v>
      </c>
      <c r="H16" s="19" t="s">
        <v>329</v>
      </c>
      <c r="I16" s="107"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104"/>
      <c r="G17" s="19" t="s">
        <v>496</v>
      </c>
      <c r="H17" s="19" t="s">
        <v>298</v>
      </c>
      <c r="I17" s="107" t="str">
        <f t="shared" si="0"/>
        <v>@Ref:0510: St John of Jerusalem South Hackney</v>
      </c>
      <c r="J17" s="59" t="str">
        <f t="shared" si="1"/>
        <v>Ref:0519</v>
      </c>
      <c r="K17" s="59" t="str">
        <f t="shared" si="2"/>
        <v>Ref:0510</v>
      </c>
    </row>
    <row r="18" spans="1:11" ht="20.25" customHeight="1" x14ac:dyDescent="0.25">
      <c r="A18" s="65" t="s">
        <v>527</v>
      </c>
      <c r="B18" s="66" t="s">
        <v>1159</v>
      </c>
      <c r="C18" s="67" t="s">
        <v>1144</v>
      </c>
      <c r="D18" s="68" t="s">
        <v>215</v>
      </c>
      <c r="E18" s="69"/>
      <c r="F18" s="104"/>
      <c r="G18" s="19" t="s">
        <v>539</v>
      </c>
      <c r="H18" s="19" t="s">
        <v>323</v>
      </c>
      <c r="I18" s="107" t="str">
        <f t="shared" si="0"/>
        <v>@Ref:0526: St John the Baptist Hoxton</v>
      </c>
      <c r="J18" s="59" t="str">
        <f t="shared" si="1"/>
        <v>Ref:0520</v>
      </c>
      <c r="K18" s="59" t="str">
        <f t="shared" si="2"/>
        <v>Ref:0526</v>
      </c>
    </row>
    <row r="19" spans="1:11" ht="20.25" customHeight="1" x14ac:dyDescent="0.25">
      <c r="A19" s="65" t="s">
        <v>530</v>
      </c>
      <c r="B19" s="66" t="s">
        <v>317</v>
      </c>
      <c r="C19" s="70" t="s">
        <v>1151</v>
      </c>
      <c r="D19" s="68" t="s">
        <v>228</v>
      </c>
      <c r="E19" s="69"/>
      <c r="F19" s="104"/>
      <c r="G19" s="19" t="s">
        <v>527</v>
      </c>
      <c r="H19" s="19" t="s">
        <v>315</v>
      </c>
      <c r="I19" s="107" t="str">
        <f t="shared" si="0"/>
        <v>@Ref:0520: St John the Evangelist Brownswood Park</v>
      </c>
      <c r="J19" s="59" t="str">
        <f t="shared" si="1"/>
        <v>Ref:0521</v>
      </c>
      <c r="K19" s="59" t="str">
        <f t="shared" si="2"/>
        <v>Ref:0520</v>
      </c>
    </row>
    <row r="20" spans="1:11" ht="20.25" customHeight="1" x14ac:dyDescent="0.25">
      <c r="A20" s="65" t="s">
        <v>533</v>
      </c>
      <c r="B20" s="66" t="s">
        <v>319</v>
      </c>
      <c r="C20" s="70" t="s">
        <v>1144</v>
      </c>
      <c r="D20" s="68" t="s">
        <v>226</v>
      </c>
      <c r="E20" s="69">
        <v>3</v>
      </c>
      <c r="F20" s="104"/>
      <c r="G20" s="19" t="s">
        <v>530</v>
      </c>
      <c r="H20" s="19" t="s">
        <v>317</v>
      </c>
      <c r="I20" s="107" t="str">
        <f t="shared" si="0"/>
        <v>@Ref:0521: St Leonard Shoreditch</v>
      </c>
      <c r="J20" s="59" t="str">
        <f t="shared" si="1"/>
        <v>Ref:0523</v>
      </c>
      <c r="K20" s="59" t="str">
        <f t="shared" si="2"/>
        <v>Ref:0521</v>
      </c>
    </row>
    <row r="21" spans="1:11" ht="20.25" customHeight="1" x14ac:dyDescent="0.25">
      <c r="A21" s="65" t="s">
        <v>536</v>
      </c>
      <c r="B21" s="66" t="s">
        <v>321</v>
      </c>
      <c r="C21" s="70" t="s">
        <v>1144</v>
      </c>
      <c r="D21" s="68" t="s">
        <v>274</v>
      </c>
      <c r="E21" s="71">
        <v>4</v>
      </c>
      <c r="F21" s="105"/>
      <c r="G21" s="19" t="s">
        <v>486</v>
      </c>
      <c r="H21" s="19" t="s">
        <v>293</v>
      </c>
      <c r="I21" s="107" t="str">
        <f t="shared" si="0"/>
        <v>@Ref:0507: St Mark Dalston</v>
      </c>
      <c r="J21" s="59" t="str">
        <f t="shared" si="1"/>
        <v>Ref:0525</v>
      </c>
      <c r="K21" s="59" t="str">
        <f t="shared" si="2"/>
        <v>Ref:0507</v>
      </c>
    </row>
    <row r="22" spans="1:11" ht="20.25" customHeight="1" x14ac:dyDescent="0.25">
      <c r="A22" s="65" t="s">
        <v>539</v>
      </c>
      <c r="B22" s="66" t="s">
        <v>1160</v>
      </c>
      <c r="C22" s="70" t="s">
        <v>1143</v>
      </c>
      <c r="D22" s="68" t="s">
        <v>227</v>
      </c>
      <c r="E22" s="69">
        <v>2</v>
      </c>
      <c r="F22" s="104"/>
      <c r="G22" s="19" t="s">
        <v>500</v>
      </c>
      <c r="H22" s="19" t="s">
        <v>300</v>
      </c>
      <c r="I22" s="107" t="str">
        <f t="shared" si="0"/>
        <v>@Ref:0511: St Mary of Eton Hackney</v>
      </c>
      <c r="J22" s="59" t="str">
        <f t="shared" si="1"/>
        <v>Ref:0526</v>
      </c>
      <c r="K22" s="59" t="str">
        <f t="shared" si="2"/>
        <v>Ref:0511</v>
      </c>
    </row>
    <row r="23" spans="1:11" ht="20.25" customHeight="1" x14ac:dyDescent="0.25">
      <c r="A23" s="65" t="s">
        <v>542</v>
      </c>
      <c r="B23" s="66" t="s">
        <v>325</v>
      </c>
      <c r="C23" s="70" t="s">
        <v>1144</v>
      </c>
      <c r="D23" s="68" t="s">
        <v>273</v>
      </c>
      <c r="E23" s="72" t="s">
        <v>1161</v>
      </c>
      <c r="F23" s="106"/>
      <c r="G23" s="19" t="s">
        <v>512</v>
      </c>
      <c r="H23" s="19" t="s">
        <v>306</v>
      </c>
      <c r="I23" s="107" t="str">
        <f t="shared" si="0"/>
        <v>@Ref:0515: St Mary Stoke Newington</v>
      </c>
      <c r="J23" s="59" t="str">
        <f t="shared" si="1"/>
        <v>Ref:0527</v>
      </c>
      <c r="K23" s="59" t="str">
        <f t="shared" si="2"/>
        <v>Ref:0515</v>
      </c>
    </row>
    <row r="24" spans="1:11" ht="20.25" customHeight="1" x14ac:dyDescent="0.25">
      <c r="A24" s="65" t="s">
        <v>546</v>
      </c>
      <c r="B24" s="66" t="s">
        <v>327</v>
      </c>
      <c r="C24" s="70" t="s">
        <v>1144</v>
      </c>
      <c r="D24" s="68" t="s">
        <v>229</v>
      </c>
      <c r="E24" s="72" t="s">
        <v>1161</v>
      </c>
      <c r="F24" s="106"/>
      <c r="G24" s="19" t="s">
        <v>472</v>
      </c>
      <c r="H24" s="19" t="s">
        <v>284</v>
      </c>
      <c r="I24" s="107" t="str">
        <f t="shared" si="0"/>
        <v>@Ref:0504: St Matthew Upper Clapton</v>
      </c>
      <c r="J24" s="59" t="str">
        <f t="shared" si="1"/>
        <v>Ref:0528</v>
      </c>
      <c r="K24" s="59" t="str">
        <f t="shared" si="2"/>
        <v>Ref:0504</v>
      </c>
    </row>
    <row r="25" spans="1:11" ht="20.25" customHeight="1" x14ac:dyDescent="0.25">
      <c r="A25" s="65" t="s">
        <v>549</v>
      </c>
      <c r="B25" s="66" t="s">
        <v>1162</v>
      </c>
      <c r="C25" s="70" t="s">
        <v>1144</v>
      </c>
      <c r="D25" s="68" t="s">
        <v>270</v>
      </c>
      <c r="E25" s="71" t="s">
        <v>1161</v>
      </c>
      <c r="F25" s="105"/>
      <c r="G25" s="19" t="s">
        <v>518</v>
      </c>
      <c r="H25" s="19" t="s">
        <v>310</v>
      </c>
      <c r="I25" s="107" t="str">
        <f t="shared" si="0"/>
        <v>@Ref:0517: St Matthias Stoke Newington</v>
      </c>
      <c r="J25" s="59" t="str">
        <f t="shared" si="1"/>
        <v>Ref:0529</v>
      </c>
      <c r="K25" s="59" t="str">
        <f t="shared" si="2"/>
        <v>Ref:0517</v>
      </c>
    </row>
    <row r="26" spans="1:11" ht="20.25" customHeight="1" x14ac:dyDescent="0.25">
      <c r="A26" s="65" t="s">
        <v>552</v>
      </c>
      <c r="B26" s="66" t="s">
        <v>1163</v>
      </c>
      <c r="C26" s="70"/>
      <c r="D26" s="68" t="s">
        <v>1164</v>
      </c>
      <c r="E26" s="69"/>
      <c r="F26" s="104"/>
      <c r="G26" s="19" t="s">
        <v>503</v>
      </c>
      <c r="H26" s="19" t="s">
        <v>461</v>
      </c>
      <c r="I26" s="107" t="str">
        <f t="shared" si="0"/>
        <v>@Ref:0512: St Michael &amp; All Angels London Fields</v>
      </c>
      <c r="J26" s="59" t="str">
        <f t="shared" si="1"/>
        <v>Ref:0585</v>
      </c>
      <c r="K26" s="59" t="str">
        <f t="shared" si="2"/>
        <v>Ref:0512</v>
      </c>
    </row>
    <row r="27" spans="1:11" ht="20.25" customHeight="1" x14ac:dyDescent="0.25">
      <c r="A27" s="65" t="s">
        <v>555</v>
      </c>
      <c r="B27" s="66" t="s">
        <v>17</v>
      </c>
      <c r="C27" s="67" t="s">
        <v>1143</v>
      </c>
      <c r="D27" s="68" t="s">
        <v>1164</v>
      </c>
      <c r="E27" s="69">
        <v>2</v>
      </c>
      <c r="F27" s="104"/>
      <c r="G27" s="19" t="s">
        <v>521</v>
      </c>
      <c r="H27" s="19" t="s">
        <v>462</v>
      </c>
      <c r="I27" s="107"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1143</v>
      </c>
      <c r="D28" s="68" t="s">
        <v>246</v>
      </c>
      <c r="E28" s="69">
        <v>3</v>
      </c>
      <c r="F28" s="104"/>
      <c r="G28" s="19" t="s">
        <v>524</v>
      </c>
      <c r="H28" s="19" t="s">
        <v>313</v>
      </c>
      <c r="I28" s="107" t="str">
        <f t="shared" si="0"/>
        <v>@Ref:0519: St Olave Woodberry Down</v>
      </c>
      <c r="J28" s="59" t="str">
        <f t="shared" si="1"/>
        <v>Ref:0601</v>
      </c>
      <c r="K28" s="59" t="str">
        <f t="shared" si="2"/>
        <v>Ref:0519</v>
      </c>
    </row>
    <row r="29" spans="1:11" ht="20.25" customHeight="1" x14ac:dyDescent="0.25">
      <c r="A29" s="65" t="s">
        <v>608</v>
      </c>
      <c r="B29" s="66" t="s">
        <v>1165</v>
      </c>
      <c r="C29" s="67" t="s">
        <v>1143</v>
      </c>
      <c r="D29" s="68" t="s">
        <v>245</v>
      </c>
      <c r="E29" s="69">
        <v>3</v>
      </c>
      <c r="F29" s="104"/>
      <c r="G29" s="19" t="s">
        <v>506</v>
      </c>
      <c r="H29" s="19" t="s">
        <v>13</v>
      </c>
      <c r="I29" s="107" t="str">
        <f t="shared" si="0"/>
        <v>@Ref:0513: St Paul, West Hackney</v>
      </c>
      <c r="J29" s="59" t="str">
        <f t="shared" si="1"/>
        <v>Ref:0604</v>
      </c>
      <c r="K29" s="59" t="str">
        <f t="shared" si="2"/>
        <v>Ref:0513</v>
      </c>
    </row>
    <row r="30" spans="1:11" ht="20.25" customHeight="1" x14ac:dyDescent="0.25">
      <c r="A30" s="65" t="s">
        <v>611</v>
      </c>
      <c r="B30" s="66" t="s">
        <v>1166</v>
      </c>
      <c r="C30" s="67" t="s">
        <v>1143</v>
      </c>
      <c r="D30" s="68"/>
      <c r="E30" s="69"/>
      <c r="F30" s="104"/>
      <c r="G30" s="19" t="s">
        <v>509</v>
      </c>
      <c r="H30" s="19" t="s">
        <v>304</v>
      </c>
      <c r="I30" s="107" t="str">
        <f t="shared" si="0"/>
        <v>@Ref:0514: St Peter De Beauvoir Town</v>
      </c>
      <c r="J30" s="59" t="str">
        <f t="shared" si="1"/>
        <v>Ref:0605</v>
      </c>
      <c r="K30" s="59" t="str">
        <f t="shared" si="2"/>
        <v>Ref:0514</v>
      </c>
    </row>
    <row r="31" spans="1:11" ht="20.25" customHeight="1" x14ac:dyDescent="0.25">
      <c r="A31" s="65" t="s">
        <v>622</v>
      </c>
      <c r="B31" s="66" t="s">
        <v>1167</v>
      </c>
      <c r="C31" s="67"/>
      <c r="D31" s="68" t="s">
        <v>241</v>
      </c>
      <c r="E31" s="69"/>
      <c r="F31" s="104"/>
      <c r="G31" s="19" t="s">
        <v>475</v>
      </c>
      <c r="H31" s="19" t="s">
        <v>286</v>
      </c>
      <c r="I31" s="107" t="str">
        <f t="shared" si="0"/>
        <v>@Ref:0505: St Thomas Clapton Common</v>
      </c>
      <c r="J31" s="59" t="str">
        <f t="shared" si="1"/>
        <v>Ref:0606</v>
      </c>
      <c r="K31" s="59" t="str">
        <f t="shared" si="2"/>
        <v>Ref:0505</v>
      </c>
    </row>
    <row r="32" spans="1:11" ht="20.25" customHeight="1" x14ac:dyDescent="0.25">
      <c r="A32" s="65" t="s">
        <v>625</v>
      </c>
      <c r="B32" s="66" t="s">
        <v>350</v>
      </c>
      <c r="C32" s="67" t="s">
        <v>1143</v>
      </c>
      <c r="D32" s="68" t="s">
        <v>240</v>
      </c>
      <c r="E32" s="69">
        <v>2</v>
      </c>
      <c r="F32" s="104"/>
      <c r="G32" s="19" t="s">
        <v>615</v>
      </c>
      <c r="H32" s="19" t="s">
        <v>616</v>
      </c>
      <c r="I32" s="107"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1168</v>
      </c>
      <c r="C33" s="67" t="s">
        <v>1143</v>
      </c>
      <c r="D33" s="68" t="s">
        <v>250</v>
      </c>
      <c r="E33" s="69">
        <v>3</v>
      </c>
      <c r="F33" s="104"/>
      <c r="G33" s="19" t="s">
        <v>625</v>
      </c>
      <c r="H33" s="19" t="s">
        <v>350</v>
      </c>
      <c r="I33" s="107" t="str">
        <f t="shared" si="0"/>
        <v>@Ref:0607: Christ Church Highbury</v>
      </c>
      <c r="J33" s="59" t="str">
        <f t="shared" si="1"/>
        <v>Ref:0610</v>
      </c>
      <c r="K33" s="59" t="str">
        <f t="shared" si="2"/>
        <v>Ref:0607</v>
      </c>
    </row>
    <row r="34" spans="1:11" ht="20.25" customHeight="1" x14ac:dyDescent="0.25">
      <c r="A34" s="65" t="s">
        <v>631</v>
      </c>
      <c r="B34" s="66" t="s">
        <v>1169</v>
      </c>
      <c r="C34" s="67" t="s">
        <v>1144</v>
      </c>
      <c r="D34" s="68" t="s">
        <v>267</v>
      </c>
      <c r="E34" s="69"/>
      <c r="F34" s="104"/>
      <c r="G34" s="19" t="s">
        <v>675</v>
      </c>
      <c r="H34" s="19" t="s">
        <v>384</v>
      </c>
      <c r="I34" s="107" t="str">
        <f t="shared" si="0"/>
        <v>@Ref:0635: Emmanuel Hornsey Road</v>
      </c>
      <c r="J34" s="59" t="str">
        <f t="shared" si="1"/>
        <v>Ref:0612</v>
      </c>
      <c r="K34" s="59" t="str">
        <f t="shared" si="2"/>
        <v>Ref:0635</v>
      </c>
    </row>
    <row r="35" spans="1:11" ht="20.25" customHeight="1" x14ac:dyDescent="0.25">
      <c r="A35" s="65" t="s">
        <v>634</v>
      </c>
      <c r="B35" s="66" t="s">
        <v>1170</v>
      </c>
      <c r="C35" s="67"/>
      <c r="D35" s="68" t="s">
        <v>280</v>
      </c>
      <c r="E35" s="69"/>
      <c r="F35" s="104"/>
      <c r="G35" s="19" t="s">
        <v>646</v>
      </c>
      <c r="H35" s="19" t="s">
        <v>363</v>
      </c>
      <c r="I35" s="107"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104"/>
      <c r="G36" s="19" t="s">
        <v>649</v>
      </c>
      <c r="H36" s="19" t="s">
        <v>365</v>
      </c>
      <c r="I36" s="107" t="str">
        <f t="shared" si="0"/>
        <v>@Ref:0620: Nags Head Church Community</v>
      </c>
      <c r="J36" s="59" t="str">
        <f t="shared" si="1"/>
        <v>Ref:0616</v>
      </c>
      <c r="K36" s="59" t="str">
        <f t="shared" si="2"/>
        <v>@Ref:0620: Nags Head Church Community</v>
      </c>
    </row>
    <row r="37" spans="1:11" ht="20.25" customHeight="1" x14ac:dyDescent="0.25">
      <c r="A37" s="65" t="s">
        <v>640</v>
      </c>
      <c r="B37" s="66" t="s">
        <v>1171</v>
      </c>
      <c r="C37" s="67" t="s">
        <v>1143</v>
      </c>
      <c r="D37" s="68" t="s">
        <v>248</v>
      </c>
      <c r="E37" s="69" t="s">
        <v>1172</v>
      </c>
      <c r="F37" s="104"/>
      <c r="G37" s="19" t="s">
        <v>668</v>
      </c>
      <c r="H37" s="19" t="s">
        <v>378</v>
      </c>
      <c r="I37" s="107" t="str">
        <f t="shared" si="0"/>
        <v>@Ref:0630: Our Most Holy Redeemer Clerkenwell</v>
      </c>
      <c r="J37" s="59" t="str">
        <f t="shared" si="1"/>
        <v>Ref:0617</v>
      </c>
      <c r="K37" s="59" t="str">
        <f t="shared" si="2"/>
        <v>Ref:0630</v>
      </c>
    </row>
    <row r="38" spans="1:11" ht="20.25" customHeight="1" x14ac:dyDescent="0.25">
      <c r="A38" s="65" t="s">
        <v>643</v>
      </c>
      <c r="B38" s="66" t="s">
        <v>361</v>
      </c>
      <c r="C38" s="67" t="s">
        <v>1143</v>
      </c>
      <c r="D38" s="68" t="s">
        <v>244</v>
      </c>
      <c r="E38" s="69"/>
      <c r="F38" s="104"/>
      <c r="G38" s="19" t="s">
        <v>615</v>
      </c>
      <c r="H38" s="19" t="s">
        <v>614</v>
      </c>
      <c r="I38" s="107"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1143</v>
      </c>
      <c r="D39" s="68" t="s">
        <v>243</v>
      </c>
      <c r="E39" s="69">
        <v>2</v>
      </c>
      <c r="F39" s="104"/>
      <c r="G39" s="19" t="s">
        <v>608</v>
      </c>
      <c r="H39" s="19" t="s">
        <v>341</v>
      </c>
      <c r="I39" s="107" t="str">
        <f t="shared" si="0"/>
        <v>@Ref:0604: St Andrew Whitehall Park</v>
      </c>
      <c r="J39" s="59" t="str">
        <f t="shared" si="1"/>
        <v>Ref:0619</v>
      </c>
      <c r="K39" s="59" t="str">
        <f t="shared" si="2"/>
        <v>Ref:0604</v>
      </c>
    </row>
    <row r="40" spans="1:11" ht="20.25" customHeight="1" x14ac:dyDescent="0.25">
      <c r="A40" s="65" t="s">
        <v>652</v>
      </c>
      <c r="B40" s="66" t="s">
        <v>1173</v>
      </c>
      <c r="C40" s="67" t="s">
        <v>1143</v>
      </c>
      <c r="D40" s="68" t="s">
        <v>277</v>
      </c>
      <c r="E40" s="69"/>
      <c r="F40" s="104"/>
      <c r="G40" s="19" t="s">
        <v>719</v>
      </c>
      <c r="H40" s="19" t="s">
        <v>718</v>
      </c>
      <c r="I40" s="107" t="str">
        <f t="shared" si="0"/>
        <v>@Ref:Barnsbury: St Andrew's</v>
      </c>
      <c r="J40" s="59" t="str">
        <f t="shared" si="1"/>
        <v>Ref:0622</v>
      </c>
      <c r="K40" s="59" t="str">
        <f t="shared" si="2"/>
        <v>@Ref:Barnsbury: St Andrew's</v>
      </c>
    </row>
    <row r="41" spans="1:11" ht="20.25" customHeight="1" x14ac:dyDescent="0.25">
      <c r="A41" s="65" t="s">
        <v>653</v>
      </c>
      <c r="B41" s="66" t="s">
        <v>1174</v>
      </c>
      <c r="C41" s="67" t="s">
        <v>1143</v>
      </c>
      <c r="D41" s="68"/>
      <c r="E41" s="69">
        <v>3</v>
      </c>
      <c r="F41" s="104"/>
      <c r="G41" s="19" t="s">
        <v>622</v>
      </c>
      <c r="H41" s="19" t="s">
        <v>348</v>
      </c>
      <c r="I41" s="107" t="str">
        <f t="shared" si="0"/>
        <v>@Ref:0606: St Augustine Highbury New Park</v>
      </c>
      <c r="J41" s="59" t="str">
        <f t="shared" si="1"/>
        <v>Ref:0624</v>
      </c>
      <c r="K41" s="59" t="str">
        <f t="shared" si="2"/>
        <v>Ref:0606</v>
      </c>
    </row>
    <row r="42" spans="1:11" ht="20.25" customHeight="1" x14ac:dyDescent="0.25">
      <c r="A42" s="65" t="s">
        <v>656</v>
      </c>
      <c r="B42" s="66" t="s">
        <v>370</v>
      </c>
      <c r="C42" s="67" t="s">
        <v>1144</v>
      </c>
      <c r="D42" s="68" t="s">
        <v>247</v>
      </c>
      <c r="E42" s="72" t="s">
        <v>1161</v>
      </c>
      <c r="F42" s="106"/>
      <c r="G42" s="19" t="s">
        <v>674</v>
      </c>
      <c r="H42" s="19" t="s">
        <v>382</v>
      </c>
      <c r="I42" s="107" t="str">
        <f t="shared" si="0"/>
        <v>@Ref:0633: St Clement King Square</v>
      </c>
      <c r="J42" s="59" t="str">
        <f t="shared" si="1"/>
        <v>Ref:0625</v>
      </c>
      <c r="K42" s="59" t="str">
        <f t="shared" si="2"/>
        <v>Ref:0633</v>
      </c>
    </row>
    <row r="43" spans="1:11" ht="20.25" customHeight="1" x14ac:dyDescent="0.25">
      <c r="A43" s="65" t="s">
        <v>659</v>
      </c>
      <c r="B43" s="66" t="s">
        <v>1175</v>
      </c>
      <c r="C43" s="67"/>
      <c r="D43" s="68" t="s">
        <v>235</v>
      </c>
      <c r="E43" s="69"/>
      <c r="F43" s="104"/>
      <c r="G43" s="19" t="s">
        <v>628</v>
      </c>
      <c r="H43" s="19" t="s">
        <v>463</v>
      </c>
      <c r="I43" s="107"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104"/>
      <c r="G44" s="19" t="s">
        <v>665</v>
      </c>
      <c r="H44" s="19" t="s">
        <v>376</v>
      </c>
      <c r="I44" s="107" t="str">
        <f t="shared" si="0"/>
        <v>@Ref:0629: St James Clerkenwell</v>
      </c>
      <c r="J44" s="59" t="str">
        <f t="shared" si="1"/>
        <v>Ref:0628</v>
      </c>
      <c r="K44" s="59" t="str">
        <f t="shared" si="2"/>
        <v>Ref:0629</v>
      </c>
    </row>
    <row r="45" spans="1:11" ht="20.25" customHeight="1" x14ac:dyDescent="0.25">
      <c r="A45" s="65" t="s">
        <v>665</v>
      </c>
      <c r="B45" s="66" t="s">
        <v>376</v>
      </c>
      <c r="C45" s="67" t="s">
        <v>1143</v>
      </c>
      <c r="D45" s="68" t="s">
        <v>236</v>
      </c>
      <c r="E45" s="69"/>
      <c r="F45" s="104"/>
      <c r="G45" s="19" t="s">
        <v>631</v>
      </c>
      <c r="H45" s="19" t="s">
        <v>353</v>
      </c>
      <c r="I45" s="107" t="str">
        <f t="shared" si="0"/>
        <v>@Ref:0612: St James Islington</v>
      </c>
      <c r="J45" s="59" t="str">
        <f t="shared" si="1"/>
        <v>Ref:0629</v>
      </c>
      <c r="K45" s="59" t="str">
        <f t="shared" si="2"/>
        <v>Ref:0612</v>
      </c>
    </row>
    <row r="46" spans="1:11" ht="20.25" customHeight="1" x14ac:dyDescent="0.25">
      <c r="A46" s="65" t="s">
        <v>668</v>
      </c>
      <c r="B46" s="66" t="s">
        <v>1176</v>
      </c>
      <c r="C46" s="67" t="s">
        <v>1144</v>
      </c>
      <c r="D46" s="68" t="s">
        <v>459</v>
      </c>
      <c r="E46" s="69">
        <v>3</v>
      </c>
      <c r="F46" s="104"/>
      <c r="G46" s="19" t="s">
        <v>652</v>
      </c>
      <c r="H46" s="19" t="s">
        <v>64</v>
      </c>
      <c r="I46" s="107" t="str">
        <f t="shared" si="0"/>
        <v>@Ref:0622: St John the Evangelist, Upper Holloway</v>
      </c>
      <c r="J46" s="59" t="str">
        <f t="shared" si="1"/>
        <v>Ref:0630</v>
      </c>
      <c r="K46" s="59" t="str">
        <f t="shared" si="2"/>
        <v>Ref:0622</v>
      </c>
    </row>
    <row r="47" spans="1:11" ht="20.25" customHeight="1" x14ac:dyDescent="0.25">
      <c r="A47" s="65" t="s">
        <v>671</v>
      </c>
      <c r="B47" s="66" t="s">
        <v>1177</v>
      </c>
      <c r="C47" s="67" t="s">
        <v>1144</v>
      </c>
      <c r="D47" s="68" t="s">
        <v>237</v>
      </c>
      <c r="E47" s="69">
        <v>3</v>
      </c>
      <c r="F47" s="104"/>
      <c r="G47" s="19" t="s">
        <v>634</v>
      </c>
      <c r="H47" s="19" t="s">
        <v>355</v>
      </c>
      <c r="I47" s="107" t="str">
        <f t="shared" si="0"/>
        <v>@Ref:0615: St Jude and St Paul Mildmay Grove</v>
      </c>
      <c r="J47" s="59" t="str">
        <f t="shared" si="1"/>
        <v>Ref:0632</v>
      </c>
      <c r="K47" s="59" t="str">
        <f t="shared" si="2"/>
        <v>Ref:0615</v>
      </c>
    </row>
    <row r="48" spans="1:11" ht="20.25" customHeight="1" x14ac:dyDescent="0.25">
      <c r="A48" s="65" t="s">
        <v>674</v>
      </c>
      <c r="B48" s="66" t="s">
        <v>382</v>
      </c>
      <c r="C48" s="67" t="s">
        <v>1144</v>
      </c>
      <c r="D48" s="68" t="s">
        <v>238</v>
      </c>
      <c r="E48" s="69">
        <v>3</v>
      </c>
      <c r="F48" s="104"/>
      <c r="G48" s="19" t="s">
        <v>637</v>
      </c>
      <c r="H48" s="19" t="s">
        <v>357</v>
      </c>
      <c r="I48" s="107" t="str">
        <f t="shared" si="0"/>
        <v>@Ref:0616: St Luke West Holloway</v>
      </c>
      <c r="J48" s="59" t="str">
        <f t="shared" si="1"/>
        <v>Ref:0633</v>
      </c>
      <c r="K48" s="59" t="str">
        <f t="shared" si="2"/>
        <v>Ref:0616</v>
      </c>
    </row>
    <row r="49" spans="1:11" ht="20.25" customHeight="1" x14ac:dyDescent="0.25">
      <c r="A49" s="65" t="s">
        <v>1189</v>
      </c>
      <c r="B49" s="66" t="s">
        <v>1178</v>
      </c>
      <c r="C49" s="67"/>
      <c r="D49" s="68" t="s">
        <v>1164</v>
      </c>
      <c r="E49" s="69"/>
      <c r="F49" s="104"/>
      <c r="G49" s="19" t="s">
        <v>671</v>
      </c>
      <c r="H49" s="19" t="s">
        <v>380</v>
      </c>
      <c r="I49" s="107" t="str">
        <f t="shared" si="0"/>
        <v>@Ref:0632: St Mark Clerkenwell</v>
      </c>
      <c r="J49" s="59" t="e">
        <f t="shared" si="1"/>
        <v>#N/A</v>
      </c>
      <c r="K49" s="59" t="str">
        <f t="shared" si="2"/>
        <v>Ref:0632</v>
      </c>
    </row>
    <row r="50" spans="1:11" ht="20.25" customHeight="1" x14ac:dyDescent="0.25">
      <c r="A50" s="65" t="s">
        <v>675</v>
      </c>
      <c r="B50" s="66" t="s">
        <v>384</v>
      </c>
      <c r="C50" s="67"/>
      <c r="D50" s="68" t="s">
        <v>1179</v>
      </c>
      <c r="E50" s="72" t="s">
        <v>1180</v>
      </c>
      <c r="F50" s="106"/>
      <c r="G50" s="19" t="s">
        <v>640</v>
      </c>
      <c r="H50" s="19" t="s">
        <v>359</v>
      </c>
      <c r="I50" s="107"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104"/>
      <c r="G51" s="19" t="s">
        <v>643</v>
      </c>
      <c r="H51" s="19" t="s">
        <v>361</v>
      </c>
      <c r="I51" s="107" t="str">
        <f t="shared" si="0"/>
        <v>@Ref:0618: St Mary Hornsey Rise</v>
      </c>
      <c r="J51" s="59" t="str">
        <f t="shared" si="1"/>
        <v>Ref:0682</v>
      </c>
      <c r="K51" s="59" t="str">
        <f t="shared" si="2"/>
        <v>Ref:0618</v>
      </c>
    </row>
    <row r="52" spans="1:11" ht="20.25" customHeight="1" x14ac:dyDescent="0.25">
      <c r="A52" s="65" t="s">
        <v>1190</v>
      </c>
      <c r="B52" s="66" t="s">
        <v>1181</v>
      </c>
      <c r="C52" s="67"/>
      <c r="D52" s="68"/>
      <c r="E52" s="69"/>
      <c r="F52" s="104"/>
      <c r="G52" s="19" t="s">
        <v>607</v>
      </c>
      <c r="H52" s="19" t="s">
        <v>339</v>
      </c>
      <c r="I52" s="107" t="str">
        <f t="shared" si="0"/>
        <v>@Ref:0601: St Mary Islington</v>
      </c>
      <c r="J52" s="59" t="e">
        <f t="shared" si="1"/>
        <v>#N/A</v>
      </c>
      <c r="K52" s="59" t="str">
        <f t="shared" si="2"/>
        <v>Ref:0601</v>
      </c>
    </row>
    <row r="53" spans="1:11" ht="20.25" customHeight="1" x14ac:dyDescent="0.25">
      <c r="A53" s="65" t="s">
        <v>734</v>
      </c>
      <c r="B53" s="66" t="s">
        <v>405</v>
      </c>
      <c r="C53" s="67" t="s">
        <v>1144</v>
      </c>
      <c r="D53" s="68" t="s">
        <v>269</v>
      </c>
      <c r="E53" s="69">
        <v>3</v>
      </c>
      <c r="F53" s="104"/>
      <c r="G53" s="19" t="s">
        <v>708</v>
      </c>
      <c r="H53" s="19" t="s">
        <v>393</v>
      </c>
      <c r="I53" s="107"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1144</v>
      </c>
      <c r="D54" s="68" t="s">
        <v>268</v>
      </c>
      <c r="E54" s="72">
        <v>4</v>
      </c>
      <c r="F54" s="106"/>
      <c r="G54" s="19" t="s">
        <v>653</v>
      </c>
      <c r="H54" s="19" t="s">
        <v>368</v>
      </c>
      <c r="I54" s="107" t="str">
        <f t="shared" si="0"/>
        <v>@Ref:0624: St Saviour, Hanley Road</v>
      </c>
      <c r="J54" s="59" t="str">
        <f t="shared" si="1"/>
        <v>Ref:0702</v>
      </c>
      <c r="K54" s="59" t="str">
        <f t="shared" si="2"/>
        <v>Ref:0624</v>
      </c>
    </row>
    <row r="55" spans="1:11" ht="20.25" customHeight="1" x14ac:dyDescent="0.25">
      <c r="A55" s="65" t="s">
        <v>741</v>
      </c>
      <c r="B55" s="66" t="s">
        <v>409</v>
      </c>
      <c r="C55" s="67" t="s">
        <v>1151</v>
      </c>
      <c r="D55" s="68" t="s">
        <v>251</v>
      </c>
      <c r="E55" s="72" t="s">
        <v>1161</v>
      </c>
      <c r="F55" s="106"/>
      <c r="G55" s="19" t="s">
        <v>656</v>
      </c>
      <c r="H55" s="19" t="s">
        <v>370</v>
      </c>
      <c r="I55" s="107" t="str">
        <f t="shared" si="0"/>
        <v>@Ref:0625: St Silas Pentonville</v>
      </c>
      <c r="J55" s="59" t="str">
        <f t="shared" si="1"/>
        <v>Ref:0705</v>
      </c>
      <c r="K55" s="59" t="str">
        <f t="shared" si="2"/>
        <v>Ref:0625</v>
      </c>
    </row>
    <row r="56" spans="1:11" ht="20.25" customHeight="1" x14ac:dyDescent="0.25">
      <c r="A56" s="65" t="s">
        <v>744</v>
      </c>
      <c r="B56" s="66" t="s">
        <v>47</v>
      </c>
      <c r="C56" s="67" t="s">
        <v>1144</v>
      </c>
      <c r="D56" s="68" t="s">
        <v>279</v>
      </c>
      <c r="E56" s="69"/>
      <c r="F56" s="104"/>
      <c r="G56" s="19" t="s">
        <v>659</v>
      </c>
      <c r="H56" s="19" t="s">
        <v>372</v>
      </c>
      <c r="I56" s="107" t="str">
        <f t="shared" si="0"/>
        <v>@Ref:0626: St Stephen Canonbury</v>
      </c>
      <c r="J56" s="59" t="str">
        <f t="shared" si="1"/>
        <v>Ref:0706</v>
      </c>
      <c r="K56" s="59" t="str">
        <f t="shared" si="2"/>
        <v>Ref:0626</v>
      </c>
    </row>
    <row r="57" spans="1:11" ht="20.25" customHeight="1" x14ac:dyDescent="0.25">
      <c r="A57" s="65" t="s">
        <v>747</v>
      </c>
      <c r="B57" s="66" t="s">
        <v>412</v>
      </c>
      <c r="C57" s="67" t="s">
        <v>1143</v>
      </c>
      <c r="D57" s="68" t="s">
        <v>252</v>
      </c>
      <c r="E57" s="72">
        <v>4</v>
      </c>
      <c r="F57" s="106"/>
      <c r="G57" s="19" t="s">
        <v>662</v>
      </c>
      <c r="H57" s="19" t="s">
        <v>374</v>
      </c>
      <c r="I57" s="107" t="str">
        <f t="shared" si="0"/>
        <v>@Ref:0628: St Thomas Finsbury Park</v>
      </c>
      <c r="J57" s="59" t="str">
        <f t="shared" si="1"/>
        <v>Ref:0707</v>
      </c>
      <c r="K57" s="59" t="str">
        <f t="shared" si="2"/>
        <v>Ref:0628</v>
      </c>
    </row>
    <row r="58" spans="1:11" ht="20.25" customHeight="1" x14ac:dyDescent="0.25">
      <c r="A58" s="65" t="s">
        <v>750</v>
      </c>
      <c r="B58" s="66" t="s">
        <v>414</v>
      </c>
      <c r="C58" s="67" t="s">
        <v>1144</v>
      </c>
      <c r="D58" s="68" t="s">
        <v>260</v>
      </c>
      <c r="E58" s="69">
        <v>3</v>
      </c>
      <c r="F58" s="104"/>
      <c r="G58" s="19" t="s">
        <v>611</v>
      </c>
      <c r="H58" s="19" t="s">
        <v>343</v>
      </c>
      <c r="I58" s="107" t="str">
        <f t="shared" si="0"/>
        <v>@Ref:0605: The Barnsbury Team</v>
      </c>
      <c r="J58" s="59" t="str">
        <f t="shared" si="1"/>
        <v>Ref:0708</v>
      </c>
      <c r="K58" s="59" t="str">
        <f t="shared" si="2"/>
        <v>Ref:0605</v>
      </c>
    </row>
    <row r="59" spans="1:11" ht="20.25" customHeight="1" x14ac:dyDescent="0.25">
      <c r="A59" s="65" t="s">
        <v>762</v>
      </c>
      <c r="B59" s="66" t="s">
        <v>420</v>
      </c>
      <c r="C59" s="67" t="s">
        <v>1144</v>
      </c>
      <c r="D59" s="68" t="s">
        <v>255</v>
      </c>
      <c r="E59" s="69">
        <v>3</v>
      </c>
      <c r="F59" s="104"/>
      <c r="G59" s="19" t="s">
        <v>683</v>
      </c>
      <c r="H59" s="19" t="s">
        <v>391</v>
      </c>
      <c r="I59" s="107" t="str">
        <f t="shared" si="0"/>
        <v>@Ref:0684: The Charterhouse</v>
      </c>
      <c r="J59" s="59" t="str">
        <f t="shared" si="1"/>
        <v>Ref:0709A</v>
      </c>
      <c r="K59" s="59" t="str">
        <f t="shared" si="2"/>
        <v>@Ref:0684: The Charterhouse</v>
      </c>
    </row>
    <row r="60" spans="1:11" ht="20.25" customHeight="1" x14ac:dyDescent="0.25">
      <c r="A60" s="65" t="s">
        <v>765</v>
      </c>
      <c r="B60" s="66" t="s">
        <v>1182</v>
      </c>
      <c r="C60" s="67" t="s">
        <v>1143</v>
      </c>
      <c r="D60" s="68" t="s">
        <v>256</v>
      </c>
      <c r="E60" s="69">
        <v>3</v>
      </c>
      <c r="F60" s="104"/>
      <c r="G60" s="19" t="s">
        <v>615</v>
      </c>
      <c r="H60" s="19" t="s">
        <v>51</v>
      </c>
      <c r="I60" s="107"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1183</v>
      </c>
      <c r="C61" s="67" t="s">
        <v>1143</v>
      </c>
      <c r="D61" s="68" t="s">
        <v>1030</v>
      </c>
      <c r="E61" s="69">
        <v>2</v>
      </c>
      <c r="F61" s="104"/>
      <c r="G61" s="19" t="s">
        <v>680</v>
      </c>
      <c r="H61" s="19" t="s">
        <v>389</v>
      </c>
      <c r="I61" s="107" t="str">
        <f t="shared" si="0"/>
        <v>@Ref:0683: The Priory Church of St John</v>
      </c>
      <c r="J61" s="59" t="str">
        <f t="shared" si="1"/>
        <v>Ref:0710</v>
      </c>
      <c r="K61" s="59" t="str">
        <f t="shared" si="2"/>
        <v>@Ref:0683: The Priory Church of St John</v>
      </c>
    </row>
    <row r="62" spans="1:11" ht="20.25" customHeight="1" x14ac:dyDescent="0.25">
      <c r="A62" s="65" t="s">
        <v>769</v>
      </c>
      <c r="B62" s="66" t="s">
        <v>1184</v>
      </c>
      <c r="C62" s="67" t="s">
        <v>1143</v>
      </c>
      <c r="D62" s="68" t="s">
        <v>278</v>
      </c>
      <c r="E62" s="69">
        <v>3</v>
      </c>
      <c r="F62" s="104"/>
      <c r="G62" s="19" t="s">
        <v>679</v>
      </c>
      <c r="H62" s="19" t="s">
        <v>55</v>
      </c>
      <c r="I62" s="107" t="str">
        <f t="shared" si="0"/>
        <v>@Ref:0682: Trinity Church Islington</v>
      </c>
      <c r="J62" s="59" t="str">
        <f t="shared" si="1"/>
        <v>Ref:0711</v>
      </c>
      <c r="K62" s="59" t="str">
        <f t="shared" si="2"/>
        <v>Ref:0682</v>
      </c>
    </row>
    <row r="63" spans="1:11" ht="20.25" customHeight="1" x14ac:dyDescent="0.25">
      <c r="A63" s="65" t="s">
        <v>772</v>
      </c>
      <c r="B63" s="66" t="s">
        <v>1185</v>
      </c>
      <c r="C63" s="67" t="s">
        <v>1151</v>
      </c>
      <c r="D63" s="68" t="s">
        <v>259</v>
      </c>
      <c r="E63" s="69">
        <v>2</v>
      </c>
      <c r="F63" s="104"/>
      <c r="G63" s="19" t="s">
        <v>766</v>
      </c>
      <c r="H63" s="19" t="s">
        <v>424</v>
      </c>
      <c r="I63" s="107" t="str">
        <f t="shared" si="0"/>
        <v>@Ref:0710: All Hallows Bromley by Bow</v>
      </c>
      <c r="J63" s="59" t="str">
        <f t="shared" si="1"/>
        <v>Ref:0713</v>
      </c>
      <c r="K63" s="59" t="str">
        <f t="shared" si="2"/>
        <v>Ref:0710</v>
      </c>
    </row>
    <row r="64" spans="1:11" ht="20.25" customHeight="1" x14ac:dyDescent="0.25">
      <c r="A64" s="65" t="s">
        <v>775</v>
      </c>
      <c r="B64" s="66" t="s">
        <v>1186</v>
      </c>
      <c r="C64" s="67" t="s">
        <v>1143</v>
      </c>
      <c r="D64" s="68" t="s">
        <v>257</v>
      </c>
      <c r="E64" s="69">
        <v>2</v>
      </c>
      <c r="F64" s="104"/>
      <c r="G64" s="19" t="s">
        <v>754</v>
      </c>
      <c r="H64" s="19" t="s">
        <v>753</v>
      </c>
      <c r="I64" s="107"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1187</v>
      </c>
      <c r="C65" s="67" t="s">
        <v>1151</v>
      </c>
      <c r="D65" s="68" t="s">
        <v>1059</v>
      </c>
      <c r="E65" s="69">
        <v>2</v>
      </c>
      <c r="F65" s="104"/>
      <c r="G65" s="19" t="s">
        <v>758</v>
      </c>
      <c r="H65" s="19" t="s">
        <v>418</v>
      </c>
      <c r="I65" s="107"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1144</v>
      </c>
      <c r="D66" s="68" t="s">
        <v>264</v>
      </c>
      <c r="E66" s="69">
        <v>4</v>
      </c>
      <c r="F66" s="104"/>
      <c r="G66" s="19" t="s">
        <v>762</v>
      </c>
      <c r="H66" s="19" t="s">
        <v>420</v>
      </c>
      <c r="I66" s="107" t="str">
        <f t="shared" si="0"/>
        <v>@Ref:0709A: Christ Church Isle of Dogs</v>
      </c>
      <c r="J66" s="59" t="str">
        <f t="shared" si="1"/>
        <v>Ref:0716</v>
      </c>
      <c r="K66" s="59" t="str">
        <f t="shared" si="2"/>
        <v>Ref:0709A</v>
      </c>
    </row>
    <row r="67" spans="1:11" ht="20.25" customHeight="1" x14ac:dyDescent="0.25">
      <c r="A67" s="65" t="s">
        <v>785</v>
      </c>
      <c r="B67" s="66" t="s">
        <v>436</v>
      </c>
      <c r="C67" s="67" t="s">
        <v>1144</v>
      </c>
      <c r="D67" s="68" t="s">
        <v>258</v>
      </c>
      <c r="E67" s="69">
        <v>4</v>
      </c>
      <c r="F67" s="104"/>
      <c r="G67" s="19" t="s">
        <v>797</v>
      </c>
      <c r="H67" s="19" t="s">
        <v>443</v>
      </c>
      <c r="I67" s="107"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1143</v>
      </c>
      <c r="D68" s="68" t="s">
        <v>262</v>
      </c>
      <c r="E68" s="69">
        <v>1</v>
      </c>
      <c r="F68" s="104"/>
      <c r="G68" s="19" t="s">
        <v>807</v>
      </c>
      <c r="H68" s="19" t="s">
        <v>447</v>
      </c>
      <c r="I68" s="107" t="str">
        <f t="shared" si="3"/>
        <v>@Ref:0778: HMS President</v>
      </c>
      <c r="J68" s="59" t="str">
        <f t="shared" si="4"/>
        <v>Ref:0718</v>
      </c>
      <c r="K68" s="59" t="str">
        <f t="shared" si="5"/>
        <v>@Ref:0778: HMS President</v>
      </c>
    </row>
    <row r="69" spans="1:11" ht="20.25" customHeight="1" x14ac:dyDescent="0.25">
      <c r="A69" s="65" t="s">
        <v>791</v>
      </c>
      <c r="B69" s="66" t="s">
        <v>1188</v>
      </c>
      <c r="C69" s="67" t="s">
        <v>1144</v>
      </c>
      <c r="D69" s="68" t="s">
        <v>266</v>
      </c>
      <c r="E69" s="69">
        <v>3.5</v>
      </c>
      <c r="F69" s="104"/>
      <c r="G69" s="19" t="s">
        <v>854</v>
      </c>
      <c r="H69" s="19" t="s">
        <v>853</v>
      </c>
      <c r="I69" s="107"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1144</v>
      </c>
      <c r="D70" s="68" t="s">
        <v>253</v>
      </c>
      <c r="E70" s="72" t="s">
        <v>1161</v>
      </c>
      <c r="F70" s="106"/>
      <c r="G70" s="19" t="s">
        <v>750</v>
      </c>
      <c r="H70" s="19" t="s">
        <v>414</v>
      </c>
      <c r="I70" s="107" t="str">
        <f t="shared" si="3"/>
        <v>@Ref:0708: Poplar Team Ministry</v>
      </c>
      <c r="J70" s="59" t="str">
        <f t="shared" si="4"/>
        <v>Ref:0721</v>
      </c>
      <c r="K70" s="59" t="str">
        <f t="shared" si="5"/>
        <v>Ref:0708</v>
      </c>
    </row>
    <row r="71" spans="1:11" ht="20.25" customHeight="1" x14ac:dyDescent="0.25">
      <c r="A71" s="65" t="s">
        <v>797</v>
      </c>
      <c r="B71" s="66" t="s">
        <v>443</v>
      </c>
      <c r="C71" s="67" t="s">
        <v>1143</v>
      </c>
      <c r="D71" s="68" t="s">
        <v>263</v>
      </c>
      <c r="E71" s="69">
        <v>1</v>
      </c>
      <c r="F71" s="104"/>
      <c r="G71" s="19" t="s">
        <v>775</v>
      </c>
      <c r="H71" s="19" t="s">
        <v>429</v>
      </c>
      <c r="I71" s="107" t="str">
        <f t="shared" si="3"/>
        <v>@Ref:0714: St Anne w St Peter Limehouse</v>
      </c>
      <c r="J71" s="59" t="str">
        <f t="shared" si="4"/>
        <v>Ref:0724</v>
      </c>
      <c r="K71" s="59" t="str">
        <f t="shared" si="5"/>
        <v>Ref:0714</v>
      </c>
    </row>
    <row r="72" spans="1:11" ht="20.25" customHeight="1" x14ac:dyDescent="0.25">
      <c r="A72" s="65" t="s">
        <v>800</v>
      </c>
      <c r="B72" s="66" t="s">
        <v>465</v>
      </c>
      <c r="C72" s="67" t="s">
        <v>1143</v>
      </c>
      <c r="D72" s="68" t="s">
        <v>1164</v>
      </c>
      <c r="E72" s="69"/>
      <c r="F72" s="104"/>
      <c r="G72" s="19" t="s">
        <v>778</v>
      </c>
      <c r="H72" s="19" t="s">
        <v>40</v>
      </c>
      <c r="I72" s="107" t="str">
        <f t="shared" si="3"/>
        <v>@Ref:0714A: St Anne, Limehouse</v>
      </c>
      <c r="J72" s="59" t="str">
        <f t="shared" si="4"/>
        <v>Ref:0776</v>
      </c>
      <c r="K72" s="59" t="str">
        <f t="shared" si="5"/>
        <v>@Ref:0714A: St Anne, Limehouse</v>
      </c>
    </row>
    <row r="73" spans="1:11" ht="20.25" customHeight="1" x14ac:dyDescent="0.25">
      <c r="G73" s="19" t="s">
        <v>738</v>
      </c>
      <c r="H73" s="19" t="s">
        <v>407</v>
      </c>
      <c r="I73" s="107" t="str">
        <f t="shared" si="3"/>
        <v>@Ref:0702: St Barnabas Bethnal Green</v>
      </c>
    </row>
    <row r="74" spans="1:11" ht="20.25" customHeight="1" x14ac:dyDescent="0.25">
      <c r="G74" s="19" t="s">
        <v>791</v>
      </c>
      <c r="H74" s="19" t="s">
        <v>464</v>
      </c>
      <c r="I74" s="107" t="str">
        <f t="shared" si="3"/>
        <v>@Ref:0719: St Dunstan &amp; All Saints Stepney</v>
      </c>
    </row>
    <row r="75" spans="1:11" ht="20.25" customHeight="1" x14ac:dyDescent="0.25">
      <c r="G75" s="19" t="s">
        <v>781</v>
      </c>
      <c r="H75" s="19" t="s">
        <v>432</v>
      </c>
      <c r="I75" s="107" t="str">
        <f t="shared" si="3"/>
        <v>@Ref:0715: St George-in-the-East</v>
      </c>
    </row>
    <row r="76" spans="1:11" ht="20.25" customHeight="1" x14ac:dyDescent="0.25">
      <c r="G76" s="19" t="s">
        <v>741</v>
      </c>
      <c r="H76" s="19" t="s">
        <v>409</v>
      </c>
      <c r="I76" s="107" t="str">
        <f t="shared" si="3"/>
        <v>@Ref:0705: St James-the-Less Bethnal Green</v>
      </c>
    </row>
    <row r="77" spans="1:11" ht="20.25" customHeight="1" x14ac:dyDescent="0.25">
      <c r="G77" s="19" t="s">
        <v>744</v>
      </c>
      <c r="H77" s="19" t="s">
        <v>48</v>
      </c>
      <c r="I77" s="107" t="str">
        <f t="shared" si="3"/>
        <v>@Ref:0706: St John on Bethnal Green</v>
      </c>
    </row>
    <row r="78" spans="1:11" ht="20.25" customHeight="1" x14ac:dyDescent="0.25">
      <c r="G78" s="19" t="s">
        <v>765</v>
      </c>
      <c r="H78" s="19" t="s">
        <v>422</v>
      </c>
      <c r="I78" s="107" t="str">
        <f t="shared" si="3"/>
        <v>@Ref:0709B: St Luke Millwall</v>
      </c>
    </row>
    <row r="79" spans="1:11" ht="20.25" customHeight="1" x14ac:dyDescent="0.25">
      <c r="G79" s="19" t="s">
        <v>862</v>
      </c>
      <c r="H79" s="19" t="s">
        <v>861</v>
      </c>
      <c r="I79" s="107" t="str">
        <f t="shared" si="3"/>
        <v>@Ref:0794: St Margaret's House</v>
      </c>
    </row>
    <row r="80" spans="1:11" ht="20.25" customHeight="1" x14ac:dyDescent="0.25">
      <c r="G80" s="19" t="s">
        <v>769</v>
      </c>
      <c r="H80" s="19" t="s">
        <v>35</v>
      </c>
      <c r="I80" s="107" t="str">
        <f t="shared" si="3"/>
        <v>@Ref:0711: St Mary and Holy Trinity, Bow</v>
      </c>
    </row>
    <row r="81" spans="7:9" ht="20.25" customHeight="1" x14ac:dyDescent="0.25">
      <c r="G81" s="19" t="s">
        <v>782</v>
      </c>
      <c r="H81" s="19" t="s">
        <v>434</v>
      </c>
      <c r="I81" s="107" t="str">
        <f t="shared" si="3"/>
        <v>@Ref:0716: St Mary Cable Street</v>
      </c>
    </row>
    <row r="82" spans="7:9" ht="20.25" customHeight="1" x14ac:dyDescent="0.25">
      <c r="G82" s="19" t="s">
        <v>734</v>
      </c>
      <c r="H82" s="19" t="s">
        <v>405</v>
      </c>
      <c r="I82" s="107" t="str">
        <f t="shared" si="3"/>
        <v>@Ref:0701: St Matthew Bethnal Green</v>
      </c>
    </row>
    <row r="83" spans="7:9" ht="20.25" customHeight="1" x14ac:dyDescent="0.25">
      <c r="G83" s="19" t="s">
        <v>754</v>
      </c>
      <c r="H83" s="19" t="s">
        <v>755</v>
      </c>
      <c r="I83" s="107" t="str">
        <f t="shared" si="3"/>
        <v>@Ref:Poplar Team Ministry: St Nicholas Aberfeldy</v>
      </c>
    </row>
    <row r="84" spans="7:9" ht="20.25" customHeight="1" x14ac:dyDescent="0.25">
      <c r="G84" s="19" t="s">
        <v>772</v>
      </c>
      <c r="H84" s="19" t="s">
        <v>427</v>
      </c>
      <c r="I84" s="107" t="str">
        <f t="shared" si="3"/>
        <v>@Ref:0713: St Paul and St Mark Old Ford</v>
      </c>
    </row>
    <row r="85" spans="7:9" ht="20.25" customHeight="1" x14ac:dyDescent="0.25">
      <c r="G85" s="19" t="s">
        <v>794</v>
      </c>
      <c r="H85" s="19" t="s">
        <v>441</v>
      </c>
      <c r="I85" s="107" t="str">
        <f t="shared" si="3"/>
        <v>@Ref:0721: St Paul Bow Common</v>
      </c>
    </row>
    <row r="86" spans="7:9" ht="20.25" customHeight="1" x14ac:dyDescent="0.25">
      <c r="G86" s="19" t="s">
        <v>788</v>
      </c>
      <c r="H86" s="19" t="s">
        <v>438</v>
      </c>
      <c r="I86" s="107" t="str">
        <f t="shared" si="3"/>
        <v>@Ref:0718: St Paul Shadwell</v>
      </c>
    </row>
    <row r="87" spans="7:9" ht="20.25" customHeight="1" x14ac:dyDescent="0.25">
      <c r="G87" s="19" t="s">
        <v>747</v>
      </c>
      <c r="H87" s="19" t="s">
        <v>412</v>
      </c>
      <c r="I87" s="107" t="str">
        <f t="shared" si="3"/>
        <v>@Ref:0707: St Peter Bethnal Green</v>
      </c>
    </row>
    <row r="88" spans="7:9" ht="20.25" customHeight="1" x14ac:dyDescent="0.25">
      <c r="G88" s="19" t="s">
        <v>785</v>
      </c>
      <c r="H88" s="19" t="s">
        <v>436</v>
      </c>
      <c r="I88" s="107" t="str">
        <f t="shared" si="3"/>
        <v>@Ref:0717: St Peter London Docks</v>
      </c>
    </row>
    <row r="89" spans="7:9" ht="20.25" customHeight="1" x14ac:dyDescent="0.25">
      <c r="G89" s="19" t="s">
        <v>800</v>
      </c>
      <c r="H89" s="19" t="s">
        <v>465</v>
      </c>
      <c r="I89" s="107" t="str">
        <f t="shared" si="3"/>
        <v>@Ref:0776: St Peter's Barge Canary Wharf</v>
      </c>
    </row>
    <row r="90" spans="7:9" ht="20.25" customHeight="1" x14ac:dyDescent="0.25">
      <c r="G90" s="74"/>
      <c r="H90" s="74"/>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READ_ME</vt:lpstr>
      <vt:lpstr>Data</vt:lpstr>
      <vt:lpstr>Configuration</vt:lpstr>
      <vt:lpstr>FullList</vt:lpstr>
      <vt:lpstr>FromAndy</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2020-07-01T10:37:59Z</dcterms:modified>
</cp:coreProperties>
</file>