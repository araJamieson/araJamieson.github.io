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amie\Dropbox\ForAndy\js\"/>
    </mc:Choice>
  </mc:AlternateContent>
  <bookViews>
    <workbookView xWindow="0" yWindow="0" windowWidth="28800" windowHeight="13020"/>
  </bookViews>
  <sheets>
    <sheet name="READ_ME" sheetId="2" r:id="rId1"/>
    <sheet name="Data" sheetId="8" r:id="rId2"/>
    <sheet name="Configuration" sheetId="5" r:id="rId3"/>
    <sheet name="FullList" sheetId="9" r:id="rId4"/>
    <sheet name="FromAndy" sheetId="10" r:id="rId5"/>
    <sheet name="OsmCoordinates" sheetId="11" r:id="rId6"/>
    <sheet name="CoordsFromClickingOnMap" sheetId="14" r:id="rId7"/>
    <sheet name="FuzzyLookup_AddIn_Undo_Sheet" sheetId="13" state="hidden" r:id="rId8"/>
  </sheets>
  <functionGroups builtInGroupCount="18"/>
  <definedNames>
    <definedName name="_xlnm._FilterDatabase" localSheetId="1" hidden="1">Data!$A$1:$AR$80</definedName>
    <definedName name="_xlnm._FilterDatabase" localSheetId="4" hidden="1">FromAndy!$A$1:$L$72</definedName>
    <definedName name="_xlnm._FilterDatabase" localSheetId="3" hidden="1">FullList!$A$1:$X$133</definedName>
    <definedName name="_xlnm._FilterDatabase" localSheetId="5" hidden="1">OsmCoordinates!$A$1:$G$1462</definedName>
    <definedName name="ChurchmanshipOptions">Configuration!$B$22:$B$25</definedName>
    <definedName name="DateLastUpdated">READ_ME!$O$1</definedName>
    <definedName name="GoogleStreetViewLinkFormat">Configuration!$B$18</definedName>
    <definedName name="LinkDetails">Configuration!$B$6:$C$14</definedName>
    <definedName name="PopupDetails">Configuration!$B$3</definedName>
  </definedNames>
  <calcPr calcId="152511"/>
</workbook>
</file>

<file path=xl/calcChain.xml><?xml version="1.0" encoding="utf-8"?>
<calcChain xmlns="http://schemas.openxmlformats.org/spreadsheetml/2006/main">
  <c r="I4" i="8" l="1"/>
  <c r="J4" i="8"/>
  <c r="I5" i="8"/>
  <c r="J5" i="8"/>
  <c r="I6" i="8"/>
  <c r="J6" i="8"/>
  <c r="I7" i="8"/>
  <c r="J7" i="8"/>
  <c r="I8" i="8"/>
  <c r="J8" i="8"/>
  <c r="I9" i="8"/>
  <c r="J9" i="8"/>
  <c r="I10" i="8"/>
  <c r="J10" i="8"/>
  <c r="I11" i="8"/>
  <c r="J11" i="8"/>
  <c r="I12" i="8"/>
  <c r="J12" i="8"/>
  <c r="I13" i="8"/>
  <c r="J13" i="8"/>
  <c r="I14" i="8"/>
  <c r="J14" i="8"/>
  <c r="I15" i="8"/>
  <c r="J15" i="8"/>
  <c r="I16" i="8"/>
  <c r="J16" i="8"/>
  <c r="I17" i="8"/>
  <c r="J17" i="8"/>
  <c r="I18" i="8"/>
  <c r="J18" i="8"/>
  <c r="I19" i="8"/>
  <c r="J19" i="8"/>
  <c r="I20" i="8"/>
  <c r="J20" i="8"/>
  <c r="I21" i="8"/>
  <c r="J21" i="8"/>
  <c r="I22" i="8"/>
  <c r="J22" i="8"/>
  <c r="I23" i="8"/>
  <c r="J23" i="8"/>
  <c r="I24" i="8"/>
  <c r="J24" i="8"/>
  <c r="I25" i="8"/>
  <c r="J25" i="8"/>
  <c r="I26" i="8"/>
  <c r="J26" i="8"/>
  <c r="I27" i="8"/>
  <c r="J27" i="8"/>
  <c r="I28" i="8"/>
  <c r="J28" i="8"/>
  <c r="I29" i="8"/>
  <c r="J29" i="8"/>
  <c r="I30" i="8"/>
  <c r="J30" i="8"/>
  <c r="I31" i="8"/>
  <c r="J31" i="8"/>
  <c r="I32" i="8"/>
  <c r="J32" i="8"/>
  <c r="I33" i="8"/>
  <c r="J33" i="8"/>
  <c r="I34" i="8"/>
  <c r="J34" i="8"/>
  <c r="I35" i="8"/>
  <c r="J35" i="8"/>
  <c r="I36" i="8"/>
  <c r="J36" i="8"/>
  <c r="I37" i="8"/>
  <c r="J37" i="8"/>
  <c r="I38" i="8"/>
  <c r="J38" i="8"/>
  <c r="I39" i="8"/>
  <c r="J39" i="8"/>
  <c r="I40" i="8"/>
  <c r="J40" i="8"/>
  <c r="I41" i="8"/>
  <c r="J41" i="8"/>
  <c r="I42" i="8"/>
  <c r="J42" i="8"/>
  <c r="I43" i="8"/>
  <c r="J43" i="8"/>
  <c r="I44" i="8"/>
  <c r="J44" i="8"/>
  <c r="I45" i="8"/>
  <c r="J45" i="8"/>
  <c r="I46" i="8"/>
  <c r="J46" i="8"/>
  <c r="I47" i="8"/>
  <c r="J47" i="8"/>
  <c r="I48" i="8"/>
  <c r="J48" i="8"/>
  <c r="I49" i="8"/>
  <c r="J49" i="8"/>
  <c r="I50" i="8"/>
  <c r="J50" i="8"/>
  <c r="I51" i="8"/>
  <c r="J51" i="8"/>
  <c r="I52" i="8"/>
  <c r="J52" i="8"/>
  <c r="I53" i="8"/>
  <c r="J53" i="8"/>
  <c r="I54" i="8"/>
  <c r="J54" i="8"/>
  <c r="I55" i="8"/>
  <c r="J55" i="8"/>
  <c r="I56" i="8"/>
  <c r="J56" i="8"/>
  <c r="I57" i="8"/>
  <c r="J57" i="8"/>
  <c r="I58" i="8"/>
  <c r="J58" i="8"/>
  <c r="I59" i="8"/>
  <c r="J59" i="8"/>
  <c r="I60" i="8"/>
  <c r="J60" i="8"/>
  <c r="I61" i="8"/>
  <c r="J61" i="8"/>
  <c r="I62" i="8"/>
  <c r="J62" i="8"/>
  <c r="I63" i="8"/>
  <c r="J63" i="8"/>
  <c r="I64" i="8"/>
  <c r="J64" i="8"/>
  <c r="I65" i="8"/>
  <c r="J65" i="8"/>
  <c r="I66" i="8"/>
  <c r="J66" i="8"/>
  <c r="I67" i="8"/>
  <c r="J67" i="8"/>
  <c r="I68" i="8"/>
  <c r="J68" i="8"/>
  <c r="I69" i="8"/>
  <c r="J69" i="8"/>
  <c r="I70" i="8"/>
  <c r="J70" i="8"/>
  <c r="I71" i="8"/>
  <c r="J71" i="8"/>
  <c r="I72" i="8"/>
  <c r="J72" i="8"/>
  <c r="I73" i="8"/>
  <c r="J73" i="8"/>
  <c r="I74" i="8"/>
  <c r="J74" i="8"/>
  <c r="I75" i="8"/>
  <c r="J75" i="8"/>
  <c r="I76" i="8"/>
  <c r="J76" i="8"/>
  <c r="I77" i="8"/>
  <c r="J77" i="8"/>
  <c r="I78" i="8"/>
  <c r="J78" i="8"/>
  <c r="I79" i="8"/>
  <c r="J79" i="8"/>
  <c r="I80" i="8"/>
  <c r="J80" i="8"/>
  <c r="I81" i="8"/>
  <c r="J81" i="8"/>
  <c r="I3" i="8"/>
  <c r="J3" i="8"/>
  <c r="J2" i="8"/>
  <c r="I2" i="8"/>
  <c r="M2" i="14" l="1"/>
  <c r="M3" i="14"/>
  <c r="M4" i="14"/>
  <c r="M5" i="14"/>
  <c r="M6" i="14"/>
  <c r="M7" i="14"/>
  <c r="M8" i="14"/>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1" i="14"/>
  <c r="AN80" i="8" l="1"/>
  <c r="H4" i="8"/>
  <c r="H61" i="8"/>
  <c r="H13" i="8"/>
  <c r="H26" i="8"/>
  <c r="H42" i="8"/>
  <c r="H30" i="8"/>
  <c r="H43" i="8"/>
  <c r="H45" i="8"/>
  <c r="H51" i="8"/>
  <c r="H15" i="8"/>
  <c r="H16" i="8"/>
  <c r="H25" i="8"/>
  <c r="H53" i="8"/>
  <c r="H74" i="8"/>
  <c r="H3" i="8"/>
  <c r="H65" i="8"/>
  <c r="H19" i="8"/>
  <c r="H75" i="8"/>
  <c r="H20" i="8"/>
  <c r="H76" i="8"/>
  <c r="H29" i="8"/>
  <c r="H70" i="8"/>
  <c r="H67" i="8"/>
  <c r="H55" i="8"/>
  <c r="H5" i="8"/>
  <c r="H31" i="8"/>
  <c r="H77" i="8"/>
  <c r="H32" i="8"/>
  <c r="H73" i="8"/>
  <c r="H40" i="8"/>
  <c r="H64" i="8"/>
  <c r="H35" i="8"/>
  <c r="H10" i="8"/>
  <c r="H36" i="8"/>
  <c r="H14" i="8"/>
  <c r="H44" i="8"/>
  <c r="H7" i="8"/>
  <c r="H68" i="8"/>
  <c r="H12" i="8"/>
  <c r="H69" i="8"/>
  <c r="H21" i="8"/>
  <c r="H49" i="8"/>
  <c r="H46" i="8"/>
  <c r="H41" i="8"/>
  <c r="H47" i="8"/>
  <c r="H54" i="8"/>
  <c r="H23" i="8"/>
  <c r="H79" i="8"/>
  <c r="H24" i="8"/>
  <c r="H80" i="8"/>
  <c r="H33" i="8"/>
  <c r="H2" i="8"/>
  <c r="H52" i="8"/>
  <c r="H50" i="8"/>
  <c r="H63" i="8"/>
  <c r="H56" i="8"/>
  <c r="H27" i="8"/>
  <c r="H62" i="8"/>
  <c r="H28" i="8"/>
  <c r="H66" i="8"/>
  <c r="H37" i="8"/>
  <c r="H34" i="8"/>
  <c r="H58" i="8"/>
  <c r="H78" i="8"/>
  <c r="H59" i="8"/>
  <c r="H9" i="8"/>
  <c r="H6" i="8"/>
  <c r="H38" i="8"/>
  <c r="H18" i="8"/>
  <c r="H39" i="8"/>
  <c r="H22" i="8"/>
  <c r="H48" i="8"/>
  <c r="H11" i="8"/>
  <c r="H71" i="8"/>
  <c r="H72" i="8"/>
  <c r="H57" i="8"/>
  <c r="H60" i="8"/>
  <c r="H8" i="8"/>
  <c r="H17" i="8"/>
  <c r="G3" i="11" l="1"/>
  <c r="G7" i="11"/>
  <c r="G11" i="11"/>
  <c r="G15" i="11"/>
  <c r="G19" i="11"/>
  <c r="G23" i="11"/>
  <c r="G27" i="11"/>
  <c r="G31" i="11"/>
  <c r="G35" i="11"/>
  <c r="G39" i="11"/>
  <c r="G43" i="11"/>
  <c r="G47" i="11"/>
  <c r="G51" i="11"/>
  <c r="G55" i="11"/>
  <c r="G59" i="11"/>
  <c r="G63" i="11"/>
  <c r="G67" i="11"/>
  <c r="G71" i="11"/>
  <c r="G75" i="11"/>
  <c r="G79" i="11"/>
  <c r="G83" i="11"/>
  <c r="G87" i="11"/>
  <c r="G91" i="11"/>
  <c r="G95" i="11"/>
  <c r="G99" i="11"/>
  <c r="G103" i="11"/>
  <c r="G107" i="11"/>
  <c r="G111" i="11"/>
  <c r="G115" i="11"/>
  <c r="G119" i="11"/>
  <c r="G123" i="11"/>
  <c r="G127" i="11"/>
  <c r="G131" i="11"/>
  <c r="G135" i="11"/>
  <c r="G139" i="11"/>
  <c r="G143" i="11"/>
  <c r="G147" i="11"/>
  <c r="G151" i="11"/>
  <c r="G155" i="11"/>
  <c r="G160" i="11"/>
  <c r="G164" i="11"/>
  <c r="G168" i="11"/>
  <c r="G172" i="11"/>
  <c r="G176" i="11"/>
  <c r="G180" i="11"/>
  <c r="G184" i="11"/>
  <c r="G188" i="11"/>
  <c r="G192" i="11"/>
  <c r="G196" i="11"/>
  <c r="G200" i="11"/>
  <c r="G204" i="11"/>
  <c r="G208" i="11"/>
  <c r="G212" i="11"/>
  <c r="G216" i="11"/>
  <c r="G220" i="11"/>
  <c r="G224" i="11"/>
  <c r="G228" i="11"/>
  <c r="G232" i="11"/>
  <c r="G236" i="11"/>
  <c r="G240" i="11"/>
  <c r="G244" i="11"/>
  <c r="G248" i="11"/>
  <c r="G252" i="11"/>
  <c r="G256" i="11"/>
  <c r="G260" i="11"/>
  <c r="G264" i="11"/>
  <c r="G268" i="11"/>
  <c r="G272" i="11"/>
  <c r="G276" i="11"/>
  <c r="G280" i="11"/>
  <c r="G284" i="11"/>
  <c r="G288" i="11"/>
  <c r="G292" i="11"/>
  <c r="G296" i="11"/>
  <c r="G300" i="11"/>
  <c r="G304" i="11"/>
  <c r="G308" i="11"/>
  <c r="G312" i="11"/>
  <c r="G316" i="11"/>
  <c r="G320" i="11"/>
  <c r="G324" i="11"/>
  <c r="G328" i="11"/>
  <c r="G332" i="11"/>
  <c r="G336" i="11"/>
  <c r="G340" i="11"/>
  <c r="G4" i="11"/>
  <c r="G5" i="11"/>
  <c r="G6" i="11"/>
  <c r="G10" i="11"/>
  <c r="G14" i="11"/>
  <c r="G18" i="11"/>
  <c r="G22" i="11"/>
  <c r="G26" i="11"/>
  <c r="G30" i="11"/>
  <c r="G34" i="11"/>
  <c r="G38" i="11"/>
  <c r="G42" i="11"/>
  <c r="G46" i="11"/>
  <c r="G50" i="11"/>
  <c r="G54" i="11"/>
  <c r="G58" i="11"/>
  <c r="G62" i="11"/>
  <c r="G66" i="11"/>
  <c r="G70" i="11"/>
  <c r="G74" i="11"/>
  <c r="G78" i="11"/>
  <c r="G82" i="11"/>
  <c r="G86" i="11"/>
  <c r="G90" i="11"/>
  <c r="G94" i="11"/>
  <c r="G98" i="11"/>
  <c r="G102" i="11"/>
  <c r="G106" i="11"/>
  <c r="G110" i="11"/>
  <c r="G114" i="11"/>
  <c r="G118" i="11"/>
  <c r="G122" i="11"/>
  <c r="G126" i="11"/>
  <c r="G130" i="11"/>
  <c r="G134" i="11"/>
  <c r="G138" i="11"/>
  <c r="G142" i="11"/>
  <c r="G146" i="11"/>
  <c r="G150" i="11"/>
  <c r="G154" i="11"/>
  <c r="G158" i="11"/>
  <c r="G163" i="11"/>
  <c r="G167" i="11"/>
  <c r="G171" i="11"/>
  <c r="G175" i="11"/>
  <c r="G179" i="11"/>
  <c r="G183" i="11"/>
  <c r="G187" i="11"/>
  <c r="G191" i="11"/>
  <c r="G195" i="11"/>
  <c r="G199" i="11"/>
  <c r="G203" i="11"/>
  <c r="G207" i="11"/>
  <c r="G211" i="11"/>
  <c r="G215" i="11"/>
  <c r="G219" i="11"/>
  <c r="G8" i="11"/>
  <c r="G16" i="11"/>
  <c r="G24" i="11"/>
  <c r="G32" i="11"/>
  <c r="G40" i="11"/>
  <c r="G48" i="11"/>
  <c r="G56" i="11"/>
  <c r="G64" i="11"/>
  <c r="G72" i="11"/>
  <c r="G80" i="11"/>
  <c r="G88" i="11"/>
  <c r="G96" i="11"/>
  <c r="G104" i="11"/>
  <c r="G112" i="11"/>
  <c r="G120" i="11"/>
  <c r="G128" i="11"/>
  <c r="G136" i="11"/>
  <c r="G144" i="11"/>
  <c r="G152" i="11"/>
  <c r="G161" i="11"/>
  <c r="G169" i="11"/>
  <c r="G177" i="11"/>
  <c r="G185" i="11"/>
  <c r="G193" i="11"/>
  <c r="G201" i="11"/>
  <c r="G209" i="11"/>
  <c r="G217" i="11"/>
  <c r="G223" i="11"/>
  <c r="G229" i="11"/>
  <c r="G234" i="11"/>
  <c r="G239" i="11"/>
  <c r="G245" i="11"/>
  <c r="G250" i="11"/>
  <c r="G255" i="11"/>
  <c r="G261" i="11"/>
  <c r="G266" i="11"/>
  <c r="G271" i="11"/>
  <c r="G277" i="11"/>
  <c r="G282" i="11"/>
  <c r="G287" i="11"/>
  <c r="G293" i="11"/>
  <c r="G298" i="11"/>
  <c r="G303" i="11"/>
  <c r="G309" i="11"/>
  <c r="G314" i="11"/>
  <c r="G319" i="11"/>
  <c r="G325" i="11"/>
  <c r="G330" i="11"/>
  <c r="G335" i="11"/>
  <c r="G341" i="11"/>
  <c r="G345" i="11"/>
  <c r="G349" i="11"/>
  <c r="G353" i="11"/>
  <c r="G357" i="11"/>
  <c r="G361" i="11"/>
  <c r="G365" i="11"/>
  <c r="G369" i="11"/>
  <c r="G373" i="11"/>
  <c r="G377" i="11"/>
  <c r="G381" i="11"/>
  <c r="G385" i="11"/>
  <c r="G389" i="11"/>
  <c r="G393" i="11"/>
  <c r="G397" i="11"/>
  <c r="G401" i="11"/>
  <c r="G405" i="11"/>
  <c r="G409" i="11"/>
  <c r="G413" i="11"/>
  <c r="G417" i="11"/>
  <c r="G422" i="11"/>
  <c r="G426" i="11"/>
  <c r="G430" i="11"/>
  <c r="G435" i="11"/>
  <c r="G439" i="11"/>
  <c r="G443" i="11"/>
  <c r="G447" i="11"/>
  <c r="G451" i="11"/>
  <c r="G455" i="11"/>
  <c r="G459" i="11"/>
  <c r="G463" i="11"/>
  <c r="G467" i="11"/>
  <c r="G471" i="11"/>
  <c r="G476" i="11"/>
  <c r="G480" i="11"/>
  <c r="G484" i="11"/>
  <c r="G488" i="11"/>
  <c r="G492" i="11"/>
  <c r="G496" i="11"/>
  <c r="G500" i="11"/>
  <c r="G504" i="11"/>
  <c r="G508" i="11"/>
  <c r="G512" i="11"/>
  <c r="G517" i="11"/>
  <c r="G521" i="11"/>
  <c r="G525" i="11"/>
  <c r="G529" i="11"/>
  <c r="G533" i="11"/>
  <c r="G537" i="11"/>
  <c r="G541" i="11"/>
  <c r="G545" i="11"/>
  <c r="G549" i="11"/>
  <c r="G555" i="11"/>
  <c r="G559" i="11"/>
  <c r="G565" i="11"/>
  <c r="G569" i="11"/>
  <c r="G573" i="11"/>
  <c r="G577" i="11"/>
  <c r="G581" i="11"/>
  <c r="G585" i="11"/>
  <c r="G589" i="11"/>
  <c r="G9" i="11"/>
  <c r="G17" i="11"/>
  <c r="G25" i="11"/>
  <c r="G33" i="11"/>
  <c r="G41" i="11"/>
  <c r="G49" i="11"/>
  <c r="G57" i="11"/>
  <c r="G65" i="11"/>
  <c r="G73" i="11"/>
  <c r="G81" i="11"/>
  <c r="G89" i="11"/>
  <c r="G97" i="11"/>
  <c r="G105" i="11"/>
  <c r="G113" i="11"/>
  <c r="G121" i="11"/>
  <c r="G129" i="11"/>
  <c r="G137" i="11"/>
  <c r="G145" i="11"/>
  <c r="G153" i="11"/>
  <c r="G162" i="11"/>
  <c r="G170" i="11"/>
  <c r="G178" i="11"/>
  <c r="G186" i="11"/>
  <c r="G194" i="11"/>
  <c r="G202" i="11"/>
  <c r="G210" i="11"/>
  <c r="G218" i="11"/>
  <c r="G225" i="11"/>
  <c r="G230" i="11"/>
  <c r="G235" i="11"/>
  <c r="G241" i="11"/>
  <c r="G246" i="11"/>
  <c r="G251" i="11"/>
  <c r="G257" i="11"/>
  <c r="G262" i="11"/>
  <c r="G267" i="11"/>
  <c r="G273" i="11"/>
  <c r="G278" i="11"/>
  <c r="G283" i="11"/>
  <c r="G289" i="11"/>
  <c r="G294" i="11"/>
  <c r="G299" i="11"/>
  <c r="G305" i="11"/>
  <c r="G310" i="11"/>
  <c r="G315" i="11"/>
  <c r="G321" i="11"/>
  <c r="G326" i="11"/>
  <c r="G331" i="11"/>
  <c r="G337" i="11"/>
  <c r="G342" i="11"/>
  <c r="G346" i="11"/>
  <c r="G350" i="11"/>
  <c r="G354" i="11"/>
  <c r="G358" i="11"/>
  <c r="G362" i="11"/>
  <c r="G366" i="11"/>
  <c r="G370" i="11"/>
  <c r="G374" i="11"/>
  <c r="G378" i="11"/>
  <c r="G382" i="11"/>
  <c r="G386" i="11"/>
  <c r="G390" i="11"/>
  <c r="G394" i="11"/>
  <c r="G398" i="11"/>
  <c r="G402" i="11"/>
  <c r="G406" i="11"/>
  <c r="G410" i="11"/>
  <c r="G414" i="11"/>
  <c r="G418" i="11"/>
  <c r="G423" i="11"/>
  <c r="G427" i="11"/>
  <c r="G431" i="11"/>
  <c r="G436" i="11"/>
  <c r="G440" i="11"/>
  <c r="G444" i="11"/>
  <c r="G448" i="11"/>
  <c r="G452" i="11"/>
  <c r="G456" i="11"/>
  <c r="G460" i="11"/>
  <c r="G464" i="11"/>
  <c r="G468" i="11"/>
  <c r="G473" i="11"/>
  <c r="G477" i="11"/>
  <c r="G481" i="11"/>
  <c r="G485" i="11"/>
  <c r="G12" i="11"/>
  <c r="G20" i="11"/>
  <c r="G28" i="11"/>
  <c r="G36" i="11"/>
  <c r="G44" i="11"/>
  <c r="G52" i="11"/>
  <c r="G60" i="11"/>
  <c r="G68" i="11"/>
  <c r="G76" i="11"/>
  <c r="G84" i="11"/>
  <c r="G92" i="11"/>
  <c r="G100" i="11"/>
  <c r="G108" i="11"/>
  <c r="G116" i="11"/>
  <c r="G124" i="11"/>
  <c r="G132" i="11"/>
  <c r="G140" i="11"/>
  <c r="G148" i="11"/>
  <c r="G156" i="11"/>
  <c r="G165" i="11"/>
  <c r="G173" i="11"/>
  <c r="G181" i="11"/>
  <c r="G189" i="11"/>
  <c r="G197" i="11"/>
  <c r="G205" i="11"/>
  <c r="G213" i="11"/>
  <c r="G221" i="11"/>
  <c r="G226" i="11"/>
  <c r="G231" i="11"/>
  <c r="G237" i="11"/>
  <c r="G242" i="11"/>
  <c r="G247" i="11"/>
  <c r="G253" i="11"/>
  <c r="G258" i="11"/>
  <c r="G263" i="11"/>
  <c r="G269" i="11"/>
  <c r="G274" i="11"/>
  <c r="G279" i="11"/>
  <c r="G285" i="11"/>
  <c r="G290" i="11"/>
  <c r="G295" i="11"/>
  <c r="G301" i="11"/>
  <c r="G306" i="11"/>
  <c r="G311" i="11"/>
  <c r="G317" i="11"/>
  <c r="G322" i="11"/>
  <c r="G327" i="11"/>
  <c r="G333" i="11"/>
  <c r="G338" i="11"/>
  <c r="G343" i="11"/>
  <c r="G347" i="11"/>
  <c r="G351" i="11"/>
  <c r="G355" i="11"/>
  <c r="G13" i="11"/>
  <c r="G45" i="11"/>
  <c r="G77" i="11"/>
  <c r="G109" i="11"/>
  <c r="G141" i="11"/>
  <c r="G174" i="11"/>
  <c r="G206" i="11"/>
  <c r="G233" i="11"/>
  <c r="G254" i="11"/>
  <c r="G275" i="11"/>
  <c r="G297" i="11"/>
  <c r="G318" i="11"/>
  <c r="G339" i="11"/>
  <c r="G356" i="11"/>
  <c r="G364" i="11"/>
  <c r="G372" i="11"/>
  <c r="G380" i="11"/>
  <c r="G388" i="11"/>
  <c r="G396" i="11"/>
  <c r="G404" i="11"/>
  <c r="G412" i="11"/>
  <c r="G420" i="11"/>
  <c r="G429" i="11"/>
  <c r="G438" i="11"/>
  <c r="G446" i="11"/>
  <c r="G454" i="11"/>
  <c r="G462" i="11"/>
  <c r="G470" i="11"/>
  <c r="G479" i="11"/>
  <c r="G487" i="11"/>
  <c r="G493" i="11"/>
  <c r="G498" i="11"/>
  <c r="G503" i="11"/>
  <c r="G509" i="11"/>
  <c r="G514" i="11"/>
  <c r="G520" i="11"/>
  <c r="G526" i="11"/>
  <c r="G531" i="11"/>
  <c r="G536" i="11"/>
  <c r="G542" i="11"/>
  <c r="G547" i="11"/>
  <c r="G552" i="11"/>
  <c r="G561" i="11"/>
  <c r="G567" i="11"/>
  <c r="G572" i="11"/>
  <c r="G578" i="11"/>
  <c r="G583" i="11"/>
  <c r="G588" i="11"/>
  <c r="G594" i="11"/>
  <c r="G598" i="11"/>
  <c r="G602" i="11"/>
  <c r="G606" i="11"/>
  <c r="G610" i="11"/>
  <c r="G614" i="11"/>
  <c r="G618" i="11"/>
  <c r="G622" i="11"/>
  <c r="G626" i="11"/>
  <c r="G630" i="11"/>
  <c r="G635" i="11"/>
  <c r="G639" i="11"/>
  <c r="G643" i="11"/>
  <c r="G647" i="11"/>
  <c r="G651" i="11"/>
  <c r="G655" i="11"/>
  <c r="G659" i="11"/>
  <c r="G663" i="11"/>
  <c r="G667" i="11"/>
  <c r="G671" i="11"/>
  <c r="G675" i="11"/>
  <c r="G679" i="11"/>
  <c r="G683" i="11"/>
  <c r="G687" i="11"/>
  <c r="G691" i="11"/>
  <c r="G695" i="11"/>
  <c r="G700" i="11"/>
  <c r="G704" i="11"/>
  <c r="G708" i="11"/>
  <c r="G712" i="11"/>
  <c r="G716" i="11"/>
  <c r="G720" i="11"/>
  <c r="G724" i="11"/>
  <c r="G728" i="11"/>
  <c r="G732" i="11"/>
  <c r="G736" i="11"/>
  <c r="G740" i="11"/>
  <c r="G744" i="11"/>
  <c r="G748" i="11"/>
  <c r="G752" i="11"/>
  <c r="G756" i="11"/>
  <c r="G760" i="11"/>
  <c r="G764" i="11"/>
  <c r="G768" i="11"/>
  <c r="G772" i="11"/>
  <c r="G776" i="11"/>
  <c r="G780" i="11"/>
  <c r="G784" i="11"/>
  <c r="G788" i="11"/>
  <c r="G792" i="11"/>
  <c r="G796" i="11"/>
  <c r="G800" i="11"/>
  <c r="G804" i="11"/>
  <c r="G808" i="11"/>
  <c r="G812" i="11"/>
  <c r="G816" i="11"/>
  <c r="G820" i="11"/>
  <c r="G824" i="11"/>
  <c r="G828" i="11"/>
  <c r="G832" i="11"/>
  <c r="G836" i="11"/>
  <c r="G840" i="11"/>
  <c r="G844" i="11"/>
  <c r="G848" i="11"/>
  <c r="G852" i="11"/>
  <c r="G856" i="11"/>
  <c r="G860" i="11"/>
  <c r="G864" i="11"/>
  <c r="G868" i="11"/>
  <c r="G872" i="11"/>
  <c r="G876" i="11"/>
  <c r="G880" i="11"/>
  <c r="G884" i="11"/>
  <c r="G888" i="11"/>
  <c r="G892" i="11"/>
  <c r="G21" i="11"/>
  <c r="G53" i="11"/>
  <c r="G85" i="11"/>
  <c r="G117" i="11"/>
  <c r="G149" i="11"/>
  <c r="G182" i="11"/>
  <c r="G214" i="11"/>
  <c r="G238" i="11"/>
  <c r="G259" i="11"/>
  <c r="G281" i="11"/>
  <c r="G302" i="11"/>
  <c r="G323" i="11"/>
  <c r="G344" i="11"/>
  <c r="G359" i="11"/>
  <c r="G367" i="11"/>
  <c r="G375" i="11"/>
  <c r="G383" i="11"/>
  <c r="G391" i="11"/>
  <c r="G399" i="11"/>
  <c r="G407" i="11"/>
  <c r="G415" i="11"/>
  <c r="G424" i="11"/>
  <c r="G433" i="11"/>
  <c r="G441" i="11"/>
  <c r="G449" i="11"/>
  <c r="G457" i="11"/>
  <c r="G465" i="11"/>
  <c r="G474" i="11"/>
  <c r="G482" i="11"/>
  <c r="G489" i="11"/>
  <c r="G494" i="11"/>
  <c r="G499" i="11"/>
  <c r="G505" i="11"/>
  <c r="G510" i="11"/>
  <c r="G516" i="11"/>
  <c r="G522" i="11"/>
  <c r="G527" i="11"/>
  <c r="G532" i="11"/>
  <c r="G538" i="11"/>
  <c r="G543" i="11"/>
  <c r="G548" i="11"/>
  <c r="G556" i="11"/>
  <c r="G563" i="11"/>
  <c r="G568" i="11"/>
  <c r="G574" i="11"/>
  <c r="G579" i="11"/>
  <c r="G584" i="11"/>
  <c r="G590" i="11"/>
  <c r="G595" i="11"/>
  <c r="G599" i="11"/>
  <c r="G603" i="11"/>
  <c r="G607" i="11"/>
  <c r="G611" i="11"/>
  <c r="G615" i="11"/>
  <c r="G619" i="11"/>
  <c r="G623" i="11"/>
  <c r="G627" i="11"/>
  <c r="G631" i="11"/>
  <c r="G636" i="11"/>
  <c r="G640" i="11"/>
  <c r="G644" i="11"/>
  <c r="G648" i="11"/>
  <c r="G652" i="11"/>
  <c r="G656" i="11"/>
  <c r="G660" i="11"/>
  <c r="G664" i="11"/>
  <c r="G668" i="11"/>
  <c r="G672" i="11"/>
  <c r="G676" i="11"/>
  <c r="G680" i="11"/>
  <c r="G684" i="11"/>
  <c r="G688" i="11"/>
  <c r="G692" i="11"/>
  <c r="G697" i="11"/>
  <c r="G701" i="11"/>
  <c r="G705" i="11"/>
  <c r="G709" i="11"/>
  <c r="G713" i="11"/>
  <c r="G717" i="11"/>
  <c r="G721" i="11"/>
  <c r="G725" i="11"/>
  <c r="G729" i="11"/>
  <c r="G733" i="11"/>
  <c r="G737" i="11"/>
  <c r="G741" i="11"/>
  <c r="G745" i="11"/>
  <c r="G749" i="11"/>
  <c r="G753" i="11"/>
  <c r="G757" i="11"/>
  <c r="G761" i="11"/>
  <c r="G765" i="11"/>
  <c r="G769" i="11"/>
  <c r="G773" i="11"/>
  <c r="G777" i="11"/>
  <c r="G781" i="11"/>
  <c r="G785" i="11"/>
  <c r="G789" i="11"/>
  <c r="G793" i="11"/>
  <c r="G797" i="11"/>
  <c r="G801" i="11"/>
  <c r="G805" i="11"/>
  <c r="G809" i="11"/>
  <c r="G29" i="11"/>
  <c r="G61" i="11"/>
  <c r="G93" i="11"/>
  <c r="G125" i="11"/>
  <c r="G157" i="11"/>
  <c r="G190" i="11"/>
  <c r="G222" i="11"/>
  <c r="G243" i="11"/>
  <c r="G265" i="11"/>
  <c r="G286" i="11"/>
  <c r="G307" i="11"/>
  <c r="G329" i="11"/>
  <c r="G348" i="11"/>
  <c r="G360" i="11"/>
  <c r="G368" i="11"/>
  <c r="G376" i="11"/>
  <c r="G384" i="11"/>
  <c r="G392" i="11"/>
  <c r="G400" i="11"/>
  <c r="G408" i="11"/>
  <c r="G416" i="11"/>
  <c r="G425" i="11"/>
  <c r="G434" i="11"/>
  <c r="G442" i="11"/>
  <c r="G450" i="11"/>
  <c r="G458" i="11"/>
  <c r="G466" i="11"/>
  <c r="G475" i="11"/>
  <c r="G483" i="11"/>
  <c r="G490" i="11"/>
  <c r="G495" i="11"/>
  <c r="G501" i="11"/>
  <c r="G506" i="11"/>
  <c r="G511" i="11"/>
  <c r="G518" i="11"/>
  <c r="G523" i="11"/>
  <c r="G528" i="11"/>
  <c r="G534" i="11"/>
  <c r="G539" i="11"/>
  <c r="G544" i="11"/>
  <c r="G550" i="11"/>
  <c r="G557" i="11"/>
  <c r="G564" i="11"/>
  <c r="G570" i="11"/>
  <c r="G575" i="11"/>
  <c r="G580" i="11"/>
  <c r="G586" i="11"/>
  <c r="G591" i="11"/>
  <c r="G596" i="11"/>
  <c r="G600" i="11"/>
  <c r="G604" i="11"/>
  <c r="G608" i="11"/>
  <c r="G612" i="11"/>
  <c r="G616" i="11"/>
  <c r="G620" i="11"/>
  <c r="G624" i="11"/>
  <c r="G628" i="11"/>
  <c r="G632" i="11"/>
  <c r="G637" i="11"/>
  <c r="G641" i="11"/>
  <c r="G645" i="11"/>
  <c r="G649" i="11"/>
  <c r="G653" i="11"/>
  <c r="G657" i="11"/>
  <c r="G661" i="11"/>
  <c r="G665" i="11"/>
  <c r="G669" i="11"/>
  <c r="G673" i="11"/>
  <c r="G677" i="11"/>
  <c r="G681" i="11"/>
  <c r="G685" i="11"/>
  <c r="G689" i="11"/>
  <c r="G693" i="11"/>
  <c r="G698" i="11"/>
  <c r="G702" i="11"/>
  <c r="G706" i="11"/>
  <c r="G710" i="11"/>
  <c r="G714" i="11"/>
  <c r="G718" i="11"/>
  <c r="G722" i="11"/>
  <c r="G726" i="11"/>
  <c r="G730" i="11"/>
  <c r="G734" i="11"/>
  <c r="G738" i="11"/>
  <c r="G742" i="11"/>
  <c r="G37" i="11"/>
  <c r="G166" i="11"/>
  <c r="G270" i="11"/>
  <c r="G352" i="11"/>
  <c r="G387" i="11"/>
  <c r="G419" i="11"/>
  <c r="G453" i="11"/>
  <c r="G486" i="11"/>
  <c r="G507" i="11"/>
  <c r="G530" i="11"/>
  <c r="G551" i="11"/>
  <c r="G576" i="11"/>
  <c r="G597" i="11"/>
  <c r="G613" i="11"/>
  <c r="G629" i="11"/>
  <c r="G646" i="11"/>
  <c r="G662" i="11"/>
  <c r="G678" i="11"/>
  <c r="G694" i="11"/>
  <c r="G711" i="11"/>
  <c r="G727" i="11"/>
  <c r="G743" i="11"/>
  <c r="G751" i="11"/>
  <c r="G759" i="11"/>
  <c r="G767" i="11"/>
  <c r="G775" i="11"/>
  <c r="G783" i="11"/>
  <c r="G791" i="11"/>
  <c r="G799" i="11"/>
  <c r="G807" i="11"/>
  <c r="G814" i="11"/>
  <c r="G819" i="11"/>
  <c r="G825" i="11"/>
  <c r="G830" i="11"/>
  <c r="G835" i="11"/>
  <c r="G841" i="11"/>
  <c r="G846" i="11"/>
  <c r="G851" i="11"/>
  <c r="G857" i="11"/>
  <c r="G862" i="11"/>
  <c r="G867" i="11"/>
  <c r="G873" i="11"/>
  <c r="G878" i="11"/>
  <c r="G883" i="11"/>
  <c r="G889" i="11"/>
  <c r="G894" i="11"/>
  <c r="G898" i="11"/>
  <c r="G902" i="11"/>
  <c r="G906" i="11"/>
  <c r="G910" i="11"/>
  <c r="G914" i="11"/>
  <c r="G918" i="11"/>
  <c r="G922" i="11"/>
  <c r="G926" i="11"/>
  <c r="G930" i="11"/>
  <c r="G934" i="11"/>
  <c r="G938" i="11"/>
  <c r="G942" i="11"/>
  <c r="G946" i="11"/>
  <c r="G950" i="11"/>
  <c r="G954" i="11"/>
  <c r="G958" i="11"/>
  <c r="G962" i="11"/>
  <c r="G966" i="11"/>
  <c r="G970" i="11"/>
  <c r="G974" i="11"/>
  <c r="G978" i="11"/>
  <c r="G982" i="11"/>
  <c r="G987" i="11"/>
  <c r="G991" i="11"/>
  <c r="G995" i="11"/>
  <c r="G999" i="11"/>
  <c r="G1003" i="11"/>
  <c r="G1007" i="11"/>
  <c r="G1011" i="11"/>
  <c r="G1015" i="11"/>
  <c r="G1019" i="11"/>
  <c r="G1023" i="11"/>
  <c r="G1027" i="11"/>
  <c r="G1031" i="11"/>
  <c r="G1035" i="11"/>
  <c r="G1039" i="11"/>
  <c r="G1043" i="11"/>
  <c r="G1047" i="11"/>
  <c r="G1052" i="11"/>
  <c r="G1056" i="11"/>
  <c r="G1060" i="11"/>
  <c r="G1064" i="11"/>
  <c r="G1068" i="11"/>
  <c r="G1072" i="11"/>
  <c r="G1076" i="11"/>
  <c r="G1080" i="11"/>
  <c r="G1084" i="11"/>
  <c r="G1088" i="11"/>
  <c r="G1092" i="11"/>
  <c r="G1096" i="11"/>
  <c r="G1100" i="11"/>
  <c r="G1104" i="11"/>
  <c r="G1108" i="11"/>
  <c r="G1112" i="11"/>
  <c r="G1116" i="11"/>
  <c r="G1120" i="11"/>
  <c r="G1124" i="11"/>
  <c r="G1128" i="11"/>
  <c r="G1132" i="11"/>
  <c r="G1136" i="11"/>
  <c r="G1140" i="11"/>
  <c r="G1144" i="11"/>
  <c r="G1148" i="11"/>
  <c r="G1152" i="11"/>
  <c r="G1156" i="11"/>
  <c r="G1160" i="11"/>
  <c r="G1164" i="11"/>
  <c r="G1168" i="11"/>
  <c r="G1172" i="11"/>
  <c r="G1176" i="11"/>
  <c r="G1180" i="11"/>
  <c r="G1184" i="11"/>
  <c r="G1188" i="11"/>
  <c r="G1192" i="11"/>
  <c r="G1196" i="11"/>
  <c r="G1200" i="11"/>
  <c r="G1204" i="11"/>
  <c r="G1208" i="11"/>
  <c r="G1212" i="11"/>
  <c r="G1216" i="11"/>
  <c r="G1220" i="11"/>
  <c r="G1224" i="11"/>
  <c r="G1228" i="11"/>
  <c r="G1232" i="11"/>
  <c r="G1236" i="11"/>
  <c r="G1240" i="11"/>
  <c r="G1244" i="11"/>
  <c r="G1248" i="11"/>
  <c r="G1252" i="11"/>
  <c r="G1256" i="11"/>
  <c r="G1260" i="11"/>
  <c r="G1264" i="11"/>
  <c r="G1268" i="11"/>
  <c r="G1272" i="11"/>
  <c r="G1276" i="11"/>
  <c r="G1280" i="11"/>
  <c r="G1284" i="11"/>
  <c r="G1288" i="11"/>
  <c r="G1292" i="11"/>
  <c r="G1296" i="11"/>
  <c r="G1300" i="11"/>
  <c r="G1304" i="11"/>
  <c r="G1308" i="11"/>
  <c r="G1312" i="11"/>
  <c r="G1316" i="11"/>
  <c r="G1320" i="11"/>
  <c r="G1324" i="11"/>
  <c r="G1328" i="11"/>
  <c r="G1332" i="11"/>
  <c r="G1336" i="11"/>
  <c r="G1340" i="11"/>
  <c r="G1344" i="11"/>
  <c r="G1348" i="11"/>
  <c r="G1352" i="11"/>
  <c r="G1356" i="11"/>
  <c r="G1360" i="11"/>
  <c r="G1364" i="11"/>
  <c r="G1368" i="11"/>
  <c r="G1372" i="11"/>
  <c r="G1376" i="11"/>
  <c r="G1380" i="11"/>
  <c r="G1384" i="11"/>
  <c r="G1388" i="11"/>
  <c r="G1392" i="11"/>
  <c r="G69" i="11"/>
  <c r="G198" i="11"/>
  <c r="G291" i="11"/>
  <c r="G363" i="11"/>
  <c r="G395" i="11"/>
  <c r="G428" i="11"/>
  <c r="G461" i="11"/>
  <c r="G491" i="11"/>
  <c r="G513" i="11"/>
  <c r="G535" i="11"/>
  <c r="G558" i="11"/>
  <c r="G582" i="11"/>
  <c r="G601" i="11"/>
  <c r="G617" i="11"/>
  <c r="G634" i="11"/>
  <c r="G650" i="11"/>
  <c r="G666" i="11"/>
  <c r="G682" i="11"/>
  <c r="G699" i="11"/>
  <c r="G101" i="11"/>
  <c r="G227" i="11"/>
  <c r="G313" i="11"/>
  <c r="G371" i="11"/>
  <c r="G403" i="11"/>
  <c r="G437" i="11"/>
  <c r="G469" i="11"/>
  <c r="G497" i="11"/>
  <c r="G519" i="11"/>
  <c r="G540" i="11"/>
  <c r="G566" i="11"/>
  <c r="G587" i="11"/>
  <c r="G605" i="11"/>
  <c r="G621" i="11"/>
  <c r="G638" i="11"/>
  <c r="G654" i="11"/>
  <c r="G670" i="11"/>
  <c r="G686" i="11"/>
  <c r="G703" i="11"/>
  <c r="G719" i="11"/>
  <c r="G735" i="11"/>
  <c r="G747" i="11"/>
  <c r="G755" i="11"/>
  <c r="G763" i="11"/>
  <c r="G771" i="11"/>
  <c r="G779" i="11"/>
  <c r="G787" i="11"/>
  <c r="G795" i="11"/>
  <c r="G803" i="11"/>
  <c r="G811" i="11"/>
  <c r="G817" i="11"/>
  <c r="G822" i="11"/>
  <c r="G827" i="11"/>
  <c r="G833" i="11"/>
  <c r="G838" i="11"/>
  <c r="G843" i="11"/>
  <c r="G849" i="11"/>
  <c r="G854" i="11"/>
  <c r="G859" i="11"/>
  <c r="G865" i="11"/>
  <c r="G870" i="11"/>
  <c r="G875" i="11"/>
  <c r="G881" i="11"/>
  <c r="G886" i="11"/>
  <c r="G891" i="11"/>
  <c r="G896" i="11"/>
  <c r="G900" i="11"/>
  <c r="G904" i="11"/>
  <c r="G908" i="11"/>
  <c r="G912" i="11"/>
  <c r="G916" i="11"/>
  <c r="G920" i="11"/>
  <c r="G924" i="11"/>
  <c r="G928" i="11"/>
  <c r="G932" i="11"/>
  <c r="G936" i="11"/>
  <c r="G940" i="11"/>
  <c r="G944" i="11"/>
  <c r="G948" i="11"/>
  <c r="G952" i="11"/>
  <c r="G956" i="11"/>
  <c r="G960" i="11"/>
  <c r="G964" i="11"/>
  <c r="G968" i="11"/>
  <c r="G972" i="11"/>
  <c r="G976" i="11"/>
  <c r="G980" i="11"/>
  <c r="G985" i="11"/>
  <c r="G989" i="11"/>
  <c r="G993" i="11"/>
  <c r="G997" i="11"/>
  <c r="G1001" i="11"/>
  <c r="G1005" i="11"/>
  <c r="G1009" i="11"/>
  <c r="G1013" i="11"/>
  <c r="G1017" i="11"/>
  <c r="G1021" i="11"/>
  <c r="G1025" i="11"/>
  <c r="G1029" i="11"/>
  <c r="G1033" i="11"/>
  <c r="G1037" i="11"/>
  <c r="G1041" i="11"/>
  <c r="G1045" i="11"/>
  <c r="G1049" i="11"/>
  <c r="G1054" i="11"/>
  <c r="G1058" i="11"/>
  <c r="G1062" i="11"/>
  <c r="G133" i="11"/>
  <c r="G411" i="11"/>
  <c r="G524" i="11"/>
  <c r="G609" i="11"/>
  <c r="G674" i="11"/>
  <c r="G723" i="11"/>
  <c r="G750" i="11"/>
  <c r="G766" i="11"/>
  <c r="G782" i="11"/>
  <c r="G798" i="11"/>
  <c r="G813" i="11"/>
  <c r="G823" i="11"/>
  <c r="G834" i="11"/>
  <c r="G845" i="11"/>
  <c r="G855" i="11"/>
  <c r="G866" i="11"/>
  <c r="G877" i="11"/>
  <c r="G887" i="11"/>
  <c r="G897" i="11"/>
  <c r="G905" i="11"/>
  <c r="G913" i="11"/>
  <c r="G921" i="11"/>
  <c r="G929" i="11"/>
  <c r="G937" i="11"/>
  <c r="G945" i="11"/>
  <c r="G953" i="11"/>
  <c r="G961" i="11"/>
  <c r="G969" i="11"/>
  <c r="G977" i="11"/>
  <c r="G986" i="11"/>
  <c r="G994" i="11"/>
  <c r="G1002" i="11"/>
  <c r="G1010" i="11"/>
  <c r="G1018" i="11"/>
  <c r="G1026" i="11"/>
  <c r="G1034" i="11"/>
  <c r="G1042" i="11"/>
  <c r="G1051" i="11"/>
  <c r="G1059" i="11"/>
  <c r="G1066" i="11"/>
  <c r="G1071" i="11"/>
  <c r="G1077" i="11"/>
  <c r="G1082" i="11"/>
  <c r="G1087" i="11"/>
  <c r="G1093" i="11"/>
  <c r="G1098" i="11"/>
  <c r="G1103" i="11"/>
  <c r="G1109" i="11"/>
  <c r="G1114" i="11"/>
  <c r="G1119" i="11"/>
  <c r="G1125" i="11"/>
  <c r="G1130" i="11"/>
  <c r="G1135" i="11"/>
  <c r="G1141" i="11"/>
  <c r="G1146" i="11"/>
  <c r="G1151" i="11"/>
  <c r="G1157" i="11"/>
  <c r="G1162" i="11"/>
  <c r="G1167" i="11"/>
  <c r="G1173" i="11"/>
  <c r="G1178" i="11"/>
  <c r="G1183" i="11"/>
  <c r="G1189" i="11"/>
  <c r="G1194" i="11"/>
  <c r="G1199" i="11"/>
  <c r="G1205" i="11"/>
  <c r="G1210" i="11"/>
  <c r="G1215" i="11"/>
  <c r="G1221" i="11"/>
  <c r="G1226" i="11"/>
  <c r="G1231" i="11"/>
  <c r="G1237" i="11"/>
  <c r="G1242" i="11"/>
  <c r="G1247" i="11"/>
  <c r="G1253" i="11"/>
  <c r="G1258" i="11"/>
  <c r="G1263" i="11"/>
  <c r="G1269" i="11"/>
  <c r="G1274" i="11"/>
  <c r="G1279" i="11"/>
  <c r="G1285" i="11"/>
  <c r="G1290" i="11"/>
  <c r="G1295" i="11"/>
  <c r="G1301" i="11"/>
  <c r="G1306" i="11"/>
  <c r="G1311" i="11"/>
  <c r="G1317" i="11"/>
  <c r="G1322" i="11"/>
  <c r="G1327" i="11"/>
  <c r="G1333" i="11"/>
  <c r="G1338" i="11"/>
  <c r="G1343" i="11"/>
  <c r="G1349" i="11"/>
  <c r="G1354" i="11"/>
  <c r="G1359" i="11"/>
  <c r="G1365" i="11"/>
  <c r="G1370" i="11"/>
  <c r="G1375" i="11"/>
  <c r="G1381" i="11"/>
  <c r="G1386" i="11"/>
  <c r="G1391" i="11"/>
  <c r="G1396" i="11"/>
  <c r="G1400" i="11"/>
  <c r="G1404" i="11"/>
  <c r="G1408" i="11"/>
  <c r="G1412" i="11"/>
  <c r="G1416" i="11"/>
  <c r="G1420" i="11"/>
  <c r="G1424" i="11"/>
  <c r="G1428" i="11"/>
  <c r="G1432" i="11"/>
  <c r="G1436" i="11"/>
  <c r="G1440" i="11"/>
  <c r="G1444" i="11"/>
  <c r="G1448" i="11"/>
  <c r="G1452" i="11"/>
  <c r="G1456" i="11"/>
  <c r="G1460" i="11"/>
  <c r="G1234" i="11"/>
  <c r="G1261" i="11"/>
  <c r="G1277" i="11"/>
  <c r="G1293" i="11"/>
  <c r="G1309" i="11"/>
  <c r="G1325" i="11"/>
  <c r="G1341" i="11"/>
  <c r="G1351" i="11"/>
  <c r="G1367" i="11"/>
  <c r="G1383" i="11"/>
  <c r="G1389" i="11"/>
  <c r="G1406" i="11"/>
  <c r="G1418" i="11"/>
  <c r="G1426" i="11"/>
  <c r="G1438" i="11"/>
  <c r="G1446" i="11"/>
  <c r="G1458" i="11"/>
  <c r="G502" i="11"/>
  <c r="G810" i="11"/>
  <c r="G842" i="11"/>
  <c r="G874" i="11"/>
  <c r="G903" i="11"/>
  <c r="G927" i="11"/>
  <c r="G943" i="11"/>
  <c r="G959" i="11"/>
  <c r="G992" i="11"/>
  <c r="G1016" i="11"/>
  <c r="G1040" i="11"/>
  <c r="G1057" i="11"/>
  <c r="G1075" i="11"/>
  <c r="G1091" i="11"/>
  <c r="G1107" i="11"/>
  <c r="G1123" i="11"/>
  <c r="G1134" i="11"/>
  <c r="G1150" i="11"/>
  <c r="G1166" i="11"/>
  <c r="G1182" i="11"/>
  <c r="G1198" i="11"/>
  <c r="G1214" i="11"/>
  <c r="G1225" i="11"/>
  <c r="G1241" i="11"/>
  <c r="G1257" i="11"/>
  <c r="G1273" i="11"/>
  <c r="G1294" i="11"/>
  <c r="G1310" i="11"/>
  <c r="G1321" i="11"/>
  <c r="G1337" i="11"/>
  <c r="G249" i="11"/>
  <c r="G445" i="11"/>
  <c r="G546" i="11"/>
  <c r="G625" i="11"/>
  <c r="G690" i="11"/>
  <c r="G731" i="11"/>
  <c r="G754" i="11"/>
  <c r="G770" i="11"/>
  <c r="G786" i="11"/>
  <c r="G802" i="11"/>
  <c r="G815" i="11"/>
  <c r="G826" i="11"/>
  <c r="G837" i="11"/>
  <c r="G847" i="11"/>
  <c r="G858" i="11"/>
  <c r="G869" i="11"/>
  <c r="G879" i="11"/>
  <c r="G890" i="11"/>
  <c r="G899" i="11"/>
  <c r="G907" i="11"/>
  <c r="G915" i="11"/>
  <c r="G923" i="11"/>
  <c r="G931" i="11"/>
  <c r="G939" i="11"/>
  <c r="G947" i="11"/>
  <c r="G955" i="11"/>
  <c r="G963" i="11"/>
  <c r="G971" i="11"/>
  <c r="G979" i="11"/>
  <c r="G988" i="11"/>
  <c r="G996" i="11"/>
  <c r="G1004" i="11"/>
  <c r="G1012" i="11"/>
  <c r="G1020" i="11"/>
  <c r="G1028" i="11"/>
  <c r="G1036" i="11"/>
  <c r="G1044" i="11"/>
  <c r="G1053" i="11"/>
  <c r="G1061" i="11"/>
  <c r="G1067" i="11"/>
  <c r="G1073" i="11"/>
  <c r="G1078" i="11"/>
  <c r="G1083" i="11"/>
  <c r="G1089" i="11"/>
  <c r="G1094" i="11"/>
  <c r="G1099" i="11"/>
  <c r="G1105" i="11"/>
  <c r="G1110" i="11"/>
  <c r="G1115" i="11"/>
  <c r="G1121" i="11"/>
  <c r="G1126" i="11"/>
  <c r="G1131" i="11"/>
  <c r="G1137" i="11"/>
  <c r="G1142" i="11"/>
  <c r="G1147" i="11"/>
  <c r="G1153" i="11"/>
  <c r="G1158" i="11"/>
  <c r="G1163" i="11"/>
  <c r="G1169" i="11"/>
  <c r="G1174" i="11"/>
  <c r="G1179" i="11"/>
  <c r="G1185" i="11"/>
  <c r="G1190" i="11"/>
  <c r="G1195" i="11"/>
  <c r="G1201" i="11"/>
  <c r="G1206" i="11"/>
  <c r="G1211" i="11"/>
  <c r="G1217" i="11"/>
  <c r="G1222" i="11"/>
  <c r="G1227" i="11"/>
  <c r="G1233" i="11"/>
  <c r="G1238" i="11"/>
  <c r="G1243" i="11"/>
  <c r="G1249" i="11"/>
  <c r="G1254" i="11"/>
  <c r="G1259" i="11"/>
  <c r="G1265" i="11"/>
  <c r="G1270" i="11"/>
  <c r="G1275" i="11"/>
  <c r="G1281" i="11"/>
  <c r="G1286" i="11"/>
  <c r="G1291" i="11"/>
  <c r="G1297" i="11"/>
  <c r="G1302" i="11"/>
  <c r="G1307" i="11"/>
  <c r="G1313" i="11"/>
  <c r="G1318" i="11"/>
  <c r="G1323" i="11"/>
  <c r="G1329" i="11"/>
  <c r="G1334" i="11"/>
  <c r="G1339" i="11"/>
  <c r="G1345" i="11"/>
  <c r="G1350" i="11"/>
  <c r="G1355" i="11"/>
  <c r="G1361" i="11"/>
  <c r="G1366" i="11"/>
  <c r="G1371" i="11"/>
  <c r="G1377" i="11"/>
  <c r="G1382" i="11"/>
  <c r="G1387" i="11"/>
  <c r="G1393" i="11"/>
  <c r="G1397" i="11"/>
  <c r="G1401" i="11"/>
  <c r="G1405" i="11"/>
  <c r="G1409" i="11"/>
  <c r="G1413" i="11"/>
  <c r="G1417" i="11"/>
  <c r="G1421" i="11"/>
  <c r="G1425" i="11"/>
  <c r="G1429" i="11"/>
  <c r="G1433" i="11"/>
  <c r="G1437" i="11"/>
  <c r="G1441" i="11"/>
  <c r="G1445" i="11"/>
  <c r="G1449" i="11"/>
  <c r="G1453" i="11"/>
  <c r="G1457" i="11"/>
  <c r="G1461" i="11"/>
  <c r="G1181" i="11"/>
  <c r="G1197" i="11"/>
  <c r="G1207" i="11"/>
  <c r="G1218" i="11"/>
  <c r="G1229" i="11"/>
  <c r="G1245" i="11"/>
  <c r="G1255" i="11"/>
  <c r="G1271" i="11"/>
  <c r="G1282" i="11"/>
  <c r="G1298" i="11"/>
  <c r="G1314" i="11"/>
  <c r="G1330" i="11"/>
  <c r="G1346" i="11"/>
  <c r="G1362" i="11"/>
  <c r="G1378" i="11"/>
  <c r="G1394" i="11"/>
  <c r="G1402" i="11"/>
  <c r="G1414" i="11"/>
  <c r="G1430" i="11"/>
  <c r="G1442" i="11"/>
  <c r="G1450" i="11"/>
  <c r="G1462" i="11"/>
  <c r="G593" i="11"/>
  <c r="G794" i="11"/>
  <c r="G831" i="11"/>
  <c r="G863" i="11"/>
  <c r="G895" i="11"/>
  <c r="G919" i="11"/>
  <c r="G935" i="11"/>
  <c r="G967" i="11"/>
  <c r="G984" i="11"/>
  <c r="G1008" i="11"/>
  <c r="G1032" i="11"/>
  <c r="G1065" i="11"/>
  <c r="G1081" i="11"/>
  <c r="G1097" i="11"/>
  <c r="G1102" i="11"/>
  <c r="G1118" i="11"/>
  <c r="G1139" i="11"/>
  <c r="G1155" i="11"/>
  <c r="G1171" i="11"/>
  <c r="G1187" i="11"/>
  <c r="G1203" i="11"/>
  <c r="G1219" i="11"/>
  <c r="G1230" i="11"/>
  <c r="G1246" i="11"/>
  <c r="G1262" i="11"/>
  <c r="G1278" i="11"/>
  <c r="G1289" i="11"/>
  <c r="G1305" i="11"/>
  <c r="G1326" i="11"/>
  <c r="G1342" i="11"/>
  <c r="G334" i="11"/>
  <c r="G478" i="11"/>
  <c r="G571" i="11"/>
  <c r="G642" i="11"/>
  <c r="G707" i="11"/>
  <c r="G739" i="11"/>
  <c r="G758" i="11"/>
  <c r="G774" i="11"/>
  <c r="G790" i="11"/>
  <c r="G806" i="11"/>
  <c r="G818" i="11"/>
  <c r="G829" i="11"/>
  <c r="G839" i="11"/>
  <c r="G850" i="11"/>
  <c r="G861" i="11"/>
  <c r="G871" i="11"/>
  <c r="G882" i="11"/>
  <c r="G893" i="11"/>
  <c r="G901" i="11"/>
  <c r="G909" i="11"/>
  <c r="G917" i="11"/>
  <c r="G925" i="11"/>
  <c r="G933" i="11"/>
  <c r="G941" i="11"/>
  <c r="G949" i="11"/>
  <c r="G957" i="11"/>
  <c r="G965" i="11"/>
  <c r="G973" i="11"/>
  <c r="G981" i="11"/>
  <c r="G990" i="11"/>
  <c r="G998" i="11"/>
  <c r="G1006" i="11"/>
  <c r="G1014" i="11"/>
  <c r="G1022" i="11"/>
  <c r="G1030" i="11"/>
  <c r="G1038" i="11"/>
  <c r="G1046" i="11"/>
  <c r="G1055" i="11"/>
  <c r="G1063" i="11"/>
  <c r="G1069" i="11"/>
  <c r="G1074" i="11"/>
  <c r="G1079" i="11"/>
  <c r="G1085" i="11"/>
  <c r="G1090" i="11"/>
  <c r="G1095" i="11"/>
  <c r="G1101" i="11"/>
  <c r="G1106" i="11"/>
  <c r="G1111" i="11"/>
  <c r="G1117" i="11"/>
  <c r="G1122" i="11"/>
  <c r="G1127" i="11"/>
  <c r="G1133" i="11"/>
  <c r="G1138" i="11"/>
  <c r="G1143" i="11"/>
  <c r="G1149" i="11"/>
  <c r="G1154" i="11"/>
  <c r="G1159" i="11"/>
  <c r="G1165" i="11"/>
  <c r="G1170" i="11"/>
  <c r="G1175" i="11"/>
  <c r="G1186" i="11"/>
  <c r="G1191" i="11"/>
  <c r="G1202" i="11"/>
  <c r="G1213" i="11"/>
  <c r="G1223" i="11"/>
  <c r="G1239" i="11"/>
  <c r="G1250" i="11"/>
  <c r="G1266" i="11"/>
  <c r="G1287" i="11"/>
  <c r="G1303" i="11"/>
  <c r="G1319" i="11"/>
  <c r="G1335" i="11"/>
  <c r="G1357" i="11"/>
  <c r="G1373" i="11"/>
  <c r="G1398" i="11"/>
  <c r="G1410" i="11"/>
  <c r="G1422" i="11"/>
  <c r="G1434" i="11"/>
  <c r="G1454" i="11"/>
  <c r="G379" i="11"/>
  <c r="G658" i="11"/>
  <c r="G715" i="11"/>
  <c r="G746" i="11"/>
  <c r="G762" i="11"/>
  <c r="G778" i="11"/>
  <c r="G821" i="11"/>
  <c r="G853" i="11"/>
  <c r="G885" i="11"/>
  <c r="G911" i="11"/>
  <c r="G951" i="11"/>
  <c r="G975" i="11"/>
  <c r="G1000" i="11"/>
  <c r="G1024" i="11"/>
  <c r="G1048" i="11"/>
  <c r="G1070" i="11"/>
  <c r="G1086" i="11"/>
  <c r="G1113" i="11"/>
  <c r="G1129" i="11"/>
  <c r="G1145" i="11"/>
  <c r="G1161" i="11"/>
  <c r="G1177" i="11"/>
  <c r="G1193" i="11"/>
  <c r="G1209" i="11"/>
  <c r="G1235" i="11"/>
  <c r="G1251" i="11"/>
  <c r="G1267" i="11"/>
  <c r="G1283" i="11"/>
  <c r="G1299" i="11"/>
  <c r="G1315" i="11"/>
  <c r="G1331" i="11"/>
  <c r="G1347" i="11"/>
  <c r="G1353" i="11"/>
  <c r="G1374" i="11"/>
  <c r="G1395" i="11"/>
  <c r="G1411" i="11"/>
  <c r="G1427" i="11"/>
  <c r="G1443" i="11"/>
  <c r="G1459" i="11"/>
  <c r="G2" i="11"/>
  <c r="G1385" i="11"/>
  <c r="G1435" i="11"/>
  <c r="G1369" i="11"/>
  <c r="G1407" i="11"/>
  <c r="G1439" i="11"/>
  <c r="G1358" i="11"/>
  <c r="G1379" i="11"/>
  <c r="G1399" i="11"/>
  <c r="G1415" i="11"/>
  <c r="G1431" i="11"/>
  <c r="G1447" i="11"/>
  <c r="G1363" i="11"/>
  <c r="G1403" i="11"/>
  <c r="G1419" i="11"/>
  <c r="G1451" i="11"/>
  <c r="G1390" i="11"/>
  <c r="G1423" i="11"/>
  <c r="G1455" i="11"/>
  <c r="AB80" i="8"/>
  <c r="K5"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3" i="10"/>
  <c r="K34" i="10"/>
  <c r="K35" i="10"/>
  <c r="K37" i="10"/>
  <c r="K39" i="10"/>
  <c r="K41" i="10"/>
  <c r="K42" i="10"/>
  <c r="K43" i="10"/>
  <c r="K44" i="10"/>
  <c r="K45" i="10"/>
  <c r="K46" i="10"/>
  <c r="K47" i="10"/>
  <c r="K48" i="10"/>
  <c r="K49" i="10"/>
  <c r="K50" i="10"/>
  <c r="K51" i="10"/>
  <c r="K52" i="10"/>
  <c r="K54" i="10"/>
  <c r="K55" i="10"/>
  <c r="K56" i="10"/>
  <c r="K57" i="10"/>
  <c r="K58" i="10"/>
  <c r="K62" i="10"/>
  <c r="K63" i="10"/>
  <c r="K66" i="10"/>
  <c r="K67" i="10"/>
  <c r="K70" i="10"/>
  <c r="K71" i="10"/>
  <c r="I3" i="10"/>
  <c r="K3" i="10" s="1"/>
  <c r="I4" i="10"/>
  <c r="K4" i="10" s="1"/>
  <c r="I5" i="10"/>
  <c r="I6" i="10"/>
  <c r="K6" i="10" s="1"/>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K32" i="10" s="1"/>
  <c r="I33" i="10"/>
  <c r="I34" i="10"/>
  <c r="I35" i="10"/>
  <c r="I36" i="10"/>
  <c r="K36" i="10" s="1"/>
  <c r="I37" i="10"/>
  <c r="I38" i="10"/>
  <c r="K38" i="10" s="1"/>
  <c r="I39" i="10"/>
  <c r="I40" i="10"/>
  <c r="K40" i="10" s="1"/>
  <c r="I41" i="10"/>
  <c r="I42" i="10"/>
  <c r="I43" i="10"/>
  <c r="I44" i="10"/>
  <c r="I45" i="10"/>
  <c r="I46" i="10"/>
  <c r="I47" i="10"/>
  <c r="I48" i="10"/>
  <c r="I49" i="10"/>
  <c r="I50" i="10"/>
  <c r="I51" i="10"/>
  <c r="I52" i="10"/>
  <c r="I53" i="10"/>
  <c r="K53" i="10" s="1"/>
  <c r="I54" i="10"/>
  <c r="I55" i="10"/>
  <c r="I56" i="10"/>
  <c r="I57" i="10"/>
  <c r="I58" i="10"/>
  <c r="I59" i="10"/>
  <c r="K59" i="10" s="1"/>
  <c r="I60" i="10"/>
  <c r="K60" i="10" s="1"/>
  <c r="I61" i="10"/>
  <c r="K61" i="10" s="1"/>
  <c r="I62" i="10"/>
  <c r="I63" i="10"/>
  <c r="I64" i="10"/>
  <c r="K64" i="10" s="1"/>
  <c r="I65" i="10"/>
  <c r="K65" i="10" s="1"/>
  <c r="I66" i="10"/>
  <c r="I67" i="10"/>
  <c r="I68" i="10"/>
  <c r="K68" i="10" s="1"/>
  <c r="I69" i="10"/>
  <c r="K69" i="10" s="1"/>
  <c r="I70" i="10"/>
  <c r="I71" i="10"/>
  <c r="I72" i="10"/>
  <c r="K72" i="10" s="1"/>
  <c r="I73" i="10"/>
  <c r="I74" i="10"/>
  <c r="I75" i="10"/>
  <c r="I76" i="10"/>
  <c r="I77" i="10"/>
  <c r="I78" i="10"/>
  <c r="I79" i="10"/>
  <c r="I80" i="10"/>
  <c r="I81" i="10"/>
  <c r="I82" i="10"/>
  <c r="I83" i="10"/>
  <c r="I84" i="10"/>
  <c r="I85" i="10"/>
  <c r="I86" i="10"/>
  <c r="I87" i="10"/>
  <c r="I88" i="10"/>
  <c r="I89" i="10"/>
  <c r="I2" i="10"/>
  <c r="K2" i="10" s="1"/>
  <c r="J3" i="10"/>
  <c r="J4" i="10"/>
  <c r="J5" i="10"/>
  <c r="J6" i="10"/>
  <c r="J7" i="10"/>
  <c r="J8" i="10"/>
  <c r="J9" i="10"/>
  <c r="J10" i="10"/>
  <c r="J11" i="10"/>
  <c r="J12" i="10"/>
  <c r="J13" i="10"/>
  <c r="J14" i="10"/>
  <c r="J15" i="10"/>
  <c r="J16" i="10"/>
  <c r="J17" i="10"/>
  <c r="J18" i="10"/>
  <c r="J19" i="10"/>
  <c r="J20" i="10"/>
  <c r="J21" i="10"/>
  <c r="J22" i="10"/>
  <c r="J23" i="10"/>
  <c r="J24" i="10"/>
  <c r="J25" i="10"/>
  <c r="J26" i="10"/>
  <c r="J27" i="10"/>
  <c r="J28" i="10"/>
  <c r="J29" i="10"/>
  <c r="J30" i="10"/>
  <c r="J31" i="10"/>
  <c r="J32" i="10"/>
  <c r="J33" i="10"/>
  <c r="J34" i="10"/>
  <c r="J35" i="10"/>
  <c r="J36" i="10"/>
  <c r="J37" i="10"/>
  <c r="J38" i="10"/>
  <c r="J39" i="10"/>
  <c r="J40" i="10"/>
  <c r="J41" i="10"/>
  <c r="J42" i="10"/>
  <c r="J43"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2" i="10"/>
  <c r="AN79" i="8" l="1"/>
  <c r="AB79" i="8" l="1"/>
  <c r="AN3" i="8"/>
  <c r="AN4" i="8"/>
  <c r="AN5" i="8"/>
  <c r="AN6" i="8"/>
  <c r="AN7" i="8"/>
  <c r="AN8" i="8"/>
  <c r="AN9" i="8"/>
  <c r="AN10" i="8"/>
  <c r="AN11" i="8"/>
  <c r="AN12" i="8"/>
  <c r="AN13" i="8"/>
  <c r="AN14" i="8"/>
  <c r="AN15" i="8"/>
  <c r="AN16" i="8"/>
  <c r="AN17" i="8"/>
  <c r="AN18" i="8"/>
  <c r="AN19" i="8"/>
  <c r="AN20" i="8"/>
  <c r="AN21" i="8"/>
  <c r="AN22" i="8"/>
  <c r="AN23" i="8"/>
  <c r="AN24" i="8"/>
  <c r="AN25" i="8"/>
  <c r="AN26" i="8"/>
  <c r="AN27" i="8"/>
  <c r="AN28" i="8"/>
  <c r="AN29" i="8"/>
  <c r="AN30" i="8"/>
  <c r="AN31" i="8"/>
  <c r="AN32" i="8"/>
  <c r="AN33" i="8"/>
  <c r="AN34" i="8"/>
  <c r="AN35" i="8"/>
  <c r="AN36" i="8"/>
  <c r="AN37" i="8"/>
  <c r="AN38" i="8"/>
  <c r="AN39" i="8"/>
  <c r="AN40" i="8"/>
  <c r="AN41" i="8"/>
  <c r="AN42" i="8"/>
  <c r="AN43" i="8"/>
  <c r="AN44" i="8"/>
  <c r="AN45" i="8"/>
  <c r="AN46" i="8"/>
  <c r="AN47" i="8"/>
  <c r="AN48" i="8"/>
  <c r="AN49" i="8"/>
  <c r="AN50" i="8"/>
  <c r="AN51" i="8"/>
  <c r="AN52" i="8"/>
  <c r="AN53" i="8"/>
  <c r="AN54" i="8"/>
  <c r="AN55" i="8"/>
  <c r="AN56" i="8"/>
  <c r="AN57" i="8"/>
  <c r="AN58" i="8"/>
  <c r="AN59" i="8"/>
  <c r="AN60" i="8"/>
  <c r="AN61" i="8"/>
  <c r="AN62" i="8"/>
  <c r="AN63" i="8"/>
  <c r="AN64" i="8"/>
  <c r="AN65" i="8"/>
  <c r="AN66" i="8"/>
  <c r="AN67" i="8"/>
  <c r="AN68" i="8"/>
  <c r="AN69" i="8"/>
  <c r="AN70" i="8"/>
  <c r="AN71" i="8"/>
  <c r="AN72" i="8"/>
  <c r="AN73" i="8"/>
  <c r="AN74" i="8"/>
  <c r="AN75" i="8"/>
  <c r="AN76" i="8"/>
  <c r="AN77" i="8"/>
  <c r="AN78" i="8"/>
  <c r="AN2" i="8"/>
  <c r="V133" i="9" l="1"/>
  <c r="U133" i="9"/>
  <c r="T133" i="9"/>
  <c r="S133" i="9"/>
  <c r="R133" i="9"/>
  <c r="Q133" i="9"/>
  <c r="E133" i="9"/>
  <c r="F133" i="9" s="1"/>
  <c r="V132" i="9"/>
  <c r="U132" i="9"/>
  <c r="T132" i="9"/>
  <c r="S132" i="9"/>
  <c r="R132" i="9"/>
  <c r="Q132" i="9"/>
  <c r="E132" i="9"/>
  <c r="F132" i="9" s="1"/>
  <c r="V131" i="9"/>
  <c r="U131" i="9"/>
  <c r="T131" i="9"/>
  <c r="S131" i="9"/>
  <c r="R131" i="9"/>
  <c r="Q131" i="9"/>
  <c r="E131" i="9"/>
  <c r="F131" i="9" s="1"/>
  <c r="S130" i="9"/>
  <c r="R130" i="9"/>
  <c r="Q130" i="9"/>
  <c r="F130" i="9"/>
  <c r="E130" i="9"/>
  <c r="S129" i="9"/>
  <c r="R129" i="9"/>
  <c r="Q129" i="9"/>
  <c r="E129" i="9"/>
  <c r="F129" i="9" s="1"/>
  <c r="S128" i="9"/>
  <c r="R128" i="9"/>
  <c r="Q128" i="9"/>
  <c r="E128" i="9"/>
  <c r="F128" i="9" s="1"/>
  <c r="S127" i="9"/>
  <c r="R127" i="9"/>
  <c r="Q127" i="9"/>
  <c r="E127" i="9"/>
  <c r="F127" i="9" s="1"/>
  <c r="S126" i="9"/>
  <c r="R126" i="9"/>
  <c r="Q126" i="9"/>
  <c r="E126" i="9"/>
  <c r="F126" i="9" s="1"/>
  <c r="S125" i="9"/>
  <c r="R125" i="9"/>
  <c r="Q125" i="9"/>
  <c r="E125" i="9"/>
  <c r="F125" i="9" s="1"/>
  <c r="S124" i="9"/>
  <c r="R124" i="9"/>
  <c r="Q124" i="9"/>
  <c r="F124" i="9"/>
  <c r="E124" i="9"/>
  <c r="S123" i="9"/>
  <c r="R123" i="9"/>
  <c r="Q123" i="9"/>
  <c r="F123" i="9"/>
  <c r="E123" i="9"/>
  <c r="S122" i="9"/>
  <c r="R122" i="9"/>
  <c r="Q122" i="9"/>
  <c r="F122" i="9"/>
  <c r="E122" i="9"/>
  <c r="S121" i="9"/>
  <c r="R121" i="9"/>
  <c r="Q121" i="9"/>
  <c r="E121" i="9"/>
  <c r="F121" i="9" s="1"/>
  <c r="S120" i="9"/>
  <c r="R120" i="9"/>
  <c r="Q120" i="9"/>
  <c r="F120" i="9"/>
  <c r="E120" i="9"/>
  <c r="S119" i="9"/>
  <c r="R119" i="9"/>
  <c r="Q119" i="9"/>
  <c r="F119" i="9"/>
  <c r="E119" i="9"/>
  <c r="S118" i="9"/>
  <c r="R118" i="9"/>
  <c r="Q118" i="9"/>
  <c r="F118" i="9"/>
  <c r="E118" i="9"/>
  <c r="S117" i="9"/>
  <c r="R117" i="9"/>
  <c r="Q117" i="9"/>
  <c r="F117" i="9"/>
  <c r="E117" i="9"/>
  <c r="S116" i="9"/>
  <c r="R116" i="9"/>
  <c r="Q116" i="9"/>
  <c r="E116" i="9"/>
  <c r="F116" i="9" s="1"/>
  <c r="S115" i="9"/>
  <c r="R115" i="9"/>
  <c r="Q115" i="9"/>
  <c r="F115" i="9"/>
  <c r="E115" i="9"/>
  <c r="S114" i="9"/>
  <c r="R114" i="9"/>
  <c r="Q114" i="9"/>
  <c r="F114" i="9"/>
  <c r="E114" i="9"/>
  <c r="S113" i="9"/>
  <c r="R113" i="9"/>
  <c r="Q113" i="9"/>
  <c r="F113" i="9"/>
  <c r="E113" i="9"/>
  <c r="S112" i="9"/>
  <c r="R112" i="9"/>
  <c r="Q112" i="9"/>
  <c r="E112" i="9"/>
  <c r="F112" i="9" s="1"/>
  <c r="S111" i="9"/>
  <c r="R111" i="9"/>
  <c r="Q111" i="9"/>
  <c r="E111" i="9"/>
  <c r="F111" i="9" s="1"/>
  <c r="S110" i="9"/>
  <c r="R110" i="9"/>
  <c r="Q110" i="9"/>
  <c r="F110" i="9"/>
  <c r="E110" i="9"/>
  <c r="S109" i="9"/>
  <c r="R109" i="9"/>
  <c r="Q109" i="9"/>
  <c r="E109" i="9"/>
  <c r="F109" i="9" s="1"/>
  <c r="S108" i="9"/>
  <c r="R108" i="9"/>
  <c r="Q108" i="9"/>
  <c r="F108" i="9"/>
  <c r="E108" i="9"/>
  <c r="S107" i="9"/>
  <c r="R107" i="9"/>
  <c r="Q107" i="9"/>
  <c r="F107" i="9"/>
  <c r="E107" i="9"/>
  <c r="S106" i="9"/>
  <c r="R106" i="9"/>
  <c r="Q106" i="9"/>
  <c r="F106" i="9"/>
  <c r="E106" i="9"/>
  <c r="S105" i="9"/>
  <c r="R105" i="9"/>
  <c r="Q105" i="9"/>
  <c r="F105" i="9"/>
  <c r="E105" i="9"/>
  <c r="S104" i="9"/>
  <c r="R104" i="9"/>
  <c r="Q104" i="9"/>
  <c r="F104" i="9"/>
  <c r="E104" i="9"/>
  <c r="S103" i="9"/>
  <c r="R103" i="9"/>
  <c r="Q103" i="9"/>
  <c r="F103" i="9"/>
  <c r="E103" i="9"/>
  <c r="S102" i="9"/>
  <c r="R102" i="9"/>
  <c r="Q102" i="9"/>
  <c r="F102" i="9"/>
  <c r="E102" i="9"/>
  <c r="S101" i="9"/>
  <c r="R101" i="9"/>
  <c r="Q101" i="9"/>
  <c r="E101" i="9"/>
  <c r="F101" i="9" s="1"/>
  <c r="S100" i="9"/>
  <c r="R100" i="9"/>
  <c r="Q100" i="9"/>
  <c r="E100" i="9"/>
  <c r="F100" i="9" s="1"/>
  <c r="S99" i="9"/>
  <c r="R99" i="9"/>
  <c r="Q99" i="9"/>
  <c r="E99" i="9"/>
  <c r="F99" i="9" s="1"/>
  <c r="S98" i="9"/>
  <c r="R98" i="9"/>
  <c r="Q98" i="9"/>
  <c r="F98" i="9"/>
  <c r="E98" i="9"/>
  <c r="S97" i="9"/>
  <c r="R97" i="9"/>
  <c r="Q97" i="9"/>
  <c r="E97" i="9"/>
  <c r="F97" i="9" s="1"/>
  <c r="S96" i="9"/>
  <c r="R96" i="9"/>
  <c r="Q96" i="9"/>
  <c r="E96" i="9"/>
  <c r="F96" i="9" s="1"/>
  <c r="S95" i="9"/>
  <c r="R95" i="9"/>
  <c r="Q95" i="9"/>
  <c r="E95" i="9"/>
  <c r="F95" i="9" s="1"/>
  <c r="S94" i="9"/>
  <c r="R94" i="9"/>
  <c r="Q94" i="9"/>
  <c r="F94" i="9"/>
  <c r="E94" i="9"/>
  <c r="S93" i="9"/>
  <c r="R93" i="9"/>
  <c r="Q93" i="9"/>
  <c r="F93" i="9"/>
  <c r="E93" i="9"/>
  <c r="S92" i="9"/>
  <c r="R92" i="9"/>
  <c r="Q92" i="9"/>
  <c r="E92" i="9"/>
  <c r="F92" i="9" s="1"/>
  <c r="S91" i="9"/>
  <c r="R91" i="9"/>
  <c r="Q91" i="9"/>
  <c r="F91" i="9"/>
  <c r="E91" i="9"/>
  <c r="S90" i="9"/>
  <c r="R90" i="9"/>
  <c r="Q90" i="9"/>
  <c r="F90" i="9"/>
  <c r="E90" i="9"/>
  <c r="S89" i="9"/>
  <c r="R89" i="9"/>
  <c r="Q89" i="9"/>
  <c r="E89" i="9"/>
  <c r="F89" i="9" s="1"/>
  <c r="S88" i="9"/>
  <c r="R88" i="9"/>
  <c r="Q88" i="9"/>
  <c r="F88" i="9"/>
  <c r="E88" i="9"/>
  <c r="S87" i="9"/>
  <c r="R87" i="9"/>
  <c r="Q87" i="9"/>
  <c r="F87" i="9"/>
  <c r="E87" i="9"/>
  <c r="S86" i="9"/>
  <c r="R86" i="9"/>
  <c r="Q86" i="9"/>
  <c r="F86" i="9"/>
  <c r="E86" i="9"/>
  <c r="S85" i="9"/>
  <c r="R85" i="9"/>
  <c r="Q85" i="9"/>
  <c r="E85" i="9"/>
  <c r="F85" i="9" s="1"/>
  <c r="S84" i="9"/>
  <c r="R84" i="9"/>
  <c r="Q84" i="9"/>
  <c r="E84" i="9"/>
  <c r="F84" i="9" s="1"/>
  <c r="S83" i="9"/>
  <c r="R83" i="9"/>
  <c r="F83" i="9"/>
  <c r="E83" i="9"/>
  <c r="S82" i="9"/>
  <c r="R82" i="9"/>
  <c r="Q82" i="9"/>
  <c r="E82" i="9"/>
  <c r="F82" i="9" s="1"/>
  <c r="S81" i="9"/>
  <c r="R81" i="9"/>
  <c r="Q81" i="9"/>
  <c r="E81" i="9"/>
  <c r="F81" i="9" s="1"/>
  <c r="S80" i="9"/>
  <c r="R80" i="9"/>
  <c r="Q80" i="9"/>
  <c r="F80" i="9"/>
  <c r="E80" i="9"/>
  <c r="S79" i="9"/>
  <c r="R79" i="9"/>
  <c r="Q79" i="9"/>
  <c r="F79" i="9"/>
  <c r="E79" i="9"/>
  <c r="S78" i="9"/>
  <c r="R78" i="9"/>
  <c r="Q78" i="9"/>
  <c r="F78" i="9"/>
  <c r="E78" i="9"/>
  <c r="S77" i="9"/>
  <c r="R77" i="9"/>
  <c r="Q77" i="9"/>
  <c r="F77" i="9"/>
  <c r="E77" i="9"/>
  <c r="S76" i="9"/>
  <c r="R76" i="9"/>
  <c r="Q76" i="9"/>
  <c r="E76" i="9"/>
  <c r="F76" i="9" s="1"/>
  <c r="S75" i="9"/>
  <c r="R75" i="9"/>
  <c r="Q75" i="9"/>
  <c r="E75" i="9"/>
  <c r="F75" i="9" s="1"/>
  <c r="S74" i="9"/>
  <c r="R74" i="9"/>
  <c r="Q74" i="9"/>
  <c r="F74" i="9"/>
  <c r="E74" i="9"/>
  <c r="S73" i="9"/>
  <c r="R73" i="9"/>
  <c r="Q73" i="9"/>
  <c r="F73" i="9"/>
  <c r="E73" i="9"/>
  <c r="S72" i="9"/>
  <c r="R72" i="9"/>
  <c r="Q72" i="9"/>
  <c r="E72" i="9"/>
  <c r="F72" i="9" s="1"/>
  <c r="S71" i="9"/>
  <c r="R71" i="9"/>
  <c r="Q71" i="9"/>
  <c r="F71" i="9"/>
  <c r="E71" i="9"/>
  <c r="S70" i="9"/>
  <c r="R70" i="9"/>
  <c r="Q70" i="9"/>
  <c r="F70" i="9"/>
  <c r="E70" i="9"/>
  <c r="S69" i="9"/>
  <c r="R69" i="9"/>
  <c r="Q69" i="9"/>
  <c r="E69" i="9"/>
  <c r="F69" i="9" s="1"/>
  <c r="S68" i="9"/>
  <c r="R68" i="9"/>
  <c r="Q68" i="9"/>
  <c r="F68" i="9"/>
  <c r="E68" i="9"/>
  <c r="S67" i="9"/>
  <c r="R67" i="9"/>
  <c r="Q67" i="9"/>
  <c r="F67" i="9"/>
  <c r="E67" i="9"/>
  <c r="S66" i="9"/>
  <c r="R66" i="9"/>
  <c r="Q66" i="9"/>
  <c r="E66" i="9"/>
  <c r="F66" i="9" s="1"/>
  <c r="S65" i="9"/>
  <c r="R65" i="9"/>
  <c r="Q65" i="9"/>
  <c r="E65" i="9"/>
  <c r="F65" i="9" s="1"/>
  <c r="S64" i="9"/>
  <c r="R64" i="9"/>
  <c r="Q64" i="9"/>
  <c r="E64" i="9"/>
  <c r="F64" i="9" s="1"/>
  <c r="S63" i="9"/>
  <c r="R63" i="9"/>
  <c r="Q63" i="9"/>
  <c r="F63" i="9"/>
  <c r="E63" i="9"/>
  <c r="S62" i="9"/>
  <c r="R62" i="9"/>
  <c r="Q62" i="9"/>
  <c r="F62" i="9"/>
  <c r="E62" i="9"/>
  <c r="S61" i="9"/>
  <c r="R61" i="9"/>
  <c r="Q61" i="9"/>
  <c r="F61" i="9"/>
  <c r="E61" i="9"/>
  <c r="S60" i="9"/>
  <c r="R60" i="9"/>
  <c r="Q60" i="9"/>
  <c r="F60" i="9"/>
  <c r="E60" i="9"/>
  <c r="S59" i="9"/>
  <c r="R59" i="9"/>
  <c r="Q59" i="9"/>
  <c r="F59" i="9"/>
  <c r="E59" i="9"/>
  <c r="S58" i="9"/>
  <c r="R58" i="9"/>
  <c r="Q58" i="9"/>
  <c r="F58" i="9"/>
  <c r="E58" i="9"/>
  <c r="S57" i="9"/>
  <c r="R57" i="9"/>
  <c r="Q57" i="9"/>
  <c r="E57" i="9"/>
  <c r="F57" i="9" s="1"/>
  <c r="S56" i="9"/>
  <c r="R56" i="9"/>
  <c r="Q56" i="9"/>
  <c r="F56" i="9"/>
  <c r="E56" i="9"/>
  <c r="S55" i="9"/>
  <c r="R55" i="9"/>
  <c r="Q55" i="9"/>
  <c r="F55" i="9"/>
  <c r="E55" i="9"/>
  <c r="S54" i="9"/>
  <c r="R54" i="9"/>
  <c r="Q54" i="9"/>
  <c r="F54" i="9"/>
  <c r="E54" i="9"/>
  <c r="S53" i="9"/>
  <c r="R53" i="9"/>
  <c r="Q53" i="9"/>
  <c r="E53" i="9"/>
  <c r="F53" i="9" s="1"/>
  <c r="S52" i="9"/>
  <c r="R52" i="9"/>
  <c r="Q52" i="9"/>
  <c r="E52" i="9"/>
  <c r="F52" i="9" s="1"/>
  <c r="S51" i="9"/>
  <c r="R51" i="9"/>
  <c r="Q51" i="9"/>
  <c r="E51" i="9"/>
  <c r="F51" i="9" s="1"/>
  <c r="S50" i="9"/>
  <c r="R50" i="9"/>
  <c r="Q50" i="9"/>
  <c r="F50" i="9"/>
  <c r="E50" i="9"/>
  <c r="S49" i="9"/>
  <c r="R49" i="9"/>
  <c r="Q49" i="9"/>
  <c r="E49" i="9"/>
  <c r="F49" i="9" s="1"/>
  <c r="S48" i="9"/>
  <c r="R48" i="9"/>
  <c r="Q48" i="9"/>
  <c r="F48" i="9"/>
  <c r="E48" i="9"/>
  <c r="S47" i="9"/>
  <c r="R47" i="9"/>
  <c r="Q47" i="9"/>
  <c r="E47" i="9"/>
  <c r="F47" i="9" s="1"/>
  <c r="S46" i="9"/>
  <c r="R46" i="9"/>
  <c r="Q46" i="9"/>
  <c r="E46" i="9"/>
  <c r="F46" i="9" s="1"/>
  <c r="S45" i="9"/>
  <c r="R45" i="9"/>
  <c r="Q45" i="9"/>
  <c r="E45" i="9"/>
  <c r="F45" i="9" s="1"/>
  <c r="S44" i="9"/>
  <c r="R44" i="9"/>
  <c r="Q44" i="9"/>
  <c r="F44" i="9"/>
  <c r="E44" i="9"/>
  <c r="S43" i="9"/>
  <c r="R43" i="9"/>
  <c r="F43" i="9"/>
  <c r="E43" i="9"/>
  <c r="S42" i="9"/>
  <c r="R42" i="9"/>
  <c r="Q42" i="9"/>
  <c r="E42" i="9"/>
  <c r="F42" i="9" s="1"/>
  <c r="S41" i="9"/>
  <c r="R41" i="9"/>
  <c r="Q41" i="9"/>
  <c r="F41" i="9"/>
  <c r="E41" i="9"/>
  <c r="S40" i="9"/>
  <c r="R40" i="9"/>
  <c r="Q40" i="9"/>
  <c r="F40" i="9"/>
  <c r="E40" i="9"/>
  <c r="S39" i="9"/>
  <c r="R39" i="9"/>
  <c r="Q39" i="9"/>
  <c r="E39" i="9"/>
  <c r="F39" i="9" s="1"/>
  <c r="S38" i="9"/>
  <c r="R38" i="9"/>
  <c r="Q38" i="9"/>
  <c r="F38" i="9"/>
  <c r="E38" i="9"/>
  <c r="S37" i="9"/>
  <c r="R37" i="9"/>
  <c r="Q37" i="9"/>
  <c r="F37" i="9"/>
  <c r="E37" i="9"/>
  <c r="S36" i="9"/>
  <c r="R36" i="9"/>
  <c r="Q36" i="9"/>
  <c r="F36" i="9"/>
  <c r="E36" i="9"/>
  <c r="S35" i="9"/>
  <c r="R35" i="9"/>
  <c r="Q35" i="9"/>
  <c r="F35" i="9"/>
  <c r="E35" i="9"/>
  <c r="S34" i="9"/>
  <c r="R34" i="9"/>
  <c r="Q34" i="9"/>
  <c r="F34" i="9"/>
  <c r="E34" i="9"/>
  <c r="S33" i="9"/>
  <c r="R33" i="9"/>
  <c r="Q33" i="9"/>
  <c r="E33" i="9"/>
  <c r="F33" i="9" s="1"/>
  <c r="S32" i="9"/>
  <c r="R32" i="9"/>
  <c r="Q32" i="9"/>
  <c r="F32" i="9"/>
  <c r="E32" i="9"/>
  <c r="S31" i="9"/>
  <c r="R31" i="9"/>
  <c r="Q31" i="9"/>
  <c r="E31" i="9"/>
  <c r="F31" i="9" s="1"/>
  <c r="S30" i="9"/>
  <c r="R30" i="9"/>
  <c r="Q30" i="9"/>
  <c r="F30" i="9"/>
  <c r="E30" i="9"/>
  <c r="S29" i="9"/>
  <c r="R29" i="9"/>
  <c r="Q29" i="9"/>
  <c r="F29" i="9"/>
  <c r="E29" i="9"/>
  <c r="S28" i="9"/>
  <c r="R28" i="9"/>
  <c r="Q28" i="9"/>
  <c r="F28" i="9"/>
  <c r="E28" i="9"/>
  <c r="S27" i="9"/>
  <c r="R27" i="9"/>
  <c r="Q27" i="9"/>
  <c r="F27" i="9"/>
  <c r="E27" i="9"/>
  <c r="S26" i="9"/>
  <c r="R26" i="9"/>
  <c r="Q26" i="9"/>
  <c r="E26" i="9"/>
  <c r="F26" i="9" s="1"/>
  <c r="S25" i="9"/>
  <c r="R25" i="9"/>
  <c r="Q25" i="9"/>
  <c r="F25" i="9"/>
  <c r="E25" i="9"/>
  <c r="S24" i="9"/>
  <c r="R24" i="9"/>
  <c r="Q24" i="9"/>
  <c r="F24" i="9"/>
  <c r="E24" i="9"/>
  <c r="S23" i="9"/>
  <c r="R23" i="9"/>
  <c r="Q23" i="9"/>
  <c r="E23" i="9"/>
  <c r="F23" i="9" s="1"/>
  <c r="S22" i="9"/>
  <c r="R22" i="9"/>
  <c r="Q22" i="9"/>
  <c r="F22" i="9"/>
  <c r="E22" i="9"/>
  <c r="S21" i="9"/>
  <c r="R21" i="9"/>
  <c r="Q21" i="9"/>
  <c r="E21" i="9"/>
  <c r="F21" i="9" s="1"/>
  <c r="S20" i="9"/>
  <c r="R20" i="9"/>
  <c r="Q20" i="9"/>
  <c r="E20" i="9"/>
  <c r="F20" i="9" s="1"/>
  <c r="S19" i="9"/>
  <c r="R19" i="9"/>
  <c r="Q19" i="9"/>
  <c r="F19" i="9"/>
  <c r="E19" i="9"/>
  <c r="S18" i="9"/>
  <c r="R18" i="9"/>
  <c r="Q18" i="9"/>
  <c r="F18" i="9"/>
  <c r="E18" i="9"/>
  <c r="S17" i="9"/>
  <c r="R17" i="9"/>
  <c r="Q17" i="9"/>
  <c r="F17" i="9"/>
  <c r="E17" i="9"/>
  <c r="S16" i="9"/>
  <c r="R16" i="9"/>
  <c r="Q16" i="9"/>
  <c r="F16" i="9"/>
  <c r="E16" i="9"/>
  <c r="S15" i="9"/>
  <c r="R15" i="9"/>
  <c r="Q15" i="9"/>
  <c r="E15" i="9"/>
  <c r="F15" i="9" s="1"/>
  <c r="S14" i="9"/>
  <c r="R14" i="9"/>
  <c r="Q14" i="9"/>
  <c r="F14" i="9"/>
  <c r="E14" i="9"/>
  <c r="S13" i="9"/>
  <c r="R13" i="9"/>
  <c r="Q13" i="9"/>
  <c r="F13" i="9"/>
  <c r="E13" i="9"/>
  <c r="S12" i="9"/>
  <c r="R12" i="9"/>
  <c r="Q12" i="9"/>
  <c r="E12" i="9"/>
  <c r="F12" i="9" s="1"/>
  <c r="S11" i="9"/>
  <c r="R11" i="9"/>
  <c r="Q11" i="9"/>
  <c r="F11" i="9"/>
  <c r="E11" i="9"/>
  <c r="S10" i="9"/>
  <c r="R10" i="9"/>
  <c r="Q10" i="9"/>
  <c r="E10" i="9"/>
  <c r="F10" i="9" s="1"/>
  <c r="S9" i="9"/>
  <c r="R9" i="9"/>
  <c r="Q9" i="9"/>
  <c r="F9" i="9"/>
  <c r="E9" i="9"/>
  <c r="S8" i="9"/>
  <c r="R8" i="9"/>
  <c r="Q8" i="9"/>
  <c r="F8" i="9"/>
  <c r="E8" i="9"/>
  <c r="S7" i="9"/>
  <c r="R7" i="9"/>
  <c r="Q7" i="9"/>
  <c r="F7" i="9"/>
  <c r="E7" i="9"/>
  <c r="S6" i="9"/>
  <c r="R6" i="9"/>
  <c r="Q6" i="9"/>
  <c r="E6" i="9"/>
  <c r="F6" i="9" s="1"/>
  <c r="S5" i="9"/>
  <c r="R5" i="9"/>
  <c r="Q5" i="9"/>
  <c r="E5" i="9"/>
  <c r="F5" i="9" s="1"/>
  <c r="S4" i="9"/>
  <c r="R4" i="9"/>
  <c r="Q4" i="9"/>
  <c r="F4" i="9"/>
  <c r="E4" i="9"/>
  <c r="S3" i="9"/>
  <c r="R3" i="9"/>
  <c r="Q3" i="9"/>
  <c r="F3" i="9"/>
  <c r="E3" i="9"/>
  <c r="S2" i="9"/>
  <c r="R2" i="9"/>
  <c r="Q2" i="9"/>
  <c r="F2" i="9"/>
  <c r="E2" i="9"/>
  <c r="AB61" i="8" l="1"/>
  <c r="AB30" i="8"/>
  <c r="AB66" i="8"/>
  <c r="AB77" i="8"/>
  <c r="AB75" i="8"/>
  <c r="AB73" i="8"/>
  <c r="AB71" i="8"/>
  <c r="AB68" i="8"/>
  <c r="AB64" i="8"/>
  <c r="AB62" i="8"/>
  <c r="AB60" i="8"/>
  <c r="AB58" i="8"/>
  <c r="AB56" i="8"/>
  <c r="AB53" i="8"/>
  <c r="AB51" i="8"/>
  <c r="AB48" i="8"/>
  <c r="AB46" i="8"/>
  <c r="AB44" i="8"/>
  <c r="AB42" i="8"/>
  <c r="AB40" i="8"/>
  <c r="AB38" i="8"/>
  <c r="AB37" i="8"/>
  <c r="AB35" i="8"/>
  <c r="AB34" i="8"/>
  <c r="AB32" i="8"/>
  <c r="AB28" i="8"/>
  <c r="AB26" i="8"/>
  <c r="AB24" i="8"/>
  <c r="AB22" i="8"/>
  <c r="AB20" i="8"/>
  <c r="AB18" i="8"/>
  <c r="AB16" i="8"/>
  <c r="AB14" i="8"/>
  <c r="AB12" i="8"/>
  <c r="AB10" i="8"/>
  <c r="AB8" i="8"/>
  <c r="AB5" i="8"/>
  <c r="AB2" i="8"/>
  <c r="AB63" i="8"/>
  <c r="AB50" i="8"/>
  <c r="AB33" i="8"/>
  <c r="AB3" i="8"/>
  <c r="AB78" i="8"/>
  <c r="AB74" i="8"/>
  <c r="AB70" i="8"/>
  <c r="AB67" i="8"/>
  <c r="AB57" i="8"/>
  <c r="AB54" i="8"/>
  <c r="AB47" i="8"/>
  <c r="AB43" i="8"/>
  <c r="AB39" i="8"/>
  <c r="AB36" i="8"/>
  <c r="AB29" i="8"/>
  <c r="AB27" i="8"/>
  <c r="AB25" i="8"/>
  <c r="AB23" i="8"/>
  <c r="AB21" i="8"/>
  <c r="AB19" i="8"/>
  <c r="AB17" i="8"/>
  <c r="AB15" i="8"/>
  <c r="AB13" i="8"/>
  <c r="AB11" i="8"/>
  <c r="AB9" i="8"/>
  <c r="AB7" i="8"/>
  <c r="AB6" i="8"/>
  <c r="AB4" i="8"/>
  <c r="AB76" i="8"/>
  <c r="AB72" i="8"/>
  <c r="AB69" i="8"/>
  <c r="AB65" i="8"/>
  <c r="AB59" i="8"/>
  <c r="AB55" i="8"/>
  <c r="AB52" i="8"/>
  <c r="AB49" i="8"/>
  <c r="AB45" i="8"/>
  <c r="AB41" i="8"/>
  <c r="AB31" i="8"/>
</calcChain>
</file>

<file path=xl/sharedStrings.xml><?xml version="1.0" encoding="utf-8"?>
<sst xmlns="http://schemas.openxmlformats.org/spreadsheetml/2006/main" count="8430" uniqueCount="3576">
  <si>
    <t>Brownswood Park (St John the Evangelist)</t>
  </si>
  <si>
    <t>Clapton (St James)</t>
  </si>
  <si>
    <t>Clapton, Upper (St Matthew)</t>
  </si>
  <si>
    <t>Stamford Hill (St Thomas)</t>
  </si>
  <si>
    <t>Dalston (Holy Trinity) with St Philip and Haggerston All Saints</t>
  </si>
  <si>
    <t>Dalston (St Mark with St Bartholomew)</t>
  </si>
  <si>
    <t>De Beauvoir Town (St Peter)</t>
  </si>
  <si>
    <t>Hackney Marsh (All Souls)</t>
  </si>
  <si>
    <t>St Barnabas, Homerton</t>
  </si>
  <si>
    <t>Hackney Wick (St Mary of Eton)</t>
  </si>
  <si>
    <t>Hackney, South (St John of Jerusalem) with Christ Church</t>
  </si>
  <si>
    <t>Hackney, South (St Michael and All Angels) London Fields with Haggerston St Paul</t>
  </si>
  <si>
    <t>Hackney, West (St Paul)</t>
  </si>
  <si>
    <t>St Paul, West Hackney</t>
  </si>
  <si>
    <t>Haggerston (St Chad)</t>
  </si>
  <si>
    <t>Hoxton (Holy Trinity) (St Mary)</t>
  </si>
  <si>
    <t>Hoxton (St Anne) (St Columba)</t>
  </si>
  <si>
    <t>Grace Church Hackney</t>
  </si>
  <si>
    <t>Hoxton (St John the Baptist) with Ch Ch</t>
  </si>
  <si>
    <t>Shoreditch (St Leonard) with St Michael</t>
  </si>
  <si>
    <t>Stamford Hill (St Bartholomew)</t>
  </si>
  <si>
    <t>Stoke Newington (St Andrew)</t>
  </si>
  <si>
    <t>Stoke Newington (St Mary) (Old Parish Church)</t>
  </si>
  <si>
    <t>Stoke Newington (St Olave)</t>
  </si>
  <si>
    <t>Stoke Newington Common (St Michael and All Angels)</t>
  </si>
  <si>
    <t>Stoke Newington St Faith (St Matthias) and All Saints</t>
  </si>
  <si>
    <t>All Saints Haggerston</t>
  </si>
  <si>
    <t>Church</t>
  </si>
  <si>
    <t>ChurchWebsite</t>
  </si>
  <si>
    <t>Hackney</t>
  </si>
  <si>
    <t>Bethnal Green (St Barnabas)</t>
  </si>
  <si>
    <t>Bethnal Green (St James the Less)</t>
  </si>
  <si>
    <t>Bethnal Green (St Matthew with St James the Great)</t>
  </si>
  <si>
    <t>Bethnal Green (St Peter) (St Thomas)</t>
  </si>
  <si>
    <t>Bow (St Mary) &amp; Holy Trinity with Bromley St Leonard</t>
  </si>
  <si>
    <t>St Mary and Holy Trinity, Bow</t>
  </si>
  <si>
    <t>Bow Common (St Paul)</t>
  </si>
  <si>
    <t>Bromley By Bow (All Hallows)</t>
  </si>
  <si>
    <t>Isle of Dogs (Christ Church and St John) (St Luke)</t>
  </si>
  <si>
    <t>Limehouse (St Anne) (St Peter)</t>
  </si>
  <si>
    <t>St Anne, Limehouse</t>
  </si>
  <si>
    <t>London Docks (St Peter) with Wapping St John</t>
  </si>
  <si>
    <t>Old Ford (St Paul) (St Mark)</t>
  </si>
  <si>
    <t>Shadwell (St Paul) with Ratcliffe St James</t>
  </si>
  <si>
    <t>Spitalfields (Christ Church with All Saints)</t>
  </si>
  <si>
    <t>St George-In-The-East (St Mary)</t>
  </si>
  <si>
    <t>St George-In-The-East with St Paul</t>
  </si>
  <si>
    <t>St John On Bethnal Green</t>
  </si>
  <si>
    <t>St John on Bethnal Green</t>
  </si>
  <si>
    <t>Stepney (St Dunstan and All Saints)</t>
  </si>
  <si>
    <t>TowerHamlets</t>
  </si>
  <si>
    <t>The Church on the Corner</t>
  </si>
  <si>
    <t>Canonbury (St Stephen)</t>
  </si>
  <si>
    <t>Clerkenwell (Our Most Holy Redeemer)</t>
  </si>
  <si>
    <t>Clerkenwell (St Mark)</t>
  </si>
  <si>
    <t>Trinity Church Islington</t>
  </si>
  <si>
    <t>Finsbury (St Clement) (St Barnabas) (St Matthew)</t>
  </si>
  <si>
    <t>Finsbury Park (St Thomas)</t>
  </si>
  <si>
    <t>Highbury (Christ Church) (St John) (St Saviour)</t>
  </si>
  <si>
    <t>Highbury New Park (St Augustine)</t>
  </si>
  <si>
    <t>Holloway, West (St Luke)</t>
  </si>
  <si>
    <t>Hornsey Rise (St Mary)</t>
  </si>
  <si>
    <t>Whitehall Park (St Andrew)</t>
  </si>
  <si>
    <t>Holloway, Upper (St John the Evangelist)</t>
  </si>
  <si>
    <t>St John the Evangelist, Upper Holloway</t>
  </si>
  <si>
    <t>Islington (St James the Apostle) (St Peter)</t>
  </si>
  <si>
    <t>Islington (St Mary)</t>
  </si>
  <si>
    <t>Mildmay Grove (St Jude and St Paul)</t>
  </si>
  <si>
    <t>Pentonville (St Silas with All Saints) (St James)</t>
  </si>
  <si>
    <t>Tollington (St Mark)</t>
  </si>
  <si>
    <t>Tufnell Park (St George and All Saints)</t>
  </si>
  <si>
    <t>Islington</t>
  </si>
  <si>
    <t>ElectoralRoll</t>
  </si>
  <si>
    <t>TotalIncome</t>
  </si>
  <si>
    <t>CommonFundPayment</t>
  </si>
  <si>
    <t>Deanery summary information</t>
  </si>
  <si>
    <t>WikipediaPageForChurch</t>
  </si>
  <si>
    <t/>
  </si>
  <si>
    <t>http://www.stmarkdalston.org.uk/</t>
  </si>
  <si>
    <t>http://www.shoreditchchurch.org.uk/</t>
  </si>
  <si>
    <t>https://www.st-matthews.co.uk/</t>
  </si>
  <si>
    <t>http://stlukesmillwall.org/</t>
  </si>
  <si>
    <t>https://barnsburyparish.com/</t>
  </si>
  <si>
    <t>http://www.tollingtonparish.org.uk/</t>
  </si>
  <si>
    <t>https://en.wikipedia.org/wiki/St_John_the_Baptist,_Hoxton</t>
  </si>
  <si>
    <t>https://en.wikipedia.org/wiki/St_Leonard%27s,_Shoreditch</t>
  </si>
  <si>
    <t>https://en.wikipedia.org/wiki/St_Andrew,_Stoke_Newington</t>
  </si>
  <si>
    <t>https://en.wikipedia.org/wiki/St_Matthias%27_Church,_Stoke_Newington</t>
  </si>
  <si>
    <t>https://en.wikipedia.org/wiki/Our_Most_Holy_Redeemer</t>
  </si>
  <si>
    <t>https://en.wikipedia.org/wiki/St_Mark%27s_Church,_Myddelton_Square</t>
  </si>
  <si>
    <t>https://en.wikipedia.org/wiki/St_Clement%27s,_King_Square</t>
  </si>
  <si>
    <t>https://en.wikipedia.org/wiki/Christ_Church_Highbury</t>
  </si>
  <si>
    <t>https://en.wikipedia.org/wiki/St_James%27_Church,_Islington</t>
  </si>
  <si>
    <t>https://en.wikipedia.org/wiki/St_Mary%27s_Church,_Islington</t>
  </si>
  <si>
    <t>https://en.wikipedia.org/wiki/St_Barnabas%27s,_Bethnal_Green</t>
  </si>
  <si>
    <t>https://en.wikipedia.org/wiki/St_James-the-Less,_Bethnal_Green</t>
  </si>
  <si>
    <t>https://en.wikipedia.org/wiki/St_Matthew%27s,_Bethnal_Green</t>
  </si>
  <si>
    <t>https://en.wikipedia.org/wiki/St_Peter%27s,_Bethnal_Green</t>
  </si>
  <si>
    <t>https://en.wikipedia.org/wiki/Bow_Church</t>
  </si>
  <si>
    <t>https://en.wikipedia.org/wiki/St_Paul%27s,_Bow_Common</t>
  </si>
  <si>
    <t>https://en.wikipedia.org/wiki/All_Hallows,_Bow</t>
  </si>
  <si>
    <t>https://en.wikipedia.org/wiki/St_Anne%27s,_Limehouse</t>
  </si>
  <si>
    <t>https://en.wikipedia.org/wiki/St_Peter%27s,_London_Docks</t>
  </si>
  <si>
    <t>https://en.wikipedia.org/wiki/St_Paul_Old_Ford</t>
  </si>
  <si>
    <t>https://en.wikipedia.org/wiki/St_Paul%27s_Church,_Shadwell</t>
  </si>
  <si>
    <t>https://en.wikipedia.org/wiki/Christ_Church,_Spitalfields</t>
  </si>
  <si>
    <t>https://en.wikipedia.org/wiki/St_George_in_the_East,_Stepney</t>
  </si>
  <si>
    <t>https://en.wikipedia.org/wiki/St_John_on_Bethnal_Green</t>
  </si>
  <si>
    <t>WikipediaPageBeneficeOrLocality</t>
  </si>
  <si>
    <t>https://en.wikipedia.org/wiki/Upper_Clapton</t>
  </si>
  <si>
    <t>https://en.wikipedia.org/wiki/Stamford_Hill</t>
  </si>
  <si>
    <t>https://en.wikipedia.org/wiki/Dalston</t>
  </si>
  <si>
    <t>https://en.wikipedia.org/wiki/De_Beauvoir_Town</t>
  </si>
  <si>
    <t>https://en.wikipedia.org/wiki/Hackney_Wick</t>
  </si>
  <si>
    <t>https://en.wikipedia.org/wiki/South_Hackney</t>
  </si>
  <si>
    <t>https://en.wikipedia.org/wiki/West_Hackney</t>
  </si>
  <si>
    <t>https://en.wikipedia.org/wiki/Haggerston</t>
  </si>
  <si>
    <t>https://en.wikipedia.org/wiki/Hoxton</t>
  </si>
  <si>
    <t>https://en.wikipedia.org/wiki/Shoreditch</t>
  </si>
  <si>
    <t>https://en.wikipedia.org/wiki/Stoke_Newington</t>
  </si>
  <si>
    <t>https://en.wikipedia.org/wiki/Stoke_Newington_Common</t>
  </si>
  <si>
    <t>https://en.wikipedia.org/wiki/Canonbury</t>
  </si>
  <si>
    <t>https://en.wikipedia.org/wiki/Clerkenwell</t>
  </si>
  <si>
    <t>https://en.wikipedia.org/wiki/Finsbury</t>
  </si>
  <si>
    <t>https://en.wikipedia.org/wiki/Finsbury_Park_(area)</t>
  </si>
  <si>
    <t>https://en.wikipedia.org/wiki/Highbury</t>
  </si>
  <si>
    <t>https://en.wikipedia.org/wiki/Highbury_New_Park</t>
  </si>
  <si>
    <t>https://en.wikipedia.org/wiki/Hornsey</t>
  </si>
  <si>
    <t>https://en.wikipedia.org/wiki/Upper_Holloway</t>
  </si>
  <si>
    <t>https://en.wikipedia.org/wiki/Islington</t>
  </si>
  <si>
    <t>https://en.wikipedia.org/wiki/Pentonville</t>
  </si>
  <si>
    <t>https://en.wikipedia.org/wiki/Tollington_(ward)</t>
  </si>
  <si>
    <t>https://en.wikipedia.org/wiki/Tufnell_Park</t>
  </si>
  <si>
    <t>https://en.wikipedia.org/wiki/Bethnal_Green</t>
  </si>
  <si>
    <t>https://en.wikipedia.org/wiki/Bow,_London</t>
  </si>
  <si>
    <t>https://en.wikipedia.org/wiki/Bow_Common</t>
  </si>
  <si>
    <t>https://en.wikipedia.org/wiki/Bromley-by-Bow</t>
  </si>
  <si>
    <t>https://en.wikipedia.org/wiki/Isle_of_Dogs</t>
  </si>
  <si>
    <t>https://en.wikipedia.org/wiki/Limehouse</t>
  </si>
  <si>
    <t>https://en.wikipedia.org/wiki/London_Docks</t>
  </si>
  <si>
    <t>https://en.wikipedia.org/wiki/Old_Ford</t>
  </si>
  <si>
    <t>https://en.wikipedia.org/wiki/Shadwell</t>
  </si>
  <si>
    <t>https://en.wikipedia.org/wiki/Spitalfields</t>
  </si>
  <si>
    <t>https://en.wikipedia.org/wiki/St_George_in_the_East_(parish)</t>
  </si>
  <si>
    <t>https://en.wikipedia.org/wiki/Stepney</t>
  </si>
  <si>
    <t>https://www.crockford.org.uk/places/12504/the-benefice-of-brownswood-park-(st-john-the-evangelist)</t>
  </si>
  <si>
    <t>https://www.crockford.org.uk/places/12523/the-benefice-of-clapton-(st-james)</t>
  </si>
  <si>
    <t>https://www.crockford.org.uk/places/13070/the-benefice-of-clapton,-upper-(st-matthew)</t>
  </si>
  <si>
    <t>https://www.crockford.org.uk/places/13020/the-benefice-of-stamford-hill-(st-thomas)</t>
  </si>
  <si>
    <t>https://www.crockford.org.uk/places/12544/the-benefice-of-dalston-(holy-trinity)-with-st-philip-and-haggerston-all-saints</t>
  </si>
  <si>
    <t>https://www.crockford.org.uk/places/12545/the-benefice-of-dalston-(st-mark-with-st-bartholomew)</t>
  </si>
  <si>
    <t>https://www.crockford.org.uk/places/12547/the-benefice-of-de-beauvoir-town-(st-peter)</t>
  </si>
  <si>
    <t>https://www.crockford.org.uk/places/12627/the-benefice-of-hackney-marsh-(all-souls)</t>
  </si>
  <si>
    <t>https://www.crockford.org.uk/places/12628/the-benefice-of-hackney-wick-(st-mary-of-eton)</t>
  </si>
  <si>
    <t>https://www.crockford.org.uk/places/12982/the-benefice-of-hackney,-south-(st-john-of-jerusalem)-with-christ-church</t>
  </si>
  <si>
    <t>https://www.crockford.org.uk/places/12984/the-benefice-of-hackney,-south-(st-michael-and-all-angels)-london-fields-with-haggerston-st-paul</t>
  </si>
  <si>
    <t>https://www.crockford.org.uk/places/13099/the-benefice-of-hackney,-west-(st-paul)</t>
  </si>
  <si>
    <t>https://www.crockford.org.uk/places/12633/the-benefice-of-haggerston-(st-chad)</t>
  </si>
  <si>
    <t>https://www.crockford.org.uk/places/12735/the-benefice-of-hoxton-(holy-trinity)-(st-mary)</t>
  </si>
  <si>
    <t>https://www.crockford.org.uk/places/12738/the-benefice-of-hoxton-(st-anne)-(st-columba)</t>
  </si>
  <si>
    <t>https://www.crockford.org.uk/places/12741/the-benefice-of-hoxton-(st-john-the-baptist)-with-ch-ch</t>
  </si>
  <si>
    <t>https://www.crockford.org.uk/places/12977/the-benefice-of-shoreditch-(st-leonard)-with-st-michael</t>
  </si>
  <si>
    <t>https://www.crockford.org.uk/places/13018/the-benefice-of-stamford-hill-(st-bartholomew)</t>
  </si>
  <si>
    <t>https://www.crockford.org.uk/places/13028/the-benefice-of-stoke-newington-(st-andrew)</t>
  </si>
  <si>
    <t>https://www.crockford.org.uk/places/13030/the-benefice-of-stoke-newington-(st-mary)-(old-parish-church)</t>
  </si>
  <si>
    <t>https://www.crockford.org.uk/places/13031/the-benefice-of-stoke-newington-(st-olave)</t>
  </si>
  <si>
    <t>https://www.crockford.org.uk/places/13032/the-benefice-of-stoke-newington-common-(st-michael-and-all-angels)</t>
  </si>
  <si>
    <t>https://www.crockford.org.uk/places/13029/the-benefice-of-stoke-newington-st-faith-(st-matthias)-and-all-saints</t>
  </si>
  <si>
    <t>https://www.crockford.org.uk/places/12509/the-benefice-of-canonbury-(st-stephen)</t>
  </si>
  <si>
    <t>https://www.crockford.org.uk/places/12530/the-benefice-of-clerkenwell-(our-most-holy-redeemer)</t>
  </si>
  <si>
    <t>https://www.crockford.org.uk/places/12532/the-benefice-of-clerkenwell-(st-mark)</t>
  </si>
  <si>
    <t>https://www.crockford.org.uk/places/12592/the-benefice-of-finsbury-(st-clement)-(st-barnabas)-(st-matthew)</t>
  </si>
  <si>
    <t>https://www.crockford.org.uk/places/12593/the-benefice-of-finsbury-park-(st-thomas)</t>
  </si>
  <si>
    <t>https://www.crockford.org.uk/places/12696/the-benefice-of-highbury-(christ-church)-(st-john)-(st-saviour)</t>
  </si>
  <si>
    <t>https://www.crockford.org.uk/places/12698/the-benefice-of-highbury-new-park-(st-augustine)</t>
  </si>
  <si>
    <t>https://www.crockford.org.uk/places/13108/the-benefice-of-holloway,-west-(st-luke)</t>
  </si>
  <si>
    <t>https://www.crockford.org.uk/places/12728/the-benefice-of-hornsey-rise-(st-mary)</t>
  </si>
  <si>
    <t>https://www.crockford.org.uk/places/13123/the-benefice-of-whitehall-park-(st-andrew)</t>
  </si>
  <si>
    <t>https://www.crockford.org.uk/places/13074/the-benefice-of-holloway,-upper-(st-john-the-evangelist)</t>
  </si>
  <si>
    <t>https://www.crockford.org.uk/places/12752/the-benefice-of-islington-(st-james-the-apostle)-(st-peter)</t>
  </si>
  <si>
    <t>https://www.crockford.org.uk/places/12755/the-benefice-of-islington-(st-mary)</t>
  </si>
  <si>
    <t>https://www.crockford.org.uk/places/12834/the-benefice-of-mildmay-grove-(st-jude-and-st-paul)</t>
  </si>
  <si>
    <t>https://www.crockford.org.uk/places/12911/the-benefice-of-pentonville-(st-silas-with-all-saints)-(st-james)</t>
  </si>
  <si>
    <t>https://www.crockford.org.uk/places/13044/the-benefice-of-tollington-(st-mark)</t>
  </si>
  <si>
    <t>https://www.crockford.org.uk/places/13058/the-benefice-of-tufnell-park-(st-george-and-all-saints)</t>
  </si>
  <si>
    <t>https://www.crockford.org.uk/places/12472/the-benefice-of-bethnal-green-(st-barnabas)</t>
  </si>
  <si>
    <t>https://www.crockford.org.uk/places/12476/the-benefice-of-bethnal-green-(st-james-the-less)</t>
  </si>
  <si>
    <t>https://www.crockford.org.uk/places/12481/the-benefice-of-bethnal-green-(st-matthew-with-st-james-the-great)</t>
  </si>
  <si>
    <t>https://www.crockford.org.uk/places/12482/the-benefice-of-bethnal-green-(st-peter)-(st-thomas)</t>
  </si>
  <si>
    <t>https://www.crockford.org.uk/places/12488/the-benefice-of-bow-(st-mary)-and-holy-trinity-with-bromley-st-leonard</t>
  </si>
  <si>
    <t>https://www.crockford.org.uk/places/12489/the-benefice-of-bow-common-(st-paul)</t>
  </si>
  <si>
    <t>https://www.crockford.org.uk/places/12496/the-benefice-of-bromley-by-bow-(all-hallows)</t>
  </si>
  <si>
    <t>https://www.crockford.org.uk/places/12743/the-benefice-of-isle-of-dogs-(christ-church-and-st-john)-(st-luke)</t>
  </si>
  <si>
    <t>https://www.crockford.org.uk/places/12794/the-benefice-of-limehouse-(st-anne)-(st-peter)</t>
  </si>
  <si>
    <t>https://www.crockford.org.uk/places/12828/the-benefice-of-london-docks-(st-peter)-with-wapping-st-john</t>
  </si>
  <si>
    <t>https://www.crockford.org.uk/places/12886/the-benefice-of-old-ford-(st-paul)-(st-mark)</t>
  </si>
  <si>
    <t>https://www.crockford.org.uk/places/12969/the-benefice-of-shadwell-(st-paul)-with-ratcliffe-st-james</t>
  </si>
  <si>
    <t>https://www.crockford.org.uk/places/13008/the-benefice-of-spitalfields-(christ-church-with-all-saints)</t>
  </si>
  <si>
    <t>https://www.crockford.org.uk/places/12947/the-benefice-of-st-george-in-the-east-(st-mary)</t>
  </si>
  <si>
    <t>https://www.crockford.org.uk/places/12946/the-benefice-of-st-george-in-the-east-with-st-paul</t>
  </si>
  <si>
    <t>https://www.crockford.org.uk/places/12479/the-benefice-of-st-john-on-bethnal-green</t>
  </si>
  <si>
    <t>https://www.crockford.org.uk/places/13024/the-benefice-of-stepney-(st-dunstan-and-all-saints)</t>
  </si>
  <si>
    <t>Latitude</t>
  </si>
  <si>
    <t>Longitude</t>
  </si>
  <si>
    <t>Postcode</t>
  </si>
  <si>
    <t>$Church$</t>
  </si>
  <si>
    <t>Wikipedia page for church</t>
  </si>
  <si>
    <t>Website for group ministry</t>
  </si>
  <si>
    <t>LinkFrom</t>
  </si>
  <si>
    <t>LinkTo</t>
  </si>
  <si>
    <t>End of table</t>
  </si>
  <si>
    <t>$Benefice$</t>
  </si>
  <si>
    <t>Configuration details</t>
  </si>
  <si>
    <t>PopupDetails</t>
  </si>
  <si>
    <t>Deanery</t>
  </si>
  <si>
    <t>N4 2LW</t>
  </si>
  <si>
    <t>E5 9EN</t>
  </si>
  <si>
    <t>E5 9BW</t>
  </si>
  <si>
    <t>E8 2LJ</t>
  </si>
  <si>
    <t>N1 4DA</t>
  </si>
  <si>
    <t>E9 6DL</t>
  </si>
  <si>
    <t>E5 0AJ</t>
  </si>
  <si>
    <t>E9 5JA</t>
  </si>
  <si>
    <t>E9 7EY</t>
  </si>
  <si>
    <t>E8 3ER</t>
  </si>
  <si>
    <t>N16 7UY</t>
  </si>
  <si>
    <t>N1 5LF</t>
  </si>
  <si>
    <t>N1 6NP</t>
  </si>
  <si>
    <t>E1 6JN</t>
  </si>
  <si>
    <t>N15 6AA</t>
  </si>
  <si>
    <t>N16 9ES</t>
  </si>
  <si>
    <t>N4 2TW</t>
  </si>
  <si>
    <t>N16 8DD</t>
  </si>
  <si>
    <t>N1 1BQ</t>
  </si>
  <si>
    <t>N1 0ES</t>
  </si>
  <si>
    <t>N1 2DF</t>
  </si>
  <si>
    <t>EC1R 0EA</t>
  </si>
  <si>
    <t>EC1R 1XX</t>
  </si>
  <si>
    <t>EC1V 8DA</t>
  </si>
  <si>
    <t>N4 2QP</t>
  </si>
  <si>
    <t>N5 1SA</t>
  </si>
  <si>
    <t>N5 2DR</t>
  </si>
  <si>
    <t>N7 9JE</t>
  </si>
  <si>
    <t>N7 8AB</t>
  </si>
  <si>
    <t>N19 3AD</t>
  </si>
  <si>
    <t>N19 3TN</t>
  </si>
  <si>
    <t>N1 2TX</t>
  </si>
  <si>
    <t>N1 9UL</t>
  </si>
  <si>
    <t>N4 3LD</t>
  </si>
  <si>
    <t>N7 6DU</t>
  </si>
  <si>
    <t>N7 0ND</t>
  </si>
  <si>
    <t>E2 9JD</t>
  </si>
  <si>
    <t>E2 7AE</t>
  </si>
  <si>
    <t>E3 4AR</t>
  </si>
  <si>
    <t>E3 3PX</t>
  </si>
  <si>
    <t>E14 3BN</t>
  </si>
  <si>
    <t>E14 8LH</t>
  </si>
  <si>
    <t>E14 7HA</t>
  </si>
  <si>
    <t>E1W 2RW</t>
  </si>
  <si>
    <t>E3 5JL</t>
  </si>
  <si>
    <t>E14 0EY</t>
  </si>
  <si>
    <t>E14 0PT</t>
  </si>
  <si>
    <t>E1W 3DH</t>
  </si>
  <si>
    <t>E1 6LY</t>
  </si>
  <si>
    <t>E1 0BQ</t>
  </si>
  <si>
    <t>E1 0BH</t>
  </si>
  <si>
    <t>E1 0NR</t>
  </si>
  <si>
    <t>N1 8PF</t>
  </si>
  <si>
    <t>E3 5TG</t>
  </si>
  <si>
    <t>E2 6DT</t>
  </si>
  <si>
    <t>E5 8EG</t>
  </si>
  <si>
    <t>E8 4EP</t>
  </si>
  <si>
    <t>E8 4EZ</t>
  </si>
  <si>
    <t>E2 8JR</t>
  </si>
  <si>
    <t>N1 7QG</t>
  </si>
  <si>
    <t>N16 5DU</t>
  </si>
  <si>
    <t>N16 7ED</t>
  </si>
  <si>
    <t>N19 5RR</t>
  </si>
  <si>
    <t>E3 3AH</t>
  </si>
  <si>
    <t>E2 9PA</t>
  </si>
  <si>
    <t>N1 4PL</t>
  </si>
  <si>
    <t>https://www.london.anglican.org/directory/st-john-at-hackney/</t>
  </si>
  <si>
    <t>Parish of Hackney</t>
  </si>
  <si>
    <t>https://www.london.anglican.org/directory/st-matthew-upper-clapton/</t>
  </si>
  <si>
    <t>St Matthew Upper Clapton</t>
  </si>
  <si>
    <t>https://www.london.anglican.org/directory/st-thomas-clapton-common/</t>
  </si>
  <si>
    <t>St Thomas Clapton Common</t>
  </si>
  <si>
    <t>https://www.london.anglican.org/directory/holy-trinity-dalston-with-all-saints-haggerston/</t>
  </si>
  <si>
    <t>Holy Trinity Dalston with All Saints Haggerston</t>
  </si>
  <si>
    <t>https://www.london.anglican.org/directory/holy-trinity-dalston/</t>
  </si>
  <si>
    <t>Holy Trinity Dalston</t>
  </si>
  <si>
    <t>https://www.london.anglican.org/directory/all-saints-haggerston/</t>
  </si>
  <si>
    <t>https://www.london.anglican.org/directory/st-mark-dalston/</t>
  </si>
  <si>
    <t>St Mark Dalston</t>
  </si>
  <si>
    <t>https://www.london.anglican.org/directory/st-barnabas-homerton-hackney-marsh-team-ministry/</t>
  </si>
  <si>
    <t>https://www.london.anglican.org/directory/all-souls-clapton-park-hackney-marsh-team-ministry/</t>
  </si>
  <si>
    <t>https://www.london.anglican.org/directory/christchurch-on-the-mead-hackney-marsh-team-ministry/</t>
  </si>
  <si>
    <t>https://www.london.anglican.org/directory/st-john-of-jerusalem-south-hackney/</t>
  </si>
  <si>
    <t>St John of Jerusalem South Hackney</t>
  </si>
  <si>
    <t>https://www.london.anglican.org/directory/st-mary-of-eton-hackney/</t>
  </si>
  <si>
    <t>St Mary of Eton Hackney</t>
  </si>
  <si>
    <t>https://www.london.anglican.org/directory/st-michael-all-angels-london-fields/</t>
  </si>
  <si>
    <t>https://www.london.anglican.org/directory/st-paul-west-hackney/</t>
  </si>
  <si>
    <t>https://www.london.anglican.org/directory/st-peter-de-beauvoir-town/</t>
  </si>
  <si>
    <t>St Peter De Beauvoir Town</t>
  </si>
  <si>
    <t>https://www.london.anglican.org/directory/st-mary-stoke-newington/</t>
  </si>
  <si>
    <t>St Mary Stoke Newington</t>
  </si>
  <si>
    <t>https://www.london.anglican.org/directory/st-andrew-stoke-newington/</t>
  </si>
  <si>
    <t>St Andrew Stoke Newington</t>
  </si>
  <si>
    <t>https://www.london.anglican.org/directory/st-matthias-stoke-newington/</t>
  </si>
  <si>
    <t>St Matthias Stoke Newington</t>
  </si>
  <si>
    <t>https://www.london.anglican.org/directory/st-michael-all-angels-stoke-newington-common/</t>
  </si>
  <si>
    <t>https://www.london.anglican.org/directory/st-olave-woodberry-down/</t>
  </si>
  <si>
    <t>St Olave Woodberry Down</t>
  </si>
  <si>
    <t>https://www.london.anglican.org/directory/st-john-the-evangelist-brownswood-park/</t>
  </si>
  <si>
    <t>St John the Evangelist Brownswood Park</t>
  </si>
  <si>
    <t>https://www.london.anglican.org/directory/st-leonard-shoreditch/</t>
  </si>
  <si>
    <t>St Leonard Shoreditch</t>
  </si>
  <si>
    <t>https://www.london.anglican.org/directory/st-anne-hoxton/</t>
  </si>
  <si>
    <t>St Anne Hoxton</t>
  </si>
  <si>
    <t>https://www.london.anglican.org/directory/holy-trinity-hoxton/</t>
  </si>
  <si>
    <t>Holy Trinity Hoxton</t>
  </si>
  <si>
    <t>https://www.london.anglican.org/directory/st-john-the-baptist-hoxton/</t>
  </si>
  <si>
    <t>St John the Baptist Hoxton</t>
  </si>
  <si>
    <t>https://www.london.anglican.org/directory/st-chad-haggerston/</t>
  </si>
  <si>
    <t>St Chad Haggerston</t>
  </si>
  <si>
    <t>https://www.london.anglican.org/directory/st-bartholomew-stamford-hill/</t>
  </si>
  <si>
    <t>St Bartholomew Stamford Hill</t>
  </si>
  <si>
    <t>https://www.london.anglican.org/directory/st-james-clapton/</t>
  </si>
  <si>
    <t>St James Clapton</t>
  </si>
  <si>
    <t>https://www.london.anglican.org/directory/st-barnabas-dalston/</t>
  </si>
  <si>
    <t>St Barnabas Dalston</t>
  </si>
  <si>
    <t>https://www.london.anglican.org/directory/grace-church-hackney/</t>
  </si>
  <si>
    <t>https://www.london.anglican.org/directory/sisters-of-the-society-of-st-margaret/</t>
  </si>
  <si>
    <t>Sisters of the Society of St Margaret</t>
  </si>
  <si>
    <t>https://www.london.anglican.org/directory/st-josephs-hospice/</t>
  </si>
  <si>
    <t>https://www.london.anglican.org/directory/homerton-university-hospital-nhs-foundation/</t>
  </si>
  <si>
    <t>Homerton University Hospital NHS Foundation</t>
  </si>
  <si>
    <t>https://www.london.anglican.org/directory/st-mary-islington/</t>
  </si>
  <si>
    <t>St Mary Islington</t>
  </si>
  <si>
    <t>https://www.london.anglican.org/directory/st-andrew-whitehall-park/</t>
  </si>
  <si>
    <t>St Andrew Whitehall Park</t>
  </si>
  <si>
    <t>https://www.london.anglican.org/directory/the-barnsbury-team/</t>
  </si>
  <si>
    <t>The Barnsbury Team</t>
  </si>
  <si>
    <t>https://www.london.anglican.org/directory/st-andrew-thornhill-square-the-barnsbury-team/</t>
  </si>
  <si>
    <t>https://www.london.anglican.org/directory/all-saints-caledonian-road-the-barnsbury-team/</t>
  </si>
  <si>
    <t>https://www.london.anglican.org/directory/the-church-on-the-corner-the-barnsbury-team/</t>
  </si>
  <si>
    <t>https://www.london.anglican.org/directory/st-augustine-highbury-new-park/</t>
  </si>
  <si>
    <t>St Augustine Highbury New Park</t>
  </si>
  <si>
    <t>https://www.london.anglican.org/directory/christ-church-highbury/</t>
  </si>
  <si>
    <t>Christ Church Highbury</t>
  </si>
  <si>
    <t>https://www.london.anglican.org/directory/st-george-all-saints-tufnell-park/</t>
  </si>
  <si>
    <t>https://www.london.anglican.org/directory/st-james-islington/</t>
  </si>
  <si>
    <t>St James Islington</t>
  </si>
  <si>
    <t>https://www.london.anglican.org/directory/st-jude-and-st-paul-mildmay-grove/</t>
  </si>
  <si>
    <t>St Jude and St Paul Mildmay Grove</t>
  </si>
  <si>
    <t>https://www.london.anglican.org/directory/st-luke-west-holloway/</t>
  </si>
  <si>
    <t>St Luke West Holloway</t>
  </si>
  <si>
    <t>https://www.london.anglican.org/directory/the-parish-of-tollington-st-mark-emmanuel-st-saviour/</t>
  </si>
  <si>
    <t>St Mark, Tollington Park</t>
  </si>
  <si>
    <t>https://www.london.anglican.org/directory/st-mary-hornsey-rise/</t>
  </si>
  <si>
    <t>St Mary Hornsey Rise</t>
  </si>
  <si>
    <t>https://www.london.anglican.org/directory/hope-church-islington/</t>
  </si>
  <si>
    <t>Hope Church Islington</t>
  </si>
  <si>
    <t>https://www.london.anglican.org/directory/nags-head-church-community/</t>
  </si>
  <si>
    <t>Nags Head Church Community</t>
  </si>
  <si>
    <t>https://www.london.anglican.org/directory/st-john-the-evangelist-upper-holloway/</t>
  </si>
  <si>
    <t>https://www.london.anglican.org/directory/st-saviour-hanley-road/</t>
  </si>
  <si>
    <t>St Saviour, Hanley Road</t>
  </si>
  <si>
    <t>https://www.london.anglican.org/directory/st-silas-pentonville/</t>
  </si>
  <si>
    <t>St Silas Pentonville</t>
  </si>
  <si>
    <t>https://www.london.anglican.org/directory/st-stephen-canonbury/</t>
  </si>
  <si>
    <t>St Stephen Canonbury</t>
  </si>
  <si>
    <t>https://www.london.anglican.org/directory/st-thomas-finsbury-park/</t>
  </si>
  <si>
    <t>St Thomas Finsbury Park</t>
  </si>
  <si>
    <t>https://www.london.anglican.org/directory/st-james-clerkenwell/</t>
  </si>
  <si>
    <t>St James Clerkenwell</t>
  </si>
  <si>
    <t>https://www.london.anglican.org/directory/our-most-holy-redeemer-clerkenwell/</t>
  </si>
  <si>
    <t>Our Most Holy Redeemer Clerkenwell</t>
  </si>
  <si>
    <t>https://www.london.anglican.org/directory/st-mark-clerkenwell/</t>
  </si>
  <si>
    <t>St Mark Clerkenwell</t>
  </si>
  <si>
    <t>https://www.london.anglican.org/directory/st-clement-king-square/</t>
  </si>
  <si>
    <t>St Clement King Square</t>
  </si>
  <si>
    <t>https://www.london.anglican.org/directory/emmanuel-hornsey-road/</t>
  </si>
  <si>
    <t>Emmanuel Hornsey Road</t>
  </si>
  <si>
    <t>https://www.london.anglican.org/directory/city-ymca-london/</t>
  </si>
  <si>
    <t>City YMCA London</t>
  </si>
  <si>
    <t>https://www.london.anglican.org/directory/trinity-church-islington/</t>
  </si>
  <si>
    <t>https://www.london.anglican.org/directory/the-priory-church-of-st-john/</t>
  </si>
  <si>
    <t>The Priory Church of St John</t>
  </si>
  <si>
    <t>https://www.london.anglican.org/directory/the-charterhouse/</t>
  </si>
  <si>
    <t>The Charterhouse</t>
  </si>
  <si>
    <t>https://www.london.anglican.org/directory/st-mary-magdalene-academy/</t>
  </si>
  <si>
    <t>St Mary Magdalene Academy</t>
  </si>
  <si>
    <t>https://www.london.anglican.org/directory/the-whittington-hospital/</t>
  </si>
  <si>
    <t>The Whittington Hospital</t>
  </si>
  <si>
    <t>https://www.london.anglican.org/directory/moorfields-eye-hospital/</t>
  </si>
  <si>
    <t>Moorfields Eye Hospital</t>
  </si>
  <si>
    <t>https://www.london.anglican.org/directory/hm-prison-pentonville/</t>
  </si>
  <si>
    <t>HM Prison Pentonville</t>
  </si>
  <si>
    <t>https://www.london.anglican.org/directory/london-metropolitan-university-chaplaincy/</t>
  </si>
  <si>
    <t>London Metropolitan University Chaplaincy</t>
  </si>
  <si>
    <t>https://www.london.anglican.org/directory/city-university/</t>
  </si>
  <si>
    <t>City University</t>
  </si>
  <si>
    <t>https://www.london.anglican.org/directory/st-matthew-bethnal-green/</t>
  </si>
  <si>
    <t>St Matthew Bethnal Green</t>
  </si>
  <si>
    <t>https://www.london.anglican.org/directory/st-barnabas-bethnal-green/</t>
  </si>
  <si>
    <t>St Barnabas Bethnal Green</t>
  </si>
  <si>
    <t>https://www.london.anglican.org/directory/st-james-the-less-bethnal-green/</t>
  </si>
  <si>
    <t>St James-the-Less Bethnal Green</t>
  </si>
  <si>
    <t>https://www.london.anglican.org/directory/st-john-on-bethnal-green/</t>
  </si>
  <si>
    <t>https://www.london.anglican.org/directory/st-peter-bethnal-green/</t>
  </si>
  <si>
    <t>St Peter Bethnal Green</t>
  </si>
  <si>
    <t>https://www.london.anglican.org/directory/poplar-team-ministry/</t>
  </si>
  <si>
    <t>Poplar Team Ministry</t>
  </si>
  <si>
    <t>https://www.london.anglican.org/directory/all-saints-poplar-poplar-team-ministry/</t>
  </si>
  <si>
    <t>https://www.london.anglican.org/directory/st-nicholas-aberfeldy-poplar-team-ministry/</t>
  </si>
  <si>
    <t>https://www.london.anglican.org/directory/christ-church-and-st-john-w-st-luke-isle-of-dogs/</t>
  </si>
  <si>
    <t>Christ Church and St John w St Luke, Isle of Dogs</t>
  </si>
  <si>
    <t>https://www.london.anglican.org/directory/christ-church-isle-of-dogs/</t>
  </si>
  <si>
    <t>Christ Church Isle of Dogs</t>
  </si>
  <si>
    <t>https://www.london.anglican.org/directory/st-luke-millwall/</t>
  </si>
  <si>
    <t>St Luke Millwall</t>
  </si>
  <si>
    <t>https://www.london.anglican.org/directory/all-hallows-bromley-by-bow/</t>
  </si>
  <si>
    <t>All Hallows Bromley by Bow</t>
  </si>
  <si>
    <t>https://www.london.anglican.org/directory/st-mary-and-holy-trinity-bow/</t>
  </si>
  <si>
    <t>https://www.london.anglican.org/directory/st-paul-and-st-mark-old-ford/</t>
  </si>
  <si>
    <t>St Paul and St Mark Old Ford</t>
  </si>
  <si>
    <t>https://www.london.anglican.org/directory/st-anne-w-st-peter-limehouse/</t>
  </si>
  <si>
    <t>St Anne w St Peter Limehouse</t>
  </si>
  <si>
    <t>https://www.london.anglican.org/directory/st-anne-limehouse/</t>
  </si>
  <si>
    <t>https://www.london.anglican.org/directory/st-george-in-the-east/</t>
  </si>
  <si>
    <t>St George-in-the-East</t>
  </si>
  <si>
    <t>https://www.london.anglican.org/directory/st-mary-cable-street/</t>
  </si>
  <si>
    <t>St Mary Cable Street</t>
  </si>
  <si>
    <t>https://www.london.anglican.org/directory/st-peter-london-docks/</t>
  </si>
  <si>
    <t>St Peter London Docks</t>
  </si>
  <si>
    <t>https://www.london.anglican.org/directory/st-paul-shadwell/</t>
  </si>
  <si>
    <t>St Paul Shadwell</t>
  </si>
  <si>
    <t>https://www.london.anglican.org/directory/st-dunstan-all-saints-stepney/</t>
  </si>
  <si>
    <t>https://www.london.anglican.org/directory/st-paul-bow-common/</t>
  </si>
  <si>
    <t>St Paul Bow Common</t>
  </si>
  <si>
    <t>https://www.london.anglican.org/directory/christ-church-spitalfields/</t>
  </si>
  <si>
    <t>Christ Church Spitalfields</t>
  </si>
  <si>
    <t>https://www.london.anglican.org/directory/st-peters-barge-canary-wharf/</t>
  </si>
  <si>
    <t>https://www.london.anglican.org/directory/bishops-chaplain-in-docklands/</t>
  </si>
  <si>
    <t>https://www.london.anglican.org/directory/hms-president/</t>
  </si>
  <si>
    <t>HMS President</t>
  </si>
  <si>
    <t>https://www.london.anglican.org/directory/the-tower-hamlets-centre-for-mental-health/</t>
  </si>
  <si>
    <t>The Tower Hamlets Centre for Mental Health</t>
  </si>
  <si>
    <t>https://www.london.anglican.org/directory/mile-end-hospital-barts-health-nhs-trust/</t>
  </si>
  <si>
    <t>https://www.london.anglican.org/directory/the-royal-london-hospital-barts-health-nhs-trust/</t>
  </si>
  <si>
    <t>https://www.london.anglican.org/directory/st-margarets-house/</t>
  </si>
  <si>
    <t>https://www.london.anglican.org/directory/queen-mary-university-of-london/</t>
  </si>
  <si>
    <t>Queen Mary University of London</t>
  </si>
  <si>
    <t>https://www.london.anglican.org/directory/the-royal-foundation-of-st-katharine/</t>
  </si>
  <si>
    <t>The Royal Foundation of St Katharine</t>
  </si>
  <si>
    <t>https://www.london.anglican.org/directory/london-metropolitan-university/</t>
  </si>
  <si>
    <t>London Metropolitan University</t>
  </si>
  <si>
    <t>EC1R 4QE</t>
  </si>
  <si>
    <t>N4 3DQ</t>
  </si>
  <si>
    <t>St Michael &amp; All Angels London Fields</t>
  </si>
  <si>
    <t>St Michael &amp; All Angels Stoke Newington Common</t>
  </si>
  <si>
    <t>St George &amp; All Saints Tufnell Park</t>
  </si>
  <si>
    <t>St Dunstan &amp; All Saints Stepney</t>
  </si>
  <si>
    <t>St Peter's Barge Canary Wharf</t>
  </si>
  <si>
    <t>RefNumber</t>
  </si>
  <si>
    <t>DirectoryUrl</t>
  </si>
  <si>
    <t>Incumbent</t>
  </si>
  <si>
    <t>IncumbentPosition</t>
  </si>
  <si>
    <t>IncumbentLink</t>
  </si>
  <si>
    <t>Ref:0501</t>
  </si>
  <si>
    <t>Ref:0504</t>
  </si>
  <si>
    <t>The Revd Al Gordon</t>
  </si>
  <si>
    <t>https://www.london.anglican.org/directory/al-gordon/</t>
  </si>
  <si>
    <t>Ref:0505</t>
  </si>
  <si>
    <t>The Revd Tola Badejo</t>
  </si>
  <si>
    <t>Priest in Charge</t>
  </si>
  <si>
    <t>https://www.london.anglican.org/directory/tola-badejo/</t>
  </si>
  <si>
    <t>Ref:0506</t>
  </si>
  <si>
    <t>The Revd Dr William Campbell-Taylor</t>
  </si>
  <si>
    <t>https://www.london.anglican.org/directory/william-campbell-taylor/</t>
  </si>
  <si>
    <t>Ref:0506A</t>
  </si>
  <si>
    <t>The Revd Laura Fawcett</t>
  </si>
  <si>
    <t>https://www.london.anglican.org/directory/laura-fawcett/</t>
  </si>
  <si>
    <t>Ref:0506B</t>
  </si>
  <si>
    <t>Ref:0507</t>
  </si>
  <si>
    <t>Ref:0509A</t>
  </si>
  <si>
    <t>The Revd Josh Zvimba</t>
  </si>
  <si>
    <t>https://www.london.anglican.org/directory/josh-zvimba/</t>
  </si>
  <si>
    <t>All Souls Clapton Park</t>
  </si>
  <si>
    <t>Ref:Hackney Marsh Team Ministry</t>
  </si>
  <si>
    <t>The Revd Clive Main</t>
  </si>
  <si>
    <t>Team Rector</t>
  </si>
  <si>
    <t>https://www.london.anglican.org/directory/clive-main/</t>
  </si>
  <si>
    <t>Christchurch-on-the-Mead</t>
  </si>
  <si>
    <t>Ref:0510</t>
  </si>
  <si>
    <t>Mr Roy Tokunbo Olowu</t>
  </si>
  <si>
    <t>Licensed Lay Minister</t>
  </si>
  <si>
    <t>https://www.london.anglican.org/directory/roy-tokunbo-olowu/</t>
  </si>
  <si>
    <t>Ref:0511</t>
  </si>
  <si>
    <t>The Revd Andrew Wilson</t>
  </si>
  <si>
    <t>https://www.london.anglican.org/directory/andrew-wilson/</t>
  </si>
  <si>
    <t>Ref:0512</t>
  </si>
  <si>
    <t>The Revd Sue Makin</t>
  </si>
  <si>
    <t>https://www.london.anglican.org/directory/sue-makin/</t>
  </si>
  <si>
    <t>Ref:0513</t>
  </si>
  <si>
    <t>The Revd Daniel Gerrans</t>
  </si>
  <si>
    <t>https://www.london.anglican.org/directory/daniel-gerrans/</t>
  </si>
  <si>
    <t>Ref:0514</t>
  </si>
  <si>
    <t>The Revd Niall Weir</t>
  </si>
  <si>
    <t>https://www.london.anglican.org/directory/niall-weir/</t>
  </si>
  <si>
    <t>Ref:0515</t>
  </si>
  <si>
    <t>The Revd Preb Julia Porter-Pryce</t>
  </si>
  <si>
    <t>https://www.london.anglican.org/directory/julia-porter-pryce/</t>
  </si>
  <si>
    <t>Ref:0516</t>
  </si>
  <si>
    <t>The Revd Canon Dilly Baker</t>
  </si>
  <si>
    <t>https://www.london.anglican.org/directory/dilly-baker/</t>
  </si>
  <si>
    <t>Ref:0517</t>
  </si>
  <si>
    <t>The Revd Charis Enga</t>
  </si>
  <si>
    <t>https://www.london.anglican.org/directory/charis-enga/</t>
  </si>
  <si>
    <t>Ref:0518</t>
  </si>
  <si>
    <t>The Revd David Lambert</t>
  </si>
  <si>
    <t>https://www.london.anglican.org/directory/david-lambert/</t>
  </si>
  <si>
    <t>Ref:0519</t>
  </si>
  <si>
    <t>The Revd Steve Gayle</t>
  </si>
  <si>
    <t>https://www.london.anglican.org/directory/steve-gayle/</t>
  </si>
  <si>
    <t>Ref:0520</t>
  </si>
  <si>
    <t>The Revd Preb Tunde Roberts</t>
  </si>
  <si>
    <t>https://www.london.anglican.org/directory/tunde-roberts/</t>
  </si>
  <si>
    <t>Ref:0521</t>
  </si>
  <si>
    <t>The Revd Alice Whalley</t>
  </si>
  <si>
    <t>https://www.london.anglican.org/directory/alice-whalley/</t>
  </si>
  <si>
    <t>Ref:0523</t>
  </si>
  <si>
    <t>The Ven Elizabeth Adekunle</t>
  </si>
  <si>
    <t>https://www.london.anglican.org/directory/liz-adekunle/</t>
  </si>
  <si>
    <t>Ref:0525</t>
  </si>
  <si>
    <t>The Revd Ben Bell</t>
  </si>
  <si>
    <t>https://www.london.anglican.org/directory/ben-bell/</t>
  </si>
  <si>
    <t>Ref:0526</t>
  </si>
  <si>
    <t>The Revd Andrew Newcombe</t>
  </si>
  <si>
    <t>https://www.london.anglican.org/directory/andrew-newcombe/</t>
  </si>
  <si>
    <t>Ref:0527</t>
  </si>
  <si>
    <t>Mr Geoffrey Boetang</t>
  </si>
  <si>
    <t>Administrator</t>
  </si>
  <si>
    <t>https://www.london.anglican.org/directory/geoffrey-boetang/</t>
  </si>
  <si>
    <t>Ref:0528</t>
  </si>
  <si>
    <t>The Revd James Westcott</t>
  </si>
  <si>
    <t>https://www.london.anglican.org/directory/james-westcott/</t>
  </si>
  <si>
    <t>Ref:0529</t>
  </si>
  <si>
    <t>The Revd Charles Card-Reynolds</t>
  </si>
  <si>
    <t>https://www.london.anglican.org/directory/charles-card-reynolds/</t>
  </si>
  <si>
    <t>Ref:0585</t>
  </si>
  <si>
    <t>The Revd Preb Rosemia Brown</t>
  </si>
  <si>
    <t>https://www.london.anglican.org/directory/rosemia-brown/</t>
  </si>
  <si>
    <t>Ref:0586</t>
  </si>
  <si>
    <t>Ref:0587</t>
  </si>
  <si>
    <t>The Revd Andrew Jones</t>
  </si>
  <si>
    <t>Minister in Charge</t>
  </si>
  <si>
    <t>https://www.london.anglican.org/directory/andrew-jones/</t>
  </si>
  <si>
    <t>The Urswick School &amp;#8211; a Church of England Secondary School</t>
  </si>
  <si>
    <t>Ref:0588</t>
  </si>
  <si>
    <t>https://www.london.anglican.org/directory/the-urswick-school-a-church-of-england-secondary-school/</t>
  </si>
  <si>
    <t>The Revd Sr Judith Blackburn</t>
  </si>
  <si>
    <t>Religious Community Leader</t>
  </si>
  <si>
    <t>https://www.london.anglican.org/directory/judith-blackburn-ssm/</t>
  </si>
  <si>
    <t>St Mary's Church of England Primary School</t>
  </si>
  <si>
    <t>Ref:0590</t>
  </si>
  <si>
    <t>https://www.london.anglican.org/directory/st-marys-cofe-primary-school/</t>
  </si>
  <si>
    <t>Mr Richard Brown</t>
  </si>
  <si>
    <t>Head Teacher</t>
  </si>
  <si>
    <t>https://www.london.anglican.org/directory/richard-brown/</t>
  </si>
  <si>
    <t>St Matthias Church of England Primary School</t>
  </si>
  <si>
    <t>Ref:0591</t>
  </si>
  <si>
    <t>https://www.london.anglican.org/directory/st-matthias-cofe-primary-school/</t>
  </si>
  <si>
    <t>Mrs Jane O&amp;#8217;Brien</t>
  </si>
  <si>
    <t>https://www.london.anglican.org/directory/jane-obrien/</t>
  </si>
  <si>
    <t>St John of Jerusalem Church of England Primary School</t>
  </si>
  <si>
    <t>Ref:0592</t>
  </si>
  <si>
    <t>https://www.london.anglican.org/directory/st-john-of-jerusalem-cofe-primary-school/</t>
  </si>
  <si>
    <t>Ms Sian Davies</t>
  </si>
  <si>
    <t>https://www.london.anglican.org/directory/sian-davies-4/</t>
  </si>
  <si>
    <t>St John the Baptist Church of England Primary School</t>
  </si>
  <si>
    <t>Ref:0593</t>
  </si>
  <si>
    <t>https://www.london.anglican.org/directory/st-john-the-baptist-cofe-primary-school/</t>
  </si>
  <si>
    <t>Mrs Asarena Simon</t>
  </si>
  <si>
    <t>https://www.london.anglican.org/directory/asarena-simon/</t>
  </si>
  <si>
    <t>St Paul's with St Michael's Church of England Primary School</t>
  </si>
  <si>
    <t>Ref:0594</t>
  </si>
  <si>
    <t>https://www.london.anglican.org/directory/st-pauls-with-st-michaels-cof-e-primary-school/</t>
  </si>
  <si>
    <t>https://www.london.anglican.org/directory/sian-davies-3/</t>
  </si>
  <si>
    <t>St John and St James Church of England Primary School</t>
  </si>
  <si>
    <t>Ref:0595</t>
  </si>
  <si>
    <t>https://www.london.anglican.org/directory/st-john-and-st-james-cof-e-primary-school/</t>
  </si>
  <si>
    <t>Mrs Kiyeran Lot</t>
  </si>
  <si>
    <t>https://www.london.anglican.org/directory/kiyeran-lot/</t>
  </si>
  <si>
    <t>Holy Trinity Church of England Primary School</t>
  </si>
  <si>
    <t>Ref:0596</t>
  </si>
  <si>
    <t>https://www.london.anglican.org/directory/holy-trinity-cofe-primary-school/</t>
  </si>
  <si>
    <t>https://www.london.anglican.org/directory/sian-davies-2/</t>
  </si>
  <si>
    <t>St Joseph's Hospice</t>
  </si>
  <si>
    <t>Ref:0597</t>
  </si>
  <si>
    <t>https://www.london.anglican.org/directory/sian-davies/</t>
  </si>
  <si>
    <t>Ref:0599</t>
  </si>
  <si>
    <t>The Revd Jane Alty</t>
  </si>
  <si>
    <t>Chaplain - Hospice</t>
  </si>
  <si>
    <t>https://www.london.anglican.org/directory/jane-alty/</t>
  </si>
  <si>
    <t>Ref:0601</t>
  </si>
  <si>
    <t>Ref:0604</t>
  </si>
  <si>
    <t>Mrs Imogen Erskine</t>
  </si>
  <si>
    <t>https://www.london.anglican.org/directory/imogen-erskine/</t>
  </si>
  <si>
    <t>Ref:0605</t>
  </si>
  <si>
    <t>The Revd Steve Clarke</t>
  </si>
  <si>
    <t>https://www.london.anglican.org/directory/steve-clarke/</t>
  </si>
  <si>
    <t>St Andrew Thornhill Square</t>
  </si>
  <si>
    <t>Ref:The Barnsbury Team</t>
  </si>
  <si>
    <t>All Saints Caledonian Road</t>
  </si>
  <si>
    <t>Mrs Sarah Wall</t>
  </si>
  <si>
    <t>Parish Administrator</t>
  </si>
  <si>
    <t>https://www.london.anglican.org/directory/sarah-wall-2/</t>
  </si>
  <si>
    <t>Mr Martin Lawford</t>
  </si>
  <si>
    <t>https://www.london.anglican.org/directory/martin-lawford/</t>
  </si>
  <si>
    <t>Ref:0606</t>
  </si>
  <si>
    <t>The Revd Mark Fletcher</t>
  </si>
  <si>
    <t>https://www.london.anglican.org/directory/mark-fletcher/</t>
  </si>
  <si>
    <t>Ref:0607</t>
  </si>
  <si>
    <t>The Revd Gabriel Anstis</t>
  </si>
  <si>
    <t>https://www.london.anglican.org/directory/gabriel-anstis/</t>
  </si>
  <si>
    <t>Ref:0610</t>
  </si>
  <si>
    <t>Mrs Jules Soanes</t>
  </si>
  <si>
    <t>https://www.london.anglican.org/directory/jules-soanes/</t>
  </si>
  <si>
    <t>Ref:0612</t>
  </si>
  <si>
    <t>The Revd Alexandra Lilley</t>
  </si>
  <si>
    <t>https://www.london.anglican.org/directory/alexandra-lilley/</t>
  </si>
  <si>
    <t>Ref:0615</t>
  </si>
  <si>
    <t>The Revd John Burniston</t>
  </si>
  <si>
    <t>https://www.london.anglican.org/directory/john-burniston/</t>
  </si>
  <si>
    <t>Ref:0616</t>
  </si>
  <si>
    <t>The Revd James Hill</t>
  </si>
  <si>
    <t>https://www.london.anglican.org/directory/james-hill/</t>
  </si>
  <si>
    <t>Ref:0617</t>
  </si>
  <si>
    <t>Revd John Mackenzie</t>
  </si>
  <si>
    <t>https://www.london.anglican.org/directory/john-mackenzie/</t>
  </si>
  <si>
    <t>Ref:0618</t>
  </si>
  <si>
    <t>The Rev'd Trevor Golding</t>
  </si>
  <si>
    <t>https://www.london.anglican.org/directory/trevor-golding/</t>
  </si>
  <si>
    <t>Ref:0619</t>
  </si>
  <si>
    <t>The Revd Tamsin Merchant</t>
  </si>
  <si>
    <t>https://www.london.anglican.org/directory/tamsin-merchant/</t>
  </si>
  <si>
    <t>Ref:0620</t>
  </si>
  <si>
    <t>The Revd Paul Zaphiriou</t>
  </si>
  <si>
    <t>https://www.london.anglican.org/directory/paul-zaphiriou/</t>
  </si>
  <si>
    <t>Ref:0622</t>
  </si>
  <si>
    <t>Ref:0624</t>
  </si>
  <si>
    <t>Revd Alan Comfort</t>
  </si>
  <si>
    <t>https://www.london.anglican.org/directory/alan-comfort/</t>
  </si>
  <si>
    <t>Ref:0625</t>
  </si>
  <si>
    <t>The Revd Pete Hughes</t>
  </si>
  <si>
    <t>https://www.london.anglican.org/directory/pete-hughes/</t>
  </si>
  <si>
    <t>Ref:0626</t>
  </si>
  <si>
    <t>The Revd Rayner Wakeling</t>
  </si>
  <si>
    <t>https://www.london.anglican.org/directory/rayner-wakeling/</t>
  </si>
  <si>
    <t>Ref:0628</t>
  </si>
  <si>
    <t>The Revd John Beauchamp</t>
  </si>
  <si>
    <t>https://www.london.anglican.org/directory/john-beauchamp/</t>
  </si>
  <si>
    <t>Ref:0629</t>
  </si>
  <si>
    <t>The Revd Preb Stephen Coles</t>
  </si>
  <si>
    <t>https://www.london.anglican.org/directory/stephen-coles/</t>
  </si>
  <si>
    <t>Ref:0630</t>
  </si>
  <si>
    <t>The Revd Pete Nicholas</t>
  </si>
  <si>
    <t>https://www.london.anglican.org/directory/pete-nicholas/</t>
  </si>
  <si>
    <t>Ref:0632</t>
  </si>
  <si>
    <t>The Revd Christopher Trundle</t>
  </si>
  <si>
    <t>https://www.london.anglican.org/directory/christopher-trundle/</t>
  </si>
  <si>
    <t>Ref:0633</t>
  </si>
  <si>
    <t>Ref:0635</t>
  </si>
  <si>
    <t>The Revd David Allen</t>
  </si>
  <si>
    <t>https://www.london.anglican.org/directory/david-allen/</t>
  </si>
  <si>
    <t>Ref:0681</t>
  </si>
  <si>
    <t>Ref:0682</t>
  </si>
  <si>
    <t>Ref:0683</t>
  </si>
  <si>
    <t>The Revd Jeremy Hobson</t>
  </si>
  <si>
    <t>https://www.london.anglican.org/directory/jeremy-hobson/</t>
  </si>
  <si>
    <t>Ref:0684</t>
  </si>
  <si>
    <t xml:space="preserve"> The Dean</t>
  </si>
  <si>
    <t>Placeholder for book</t>
  </si>
  <si>
    <t>https://www.london.anglican.org/directory/the-dean/</t>
  </si>
  <si>
    <t>St John's Church of England Primary School</t>
  </si>
  <si>
    <t>Ref:0685</t>
  </si>
  <si>
    <t>https://www.london.anglican.org/directory/st-johns-cofe-primary-school/</t>
  </si>
  <si>
    <t>The Revd Robin Isherwood</t>
  </si>
  <si>
    <t>Chaplain</t>
  </si>
  <si>
    <t>https://www.london.anglican.org/directory/robin-isherwood/</t>
  </si>
  <si>
    <t>St Mark's Church of England Primary School</t>
  </si>
  <si>
    <t>Ref:0686</t>
  </si>
  <si>
    <t>https://www.london.anglican.org/directory/st-marks-cofe-primary-school/</t>
  </si>
  <si>
    <t>Mr Brian Welsh</t>
  </si>
  <si>
    <t>https://www.london.anglican.org/directory/brian-welsh/</t>
  </si>
  <si>
    <t>St Jude &amp; St Paul's Church of England Primary School</t>
  </si>
  <si>
    <t>Ref:0687</t>
  </si>
  <si>
    <t>https://www.london.anglican.org/directory/st-jude-st-pauls-cofe-primary-school/</t>
  </si>
  <si>
    <t>Ms Martha Braithwaite</t>
  </si>
  <si>
    <t>https://www.london.anglican.org/directory/martha-braithwaite/</t>
  </si>
  <si>
    <t>St Luke's Church of England Primary School</t>
  </si>
  <si>
    <t>Ref:0688</t>
  </si>
  <si>
    <t>https://www.london.anglican.org/directory/st-lukes-cofe-primary-school/</t>
  </si>
  <si>
    <t>Mrs Adeola Oladejo</t>
  </si>
  <si>
    <t>https://www.london.anglican.org/directory/adeola-oladejo/</t>
  </si>
  <si>
    <t>Ref:0689</t>
  </si>
  <si>
    <t>Mrs Ann Dwulit</t>
  </si>
  <si>
    <t>https://www.london.anglican.org/directory/ann-dwulit/</t>
  </si>
  <si>
    <t>Ref:0690</t>
  </si>
  <si>
    <t>Ms Victoria Linsley</t>
  </si>
  <si>
    <t>https://www.london.anglican.org/directory/victoria-linsley/</t>
  </si>
  <si>
    <t>Ref:0691</t>
  </si>
  <si>
    <t>Clerkenwell Parochial Church of England Primary School</t>
  </si>
  <si>
    <t>Ref:0692</t>
  </si>
  <si>
    <t>https://www.london.anglican.org/directory/clerkenwell-parochial-cofe-primary-school/</t>
  </si>
  <si>
    <t>St Andrew's</t>
  </si>
  <si>
    <t>Ref:Barnsbury</t>
  </si>
  <si>
    <t>https://www.london.anglican.org/directory/st-andrews-barnsbury-cofe-primary-school/</t>
  </si>
  <si>
    <t>Ms Amanda Szewczyk-Radley</t>
  </si>
  <si>
    <t>https://www.london.anglican.org/directory/amanda-szewczyk-radley/</t>
  </si>
  <si>
    <t>Ref:0694</t>
  </si>
  <si>
    <t>Ms Felicity Djerehe</t>
  </si>
  <si>
    <t>https://www.london.anglican.org/directory/felicity-djerehe/</t>
  </si>
  <si>
    <t>Ref:0695</t>
  </si>
  <si>
    <t>Chaplain - Hospital</t>
  </si>
  <si>
    <t>Ref:0696</t>
  </si>
  <si>
    <t>Ref:0698</t>
  </si>
  <si>
    <t>The Revd Bola Adamolekun</t>
  </si>
  <si>
    <t>Chaplain - Prison Service</t>
  </si>
  <si>
    <t>https://www.london.anglican.org/directory/bola-adamolekun/</t>
  </si>
  <si>
    <t>Ref:0699</t>
  </si>
  <si>
    <t>Ref:0701</t>
  </si>
  <si>
    <t>The Revd Andrew Baughen</t>
  </si>
  <si>
    <t>Chaplain - University</t>
  </si>
  <si>
    <t>https://www.london.anglican.org/directory/andrew-baughen/</t>
  </si>
  <si>
    <t>Ref:0702</t>
  </si>
  <si>
    <t>The Revd Erin Clark</t>
  </si>
  <si>
    <t>https://www.london.anglican.org/directory/erin-clark/</t>
  </si>
  <si>
    <t>Ref:0705</t>
  </si>
  <si>
    <t>The Revd Brian Ralph</t>
  </si>
  <si>
    <t>https://www.london.anglican.org/directory/brian-ralph/</t>
  </si>
  <si>
    <t>Ref:0706</t>
  </si>
  <si>
    <t>The Revd Chris Newman-Day</t>
  </si>
  <si>
    <t>https://www.london.anglican.org/directory/chris-newman-day/</t>
  </si>
  <si>
    <t>Ref:0707</t>
  </si>
  <si>
    <t>The Revd Preb Alan Green</t>
  </si>
  <si>
    <t>https://www.london.anglican.org/directory/alan-green/</t>
  </si>
  <si>
    <t>Ref:0708</t>
  </si>
  <si>
    <t>The Revd Heather Atkinson</t>
  </si>
  <si>
    <t>https://www.london.anglican.org/directory/heather-atkinson/</t>
  </si>
  <si>
    <t>All Saints Poplar</t>
  </si>
  <si>
    <t>Ref:Poplar Team Ministry</t>
  </si>
  <si>
    <t>St Nicholas Aberfeldy</t>
  </si>
  <si>
    <t>Ms Laura Penney</t>
  </si>
  <si>
    <t>https://www.london.anglican.org/directory/laura-penney/</t>
  </si>
  <si>
    <t>Ref:0709</t>
  </si>
  <si>
    <t>The Revd Matt Wall</t>
  </si>
  <si>
    <t>Team Vicar</t>
  </si>
  <si>
    <t>https://www.london.anglican.org/directory/matt-wall/</t>
  </si>
  <si>
    <t>Ref:0709A</t>
  </si>
  <si>
    <t>The Revd Tom Pyke</t>
  </si>
  <si>
    <t>https://www.london.anglican.org/directory/tom-pyke/</t>
  </si>
  <si>
    <t>Ref:0709B</t>
  </si>
  <si>
    <t>Ref:0710</t>
  </si>
  <si>
    <t>The Revd Ed Dix</t>
  </si>
  <si>
    <t>https://www.london.anglican.org/directory/ed-dix/</t>
  </si>
  <si>
    <t>Ref:0711</t>
  </si>
  <si>
    <t>The Revd Cris Rogers</t>
  </si>
  <si>
    <t>https://www.london.anglican.org/directory/cris-rogers/</t>
  </si>
  <si>
    <t>Ref:0713</t>
  </si>
  <si>
    <t>The Revd Tim May</t>
  </si>
  <si>
    <t>https://www.london.anglican.org/directory/tim-may/</t>
  </si>
  <si>
    <t>Ref:0714</t>
  </si>
  <si>
    <t>The Revd James Hughesdon</t>
  </si>
  <si>
    <t>https://www.london.anglican.org/directory/james-hughesdon/</t>
  </si>
  <si>
    <t>Ref:0714A</t>
  </si>
  <si>
    <t>The Revd Richard Bray</t>
  </si>
  <si>
    <t>https://www.london.anglican.org/directory/richard-bray/</t>
  </si>
  <si>
    <t>Ref:0715</t>
  </si>
  <si>
    <t>Ref:0716</t>
  </si>
  <si>
    <t>The Revd Richard Springer</t>
  </si>
  <si>
    <t>https://www.london.anglican.org/directory/richard-springer/</t>
  </si>
  <si>
    <t>Ref:0717</t>
  </si>
  <si>
    <t>The Revd Peter McGeary</t>
  </si>
  <si>
    <t>https://www.london.anglican.org/directory/peter-mcgeary/</t>
  </si>
  <si>
    <t>Ref:0718</t>
  </si>
  <si>
    <t>The Revd Jonathan Beswick</t>
  </si>
  <si>
    <t>https://www.london.anglican.org/directory/jonathan-beswick/</t>
  </si>
  <si>
    <t>Ref:0719</t>
  </si>
  <si>
    <t>The Revd Phil Williams</t>
  </si>
  <si>
    <t>https://www.london.anglican.org/directory/phil-williams/</t>
  </si>
  <si>
    <t>Ref:0721</t>
  </si>
  <si>
    <t>The Revd Trevor Critchlow</t>
  </si>
  <si>
    <t>https://www.london.anglican.org/directory/trevor-critchlow/</t>
  </si>
  <si>
    <t>Ref:0724</t>
  </si>
  <si>
    <t>The Revd Bernadette Hegarty</t>
  </si>
  <si>
    <t>https://www.london.anglican.org/directory/bernadette-hegarty/</t>
  </si>
  <si>
    <t>Ref:0776</t>
  </si>
  <si>
    <t>The Revd Andy Rider</t>
  </si>
  <si>
    <t>https://www.london.anglican.org/directory/andy-rider/</t>
  </si>
  <si>
    <t>Bishop's Chaplain in Docklands</t>
  </si>
  <si>
    <t>Ref:0777</t>
  </si>
  <si>
    <t>The Revd Marcus Nodder</t>
  </si>
  <si>
    <t>https://www.london.anglican.org/directory/marcus-nodder/</t>
  </si>
  <si>
    <t>Ref:0778</t>
  </si>
  <si>
    <t>The Revd Dr Fiona Stewart-Darling</t>
  </si>
  <si>
    <t>https://www.london.anglican.org/directory/fiona-stewart-darling/</t>
  </si>
  <si>
    <t>Sir John Cass's Foundation &amp; Red Coat Church of England Secondary School</t>
  </si>
  <si>
    <t>Ref:0779</t>
  </si>
  <si>
    <t>https://www.london.anglican.org/directory/sir-john-casss-foundation-red-coat-cofe-secondary-school/</t>
  </si>
  <si>
    <t>St Paul's Church of England Primary School</t>
  </si>
  <si>
    <t>Ref:0780</t>
  </si>
  <si>
    <t>https://www.london.anglican.org/directory/st-pauls-cofe-primary-school/</t>
  </si>
  <si>
    <t>Mr Paul Woods</t>
  </si>
  <si>
    <t>https://www.london.anglican.org/directory/paul-woods/</t>
  </si>
  <si>
    <t>St Peter's Church of England Primary School</t>
  </si>
  <si>
    <t>Ref:0781</t>
  </si>
  <si>
    <t>https://www.london.anglican.org/directory/st-peters-cofe-primary-school/</t>
  </si>
  <si>
    <t>Mr Terry Bennett</t>
  </si>
  <si>
    <t>https://www.london.anglican.org/directory/terry-bennett-2/</t>
  </si>
  <si>
    <t>Stepney Greencoat Church of England Primary School</t>
  </si>
  <si>
    <t>Ref:0782</t>
  </si>
  <si>
    <t>https://www.london.anglican.org/directory/stepney-greencoat-cofe-primary-school/</t>
  </si>
  <si>
    <t>Mrs Elizabeth Figueiredo</t>
  </si>
  <si>
    <t>https://www.london.anglican.org/directory/elizabeth-dickson/</t>
  </si>
  <si>
    <t>Christ Church Church of England Primary School</t>
  </si>
  <si>
    <t>Ref:0783</t>
  </si>
  <si>
    <t>https://www.london.anglican.org/directory/christ-church-cofe-primary-school/</t>
  </si>
  <si>
    <t>Ms Emily Wright</t>
  </si>
  <si>
    <t>https://www.london.anglican.org/directory/emily-wright/</t>
  </si>
  <si>
    <t>St Saviour's Church of England Primary School</t>
  </si>
  <si>
    <t>Ref:0784</t>
  </si>
  <si>
    <t>https://www.london.anglican.org/directory/st-saviours-cofe-primary-school/</t>
  </si>
  <si>
    <t>Mr Julian Morant</t>
  </si>
  <si>
    <t>https://www.london.anglican.org/directory/julian-morant/</t>
  </si>
  <si>
    <t>Ref:0785</t>
  </si>
  <si>
    <t>Mrs Fanoula Smith</t>
  </si>
  <si>
    <t>https://www.london.anglican.org/directory/fanoula-smith/</t>
  </si>
  <si>
    <t>St Paul with St Luke Church of England Primary School</t>
  </si>
  <si>
    <t>Ref:0786</t>
  </si>
  <si>
    <t>https://www.london.anglican.org/directory/st-paul-with-st-luke-cofe-primary-school/</t>
  </si>
  <si>
    <t>Ref:0787</t>
  </si>
  <si>
    <t>Ms Nicola Horton</t>
  </si>
  <si>
    <t>https://www.london.anglican.org/directory/nicola-horton/</t>
  </si>
  <si>
    <t>Ref:0788</t>
  </si>
  <si>
    <t>Raine's Foundation Church of England Secondary School</t>
  </si>
  <si>
    <t>Ref:0789</t>
  </si>
  <si>
    <t>https://www.london.anglican.org/directory/raines-foundation-cofe-secondary-school/</t>
  </si>
  <si>
    <t>Ref:0790</t>
  </si>
  <si>
    <t>Chaplain - School</t>
  </si>
  <si>
    <t>Mile End Hospital</t>
  </si>
  <si>
    <t>Ref:Barts Health NHS Trust</t>
  </si>
  <si>
    <t>The Revd Dr Nigel Copsey</t>
  </si>
  <si>
    <t>https://www.london.anglican.org/directory/nigel-copsey/</t>
  </si>
  <si>
    <t>The Royal London Hospital</t>
  </si>
  <si>
    <t>The Revd Tasha Critchlow</t>
  </si>
  <si>
    <t xml:space="preserve">(Part Time) </t>
  </si>
  <si>
    <t>https://www.london.anglican.org/directory/tasha-critchlow/</t>
  </si>
  <si>
    <t>St Margaret's House</t>
  </si>
  <si>
    <t>Ref:0794</t>
  </si>
  <si>
    <t>(Part Time)</t>
  </si>
  <si>
    <t>Ref:0795</t>
  </si>
  <si>
    <t>Ref:0796</t>
  </si>
  <si>
    <t>The Revd Ella Sharples</t>
  </si>
  <si>
    <t>https://www.london.anglican.org/directory/ella-sharples/</t>
  </si>
  <si>
    <t>Ref:0797</t>
  </si>
  <si>
    <t>Barts &amp; The London School of Medicine &amp; Dentistry</t>
  </si>
  <si>
    <t>Ref:0799</t>
  </si>
  <si>
    <t>https://www.london.anglican.org/directory/barts-the-london-school-of-medicine-dentistry/</t>
  </si>
  <si>
    <t>DataBoundary</t>
  </si>
  <si>
    <t>DataLevels</t>
  </si>
  <si>
    <t>egryHf{MqAMcBU{@OEDCd@ICy@ESo@YBA?Ko@?uDCsEBuKAsAD{DCm@EY]_ADCz@LXkB^y@f@}@^Oz@IDCOkF?Ol@GbJg@DN@x@BFD@tBBlFRzDHBFG`OFFrDN`BJn@?\DzCFp@?VCzA?fBGlBMD@?VBVMhECr@KhAo@~P_@xHIREn@ICoEMi@EeEEM?c@^]AqA@cBQs@Ia@CSEaBKe@GsDYaAK[AsDW}CM</t>
  </si>
  <si>
    <t>P@?C?C?DB?BF???@C?AE@CB?C@?D?H?D?@?D??F?@F?@??B??@??I?@A?@A@?G??@B@B?C???????A??P</t>
  </si>
  <si>
    <t>https://http:/www.hackneymarshteam.org.uk</t>
  </si>
  <si>
    <t>{suyHvxGJsA?i@Ic@@_B`AeFAeCGw@{@yEEs@?c@Fq@FSpA_CXw@CiCGo@m@}CMsABoATgC^oBxAyEReAHmA?gBg@_DMe@QWYCQJGRIl@GtBGd@ORSPS?YQIo@@sFCuB?_AHm@`CmHlCmJbBeFdDmEn@eAjDmAzBKR_E~HwT\WTKPc@\eCTc@hCy@~DiBtFs@nAOn@C?lBCXaAnEcAvFb@fBCdA@jAZbNDn@@hAVnJRpLAxBDpBDh@Nr@Nh@zAzEt@vBJb@r@rBVdAdAtIvAvI\zC^fC@@tAc@|IoCt@Sl@WTOTYX[x@kAZ[XSp@WREBFFxGAxB@|DC`EGlF@VCfA?x@ABQFi@JU@YHoARQ@CBy@DcAAO@EPChB@d@KvF]v\EhBOAc@@SKs@H_@Ck@Ou@`CITC?SiAeAoHe@}EaAmIcBgKScA_IvDi@XmGbC]R}SjIK@g@EgAJw@TuAj@OgAeAgKQsAYaBIYcAsFCGwA`AGLq@b@cA{FEFUbAQpAc@vBo@`FY|AOXSTyAv@</t>
  </si>
  <si>
    <t>PA@@CD@BA?D?A@DA@BAD@BB@EBA@FB@C??C?B@EA@A@G@@E@DBECB?B@AFAC@?J?B@EB?A???A?@F@?A????D@@?G???@D?@??B?A@G@?A????E?@?????B@?F?@???I?AA@AD??F?A?A?H?B??C?@B?G??B??EA@?EG?@?A?D?AP</t>
  </si>
  <si>
    <t>E9 5QB</t>
  </si>
  <si>
    <t>http://www.hackneymarshteam.org.uk</t>
  </si>
  <si>
    <t>sciyH{dMO{AuB_JcAcD{DyIsEgGaLkMuGqF[_@cIcGkFgDsCkD{EcHeCaFgAuCeBeEsA{Eo@aD}@uIgAoa@MmD@mE^oHh@cVBqECoBU}Em@qGuAgKqA}I{@uGo@eJcAgHcAoDuAqEgAgEm@aDw@uFk@mES{Bi@}OAeDPiEjAwTf@uE~CeQpA}H`BqGpJw[t@qCpBwIvCoPvBkPVuCZeFx@mQ~HrAtT~DKrEtEbAvATrGEpL?pIjCpErA|Bt@~InCm@vLInChEn@~Bb@\JAx@lAf`AnArhAFdB\jZFxDh@~f@HvD\x]TpO?j@pA|dAAX`A~x@AFMRo@tASl@_@jCQhBwAhLOxJI|BKzB?dBDhBXpDTpDHjB?fAIdFETk@vLC?cCiD_EqE_@][c@eFwFgH`A}I`E]JYP</t>
  </si>
  <si>
    <t>PACAFAD@BADAFA?D@BI?DAACA?FA??AAD?@C@?D@AH?AD?EA@CAE@C@L?EE?D?E???F?F@?I?????@??????@H??@C??E@?@C@?@?CA?H?A???FC@?P</t>
  </si>
  <si>
    <t>https://www.gracechurchhackney.org.uk</t>
  </si>
  <si>
    <t>http://www.holytrinity.hackney.sch.uk</t>
  </si>
  <si>
    <t>E8 3DY</t>
  </si>
  <si>
    <t>etpyHppPhAcAj@a@fPwKvFwC`Ai@FIl@jJV`F`AWj@G?CnBc@hCs@\G^@rDVv@FXFg@vBWvA{BjND`AABWHGTeCdOcAk@[M[EQ@CQACQ@e@Ng@T?Ee@RqC|A_F~CcAx@wCuJ}BsIeCsHoAgCcDsESQ</t>
  </si>
  <si>
    <t>P?AB@?G?F?@???D???H?@BB?ABH?A?A?C?@@E?A@G@@DA@P</t>
  </si>
  <si>
    <t>E5 0PD</t>
  </si>
  <si>
    <t>https://hackney.church</t>
  </si>
  <si>
    <t>kvsyHhnKcDid@aB_Ba@_@[Oy@UFoB@uAOkC[eCk@uCdFwDpBcATYm@{AMq@z@i@o@aEs@iC{@X[w@KiDz@IImCWaEu@LYkE|@SYwDy@RMuAkBt@fDqA\SlGcCh@Y~HwDRbAbBfK`AlId@|EdAnHRhAB?HUt@aCj@N^Br@IRJb@AN@ClF?rCBBb@YPELx@vAdHnAg@RARGh@@dBJd@Ih@CrB]?@v@|KLvC@Dh@CD@n@hLB`AkDlAgHzByEzB_FpCKN_@ZWNSN]Py@f@kA~@eCj@YB[Jq@^a@^k@p@i@x@[f@eBlDKXm@fA</t>
  </si>
  <si>
    <t>PD?B?E?AC@F@AD@CEADCDCC?CCCCECCG??A?J?A?A?F??DA@AA?F?D@?C?F@?B?B???F@C@?B?H?C@B?A???@C@A?E?@B???P</t>
  </si>
  <si>
    <t>https://www.stsaviourspriory.org.uk</t>
  </si>
  <si>
    <t>http://www.standrewsn16.org</t>
  </si>
  <si>
    <t>_kwyH|iPIMMK_@MWO_A{@UYaAeBgA}AEO]q@Wu@w@gDc@}Ac@oAy@kB]c@GE_@CK@YFYJi@\ONGLMb@E\?z@f@xEAj@CLA@e@k@A_Ag@uH_@}LA_FHcGJ{BVaDv@cHLwB`AiIjAiL@CR@fCd@nCX\BBBx@DvDH|@?pCDnGB|ABf@BjCBzAFhA@vMXCdAGFc@`CEFCAADgAxEEF_@rAEDQDaCVK?ECc@k@gB\KFGGC@EHAPDHFCD@Rd@QZSLILMXI`@En@Af@D`C?lAJz@Ip@D\Lh@BTAfAGv@@ZFVtBQxCSxAPb@FBBMRq@l@u@b@m@T}@Va@FCBbDvR_JrDwAv@}@p@}CnCWZqApAeK|J</t>
  </si>
  <si>
    <t>P?@?@B??D??A@?BA?F?A?B@?D?ABA?C?G@@B@E?@@A?H?@A???C??????A??IB@A??@@?E?@B?AC@A?E?B@?AC@?@B?F??AAA??A@A?F?C??F?@B@??EGB@D@?@P</t>
  </si>
  <si>
    <t>http://www.hoxtonchurch.org.uk</t>
  </si>
  <si>
    <t>wzpyHpzOs@_K@a@hEem@tBHrDDLBb@@h@DhABvALjBHjBCpCUl@?|ALdBRCrB[fNI@kCC}@C}@?_BGEB@nC\jLAD[Bc@@q@EEBHtE@tKCFuHd@e@FuAFsCROA_BJm@@w@gAC?QL</t>
  </si>
  <si>
    <t>P@DG@A?????C@@B?I?F???@?E@D@A?@D@?G???@??CB?P</t>
  </si>
  <si>
    <t>https://saintbarnabasdalston.org.uk</t>
  </si>
  <si>
    <t>https://www.holybart.com</t>
  </si>
  <si>
    <t>ahxyH`zMkBmA_Ae@OCCCSIq@Os@IeAIg@AuAF_BPCDe@Do@N}B`@cAH_A@UyDCKgAkR_@qEmEa`@q@gEu@kDEGy@wC{@oCeAaCUc@s@w@]S]KCGWI_AOM]o@aCWiAc@{Bi@eDk@}EYkDS{Cv@^`Ct@XRH@`CA@B@^Af@jBj@^jAN\vAhBLVfC|FbCdFr@nAdA`CXb@n@NhDGjGsBpBdRDFn@zDzAc@bAa@v@UjAi@B@\nDED]NCFp@fHzBtXHbBAlDCtAaA@_AJ_@HI`BLxCHp@Nl@X~BBdBVrC</t>
  </si>
  <si>
    <t>P?C??@A?E?B@?@?A?G??@CAE@?B@D@B???ABE?A?CA?J@@?CC??CE?A?BA??@FACFA?F@?@?GC??C?@D?D@?DEA?@A@P</t>
  </si>
  <si>
    <t>_vpyHh_NDk@HS^yHn@_QJiABs@LiECW?WLsANaEPyJBsHAo@DaF?iDBgAJgAdAdAf@p@pBpBjElGbBnAjClApBfAfAZF\V|FRxRRdFFj@Jl@fArE`@zAk@nAGXIh@QlKI~AeBS}AMm@?qCTkBBkBIwAMiACi@Ec@AMCsDEuBI</t>
  </si>
  <si>
    <t>P?@A@?A@?@@CA???A?I@?BDA?AF@AAD?@?HA?C@G?B@@C?????A@P</t>
  </si>
  <si>
    <t>https://www.stjamesclapton.co.uk</t>
  </si>
  <si>
    <t>http://www.johnjames.hackney.sch.uk</t>
  </si>
  <si>
    <t>http://www.st-johnjerusalem.hackney.sch.uk</t>
  </si>
  <si>
    <t>E9 7DH</t>
  </si>
  <si>
    <t>http://www.sjoj.co.uk</t>
  </si>
  <si>
    <t>wyqyHfxIIsBKcBKkAg@}IaCaPdAyDYk@}AkCIw@gAyGu@{D|DyKs@gFi@}EDK`BsA@EIg@BGB?@@XbArBcB^_@RMFL@?`AoALBLNRDBCF}@BsAF}@h@{DP_ARw@r@oBUuB^e@hDqFDArGfLdBpDjGdJ`BfG?D_FfJ`DlGm@z@@d@fBzBZf@Tn@N~@PxAT`CJrB?hBM~AM|@Oh@Ul@w@rAWl@Sr@S~@E^G|ADrBP|ANt@Z~@h@~@\^bAn@JQt@Jd@@B@]nCIlAC~@FtBBTB?Bn@L|@`@tBR`Ar@dCLj@E@i@G_AU]Eu@Ac@BMCe@?eAEcAIcBSsBK}@@q@Rc@J[EYMe@[iGeFgBoAUKWAyDFmAA</t>
  </si>
  <si>
    <t>P???CDD?C@?EE?G?C?@D?@D?BA?BC@A?E??AC?@CD??JABCF?EDBCA@D?A?FA?C?A?A?C?AF?B@D@CB??E@B@D???@A??H?@?A?@??A?@CA?AE?@@?E??P</t>
  </si>
  <si>
    <t>http://www.st-john.hackney.sch.uk</t>
  </si>
  <si>
    <t>https://www.stjohnshoxton.org.uk</t>
  </si>
  <si>
    <t>etpyHppPACSQs@c@qDoCGcCH}ACcB@oB?KFK^g@TOx@hAl@A~AKN@rCStAGd@GtHe@BGAuKIuEDCp@Db@AZC@E]kLAoCDC~AF|@?|@BjCBHAD@r@BJABFDAJBh@??Cn@G|@WNlFv@@LQTABBJEBBtAEBZHnDD@lAEBD?pGLBt@?BBDAt@BJ~Hl@lIVzDDjAi@`@MNUXUf@YGw@GsDW_@A]FiCr@oBb@?Bk@FaAVWaFm@kJGHaAh@wFvCgPvKk@`@iAbA</t>
  </si>
  <si>
    <t>P???EA@?@?G@CD??@???F?@D@?A@D@G?@???@??@@?@C??IDA@??@?E?D?@CD?@??EB??H?A?D???D???@?F?G?@BA?P</t>
  </si>
  <si>
    <t>https://www.sjebp.com</t>
  </si>
  <si>
    <t>wkvyHlvSuAg@GI`EkIRc@?CuHgN?@oBkDgDuE}DaGoEsGk@q@mBmCLQpAeAjEyCxA}@h@YfAY\ErB?nAEx@GVEl@SzCuAn@a@f@QjBgAl@WdB_A`C}@pBg@h@SDE?O@Ct@MhAGtFFBAz@A@BQn@UxA]|Aa@pAy@hB_@lAIh@CdCOpBPbCFd@Rt@VvB@f@NtALp@Zt@a@Bs@|@aEnGiB|Ck@tAiBlCmDvGkA~Be@n@ADZt@@LsDhG</t>
  </si>
  <si>
    <t>P@D??F@?C??@?H?A@?D?B?B@?D??@??B@?B??E@A@?I@@?B@@C@@E@?A??B@FBB?A@C?@B?@CP</t>
  </si>
  <si>
    <t>https://www.stjh.org.uk</t>
  </si>
  <si>
    <t>oznyHffPEkAW{Dm@mIK_Iu@CE@CCu@?MCAwGoADEAIoDC[uADCCKDCCU@MPw@AOmF}@Vo@F?Bi@?KCE@CGK@s@CEAZgNBsBH_BJaHDkBHi@FYVm@R_@AQb@c@?@h@e@p@i@j@_@l@S@CA[BE`Dc@DCSoG@GVKbE|NjBq@pIaCB?b@pHd@fLH?^Cb@?GmBxBa@PAAzFBp@vBz@nDdBlAr@p@b@@Fm@jH\LHHnAdCLP@HNL@FZb@v@h@jAlArCbCdAbAnD~DDFDV}BhLENyGqDOJc@GKUwCy@[TyB[[OE?q@TAE?UCCiCKM?[HaAMEZw@DCB?LE@aA?UDGKUHAN?fAR|KA@i@DmAFeAHUDEAWHSBEDKACBi@Je@LaA^o@^</t>
  </si>
  <si>
    <t>P??BD??@?DF?D?D?@??@AEE??B@?@@??G?@?@@E?@AC???A@B??D?EB@IF@?F@F??DC?F?E@A?E?E?B??@??B@@?BA?H?FBABAEB@?BB??BA?ACBB??B?AAF?@F?????@??@C??A?P</t>
  </si>
  <si>
    <t>}tsyH~nNYSWa@Qu@MyAK}ASmFGkDDiDCAzHb@J?_@oFQkB]sBSs@Wm@KQWW}@Y[Q]]W]a@qAS}@y@iCOcAK_@EIgAqAOMMGY?GCm@m@C?oAcAc@U_AY?m@`@eKdCgAhBeArAaAz@y@bAkAjAkBl@gAJYdBmDZg@h@y@j@q@`@_@p@_@ZKXCdCk@jA_Ax@g@\QROVO^[JO~EqCxE{B@XGz@AlAJxDJhBDlETrDVdI?lAHjDTlF?NPdFGH{@H_@Ng@|@_@x@YjB{@MEB\~@DXBl@EzD@rACtKBrE?tDJn@}@NaCZy@d@UHmAVa@N?GMJi@VkBn@i@BUVu@jAFd@ELGHOLwAx@qCtAw@f@u@p@o@p@OT</t>
  </si>
  <si>
    <t>P@B@C?A@?E?F?FA@?DA?A?C??@@?E?B??A@?B?E?H@B@D@B???B@?E?A@C@???A?B@J??A?@BA??@??E@AC?BC@EA?C@?A?AG?BA??@A?@AE?BA?C?@@B@?P</t>
  </si>
  <si>
    <t>http://www.stmaryofeton.org.uk</t>
  </si>
  <si>
    <t>{lryHlcGDaCAWFmFBaEA}D@yBEoFEo@SBc@Ng@Z[Zy@jAYZUXUNm@Vu@RsLrDGSYuBe@_EoAsHeAuIWeAs@sBKc@u@wBkBeGOs@GkACoA@yBSqLWoJAiAEo@[cNAkABeAc@gBbAwF`AoEBY?mBvAIZLV@n@Sv@AfA[lAeAf@WhAMfEmAnBOPKr@GzJlBHX@NAz@BDPABDfB~XBF|Ah@HFQz@e@tDmA`OBDNFlHhCFFx@fGz@fFVrB@TpBzG\tAn@tBXlGLhAh@~KV~Bs@nBSv@Q~@i@zDG|@CrAG|@CBSEMOMCaAnAA?GMSL_@^sBbBYcAAAC?CFHf@ADgBzAh@`FwEtBc@Hg@?[BQ?GAGs@EaA</t>
  </si>
  <si>
    <t>P???A?@?G?@B??@?D@?G??@@C????B@H?@A???A?BE@B?GA@BACA@CAA@@JBF?B@@AD@?E?AF??@F?@?C??D?@@G@?CA??E?A@CB?AB?D@?D@?CEFB??D?B?P</t>
  </si>
  <si>
    <t>https://www.stmaryn16.org</t>
  </si>
  <si>
    <t>_lvyH`hQMk@_@yBa@_BOWWO]EI@OJSLm@ZIFu@`AQNuAl@SBK?SGa@Q]SOOU[i@mAQW_@_@SOw@WQMQQwAwBQe@E[?OFu@?_@E][q@Sy@i@_AWaAdK}JpAqAV[|CoC|@q@vAw@~IsDcDwRBC`@G|@Wl@Ut@c@p@m@LSCCc@GyAQyCRuBPGWA[Fw@@gACUMi@E]Hq@K{@?mAEaC@g@Do@Ha@LYHMRMP[Se@EAGBEI@QDIBAFFJGfB]b@j@DBJ?`CWPEDE^sADGfAyE@EB@DGb@aCFGBeAV?XDDDvA`@zBl@zFr@dCRtBXBfEh@H\lAFHpDxMNpA@Bj@ARBDFJZTh@LFf@DDBs@xTBBNDf@^LLb@l@tBbFTpAJnAB~@?tCzCpCpG@V@JDJLDTLv@lAdFEFq@l@Fb@KFIVQt@a@z@OdAMR]ZUHK?QEg@_@c@CQ@UDk@\_DvAm@FcAAw@KWEuAa@SLuAf@]H}Al@gDjBaAb@M^AC{@@C@uFGiAFu@LAB?NEDi@RqBf@aC|@eB~@m@VkBfAg@Po@`@</t>
  </si>
  <si>
    <t>P?@B@EA?B??A?BD?@B??E??BA??B?D?B?@?C@@@H@?@D@BGE??@B@?F??C?F?A@A??AAA??F?B@?@CA?@B?E?A@CA?B@?E?@@??A@BBJ???B?@GCB?CAD?@B??B@?EE??A?CD@B?FD@?E?@@I?BB@?@AA?E?B@A?D@?AD@A?E???B?BD@?@B@D??B?@B????P</t>
  </si>
  <si>
    <t>http://www.stmarys.islington.sch.uk/</t>
  </si>
  <si>
    <t>https://stmatthewse5.wordpress.com/</t>
  </si>
  <si>
    <t>k~uyHnhM[Go@?EC{BaIy@aDc@qBk@eDa@_Dg@oESeCQkDc@iO?e@a@cQJCvEg@`@Oj@c@vDiEhDoDv@k@|@i@~Cy@~CgABEj@IrA_@BFTlHJjHG`Cc@~JD@p@B^FNDVPPX~@`DZr@T`@l@l@f@\zAn@pHpEh@Tb@JP@l@?FrBE~ACDsHjDiGrCk@ReEjBiBx@GHo@XkMxF[fEk@nCy@|BMh@</t>
  </si>
  <si>
    <t>P??D?B?@E@?C@?H?@D@?ADA@?@?I?@C?F??A?D@?B@D@@C?A?E@H?@?????@FBA?P</t>
  </si>
  <si>
    <t>http://www.stmatthiasschool.org.uk/</t>
  </si>
  <si>
    <t>https://www.stmchurch.co.uk</t>
  </si>
  <si>
    <t>ybtyHtiPGc@p@m@DGmAeFMw@K]EEKEWAqGA{CqC?uCC_AKoAUqAuBcFc@m@MMg@_@OECCr@yTECg@EMGUi@K[EGSCk@@ACOqAqDyMGI]mAi@ICgEBA|H|@nCT|CFdDAzFl@rAHv@BBCx@@jBDzCTDBEhDFjDRlFXvDJf@JVPVXRWr@O|@_@pHG`BQ`IDfALrBDXAPHHIxAk@dBYr@_@vAUhBFd@e@tF[P]XMb@Gv@ABKA[SkAi@M@CC</t>
  </si>
  <si>
    <t>PB?C??E?@ADF?B@DC?A??EE?@B??B@?DAC?BCI??B?B?A???A?HA?C@C?@D@B?CB???AAF?@CAAE@B@?D@?@?P</t>
  </si>
  <si>
    <t>https://www.stmichaelslondonfields.org.uk</t>
  </si>
  <si>
    <t>olryHlbLUmFIkD?mAWeIUsDEmEUmFAu@@mAF{@AYfH{BjDmACaAo@iLPEfAEdDEVABClA@xDGV@TJfBnAhGdFd@ZXLZDb@Kp@S|@ArBJbBRbAHdADd@?LBb@Ct@@\D~@Th@FDAVrAT~AN`BBpAGfBKjAKn@Qf@Yh@qClDe@dAUdAQlCAh@?hDE`F@n@ArFKtIWdHMrAEAmBLgBF{A?WBq@?{CG]Eo@?aBKsDOGGFaOCG{DImFSuBCEACGAy@EOcJf@m@F</t>
  </si>
  <si>
    <t>P@??A@@B@??F?F?H?@??A??E?@@?EA?AC@?A??@?A?@?I@?B@D@?C@B@E?A???@B@H??@??B??@?F@?F??D?@?D?P</t>
  </si>
  <si>
    <t>http://www.stolaveschurch.co.uk</t>
  </si>
  <si>
    <t>qixyHpjRScCwCTqCV{B{MsAqIoAyKGcACGGy@Q}CBCT?FCfWo@RADAY_ES{DAgA?mDI_DK}@S_D`BtAf@n@@ABM@k@g@yEAe@Fs@Tq@^[r@]d@IT@PF\b@x@jBb@nAb@|Av@fDVt@\p@DNfA|A`AdBTX~@z@VN^LTVXbAh@~@Rx@Zp@D\?^Gt@?NJh@Zn@fA~Ab@^v@VRN^^PVh@lATZNN\Rt@XJ?RCtAm@POb@k@Z]l@[b@YHA\DLFHFNVTx@ThATtALj@{CtAm@RWDy@FoADsB?]DwA`@sBnAkExCqAdA]^uA`AmAf@UVM@}An@EDuB`AcDhA}BjA[T]b@]Zk@\i@Pa@\STCL</t>
  </si>
  <si>
    <t>PD?F?CA???G??@??G@B??A?E??E?AA?DACA?I@AB?@A??D??B@?@D@@@C?@?AC@F@?B?@@B?@E?AB??A?C@?E?@A??H@C?@AB?E@A?@CAA?@?@AC@?A?A@@P</t>
  </si>
  <si>
    <t>N16 7QB</t>
  </si>
  <si>
    <t>http://stpaulswesthackney.org</t>
  </si>
  <si>
    <t>uxsyHtsM}CWkBEy@ACBw@CsAI{Fm@sF?oAEoCU}H}@C@uBYeCS{Fs@e@KmDcACCLi@x@}Bj@oCXcElB_A~I}Dn@YFIhBy@dEkBj@S|P_IBED_Bz@TDEr@L`Ac@a@dK?l@~@Xb@TnAbAB?l@l@FBX?LFNLfApADHJ^NbAx@hCR|@`@pAV\\\ZP|@XVVJPVl@`@bBNbAPjB^nFK?{Hc@</t>
  </si>
  <si>
    <t>PA???A?BA@D??@@B?G@@@BI?@????@D?D@@CH?E?B?@A??B?D?@@??D?A?AC?@F?@F?P</t>
  </si>
  <si>
    <t>http://www.spsm.hackney.sch.uk</t>
  </si>
  <si>
    <t>http://www.stpeterdebeauvoir.org.uk</t>
  </si>
  <si>
    <t>y{pyHx{OGIsCw@eUeGEBEGqBi@GKo@QcO_Eq@DyBVAAIU?QHq@f@kGJm@JcA@g@?YCOe@_AWeAH{@DcAXgDHuBHq@b@kJDa@B?z@NbBTpAL|CLrDVZ@`AJrDXd@F`BJRD`@Br@HbBPpAA\@b@_@L?dEDh@DnELHBiE`m@A`@r@~Ja@f@</t>
  </si>
  <si>
    <t>P@@@@??@AD??H@A?@??D?A@C????@?I???A??A???????C?B@B@??HC@CP</t>
  </si>
  <si>
    <t>Street, N16</t>
  </si>
  <si>
    <t>https://www.saintthomasclapton.org</t>
  </si>
  <si>
    <t>mbxyHb_Na@a@qC_CWsCCeBEi@SuAOm@Iq@MyCFs@@k@^K~@K`AADwEAmAGaA{BuXq@gHBG\ODE[iDAECAkAh@w@TcA`@{Ab@o@{DEGqBeRnBo@dAOV?l@FZEd@SR[`AeCh@_@\@^T`@FPCHSBe@Nk@r@aAl@SQk@Gw@Cw@Ja@NWTM\BZH\T`@`@H^AjAt@nCdDi@Z[^g@?aAIg@O]aA{@SYCi@HYLKVKd@Kb@DzAr@\Fb@EnAe@j@Gz@kAVgBA{CNaAj@eAx@a@|A_AjAe@T~@j@dBZt@R^b@h@RN\FXCBFAROl@k@rASbAMnAAl@AbCJvGJvCFl@VhBXrAV|@B@HEz@e@|BeBl@Ub@K`AOTCB@`@bQ?d@b@hOPjDRdCbAxIp@zDb@pBx@`DzB`IDB_MYiAA{AGkCCg@C}ACoGCqCE}@?wDIy@ECC]CoCYyA[m@ISACDGh@aA|JaAhIMvB</t>
  </si>
  <si>
    <t>P?D@?A??EA?D@ADE?A?C??CF?A@??F?AHBA?A@D@ADAA@E@@CBCA?C@AF?B?DABEF?BD@B@C@E?@CA@C@@ECAADB?@J?A?C?B@@E?@AC?@D@C?A?F??AC?A??E?@A?EAC?A?H??A??????C???@@?G???@P</t>
  </si>
  <si>
    <t>http://www.theurswickschool.co.uk/</t>
  </si>
  <si>
    <t>N1 0DH)</t>
  </si>
  <si>
    <t>http://www.allsaintsislington.org</t>
  </si>
  <si>
    <t>yrqyHjmWGuASuBaAaHiA}GuA{IqA{Gc@kCDAF@jCWBI{BoMsAwIgBeNaCuN]oD?EFEtCeAnBm@rA_@L?~FuAr@OPAj@FpKnCvGV`EVZF~AHDB?r@`@tECH^xDBBHCB@@FGd@Sv@}DfO|EdELPSjE@F~Df@r@D@b@UlK?JBDnCd@rKqA~@KBBl@dQ@I?^d@|NY@?CI@wCAwEOaACC@gAEqKSEBECg@AiDJgAHGHg@J}A^_Bj@uCbBqAtAmAtBm@p@aAx@[R_@Ng@H}@AEA</t>
  </si>
  <si>
    <t>P?AB?@?E?@AD@AAAG?@?B????I@C@?@?G@@BB@@?E?@F?D?E?E???FC@@FA??I???A???@@??B?F@?@BDA@B?C@A?P</t>
  </si>
  <si>
    <t>http://www.christchurchhighbury.com</t>
  </si>
  <si>
    <t>yltyH~rSIgVG}D?oABUCKCCC?KJULaMdHADUoBAq@K_BGQQcCWkG@Cr@Id@ARGBCOy@?KZeDB?h@iHAEmAuAACXwK@EFAbFIX@fAChBH@FI`D@lABF`HHHG|@Cl@@\BBENoD@qCtKq@\BXPHJHNNz@N|HABG@ABb@rS@@~CQNCtAGp@B`CV@B|Er@HAHD~@R`@JTdAf@`Dd@lDPvBHzD?`@I`B?^Ip@CDiHoD}CwAGG{HaECF_@hFCdAW`DIb@a@~AOvAOHeI~CC?e@a@e@USGe@?{@LyD|@yE|@</t>
  </si>
  <si>
    <t>P????G?A??@DF?@@@D??@?D?B@@D??DH?@A?@E?@?E@@@?F@AE@I?B@CA??AF???@C???A??G@A?C?A?@H@?A?G??@B?AF?D??B?D??P</t>
  </si>
  <si>
    <t>https://www.city.ac.uk/</t>
  </si>
  <si>
    <t>https://www.cityymca.org</t>
  </si>
  <si>
    <t>http://www.clerkenwellprimary.org/</t>
  </si>
  <si>
    <t>http://www.hopechurchislington.org</t>
  </si>
  <si>
    <t>u~syHdaUeEsFkDsDwBsByD_DoEyC}@g@cDeBcDoA?K]mBlKgCXEdLeCDCxE}@xEeAl@G\Bn@Zd@`@B?dI_DNI@CLsA`@_BHc@VaDBeA^iFBGzH`EFF|CvAhHnDFSDc@?_@HcCdBADAN?^KDB?BYx@Mh@CdA?XDFvCR`CIZCB@`@CB@pBGHbB^~Et@pJ}A`@oBl@uCdAGD?D\nD`CtNfBdNrAvIzBnMCHkCVGAE@}OrAcDZSH[AYB{DEcE@kDA_DaE}AwBwDqGaDiGwBuC</t>
  </si>
  <si>
    <t>PAB@D?BAD?H@???@D@B@?CG?AA?B@??G?@?E?@?D@??E?@?B@?EB?????I??F?A@?FAAA@@I?@?@@C??@?G?B@AP</t>
  </si>
  <si>
    <t>https://nagsheadcc.com</t>
  </si>
  <si>
    <t>http://www.holyredeemerclerkenwell.com</t>
  </si>
  <si>
    <t>ykoyHbsUiE}Jw@iDz@[pEsBBGUoB@GpEcC{@aDxDeA~CmEpBiCb@u@hAcAdAq@@@pF`GtAy@~@tBCLcA`BuArBu@`AaA|AkCbF_BnDG|@IHYxAQb@[r@s@jAeApBi@x@OLo@VuARSDO?iCNwAL</t>
  </si>
  <si>
    <t>PBF?D@?DDED?@B@?HDCAF???ACBA@@C??@E@A?B??P</t>
  </si>
  <si>
    <t>https://www.standrewsislington.com</t>
  </si>
  <si>
    <t>http://www.standrewsn19.org</t>
  </si>
  <si>
    <t>cbwyHzvZW}BSwBE]q@sBkCyFi@uAiAgDaAmDeAsC}@{C_B{Dy@cBWc@Oc@w@sC{AkIx@a@t@g@~DoDxAiClBsDpAwBtBrEzC~FxD|Gv@jAFFTE^Y`@cArBwDhAcCnCpF`AtBdApBzAxBYpAiBfGeDpJ_CpGsFnLM`@_@lBa@nAqBlF</t>
  </si>
  <si>
    <t>P??CA?B@@?B@?@CAG?AD??I@A?F@AC@@F??AH@ABAB?A?P</t>
  </si>
  <si>
    <t>http://www.standrews.islington.sch.uk/</t>
  </si>
  <si>
    <t>http://www.staugustine.org.uk</t>
  </si>
  <si>
    <t>k|tyHbdRuBkD@?oE{HC?ACe@{E_AmDUuA@GIgA?i@D_@XiAFq@ACUQL_@`Ac@fDkB|Am@\ItAg@RMtA`@VDv@JbA@l@G~CwAj@]TEPAb@Bf@^PDJ?TI\[LSNeA`@{@Pu@HWJGBBLAjAh@ZRJ@@CFw@Lc@\YZQd@uFGe@TiB^wAn@gBrBp@jBr@nCtBnAhA`@PtC~@?|CD|DHpC^lIZjEj@fF?ItBfOfAfHC?\fCI@}Es@ACaCWq@CuAFOB_DPAAc@sS@CFA@CO}HO{@S[YQ]CuKp@ApCOnDCD]Cm@A}@BIFaHICGAmAHaDAGiBIoDB}CH[|K@BlAtA@Di@hHC?[dD</t>
  </si>
  <si>
    <t>P????EB@C??B?@B?BH?A???D?A@DA?@D?A@B?E?AA@?@D?@?@F?@B@CAAC@G?B?C?I?@B@DAA???H???C@???GA??AD@B@HEA@F?@@@E?@?DA?GD??D@@P</t>
  </si>
  <si>
    <t>https://www.stclementfinsbury.org</t>
  </si>
  <si>
    <t>sfoyHxwRCCg@KaHwAtKsp@FUVI@CEaAzBkNVwAf@wBTg@b@i@j@c@l@]rAg@|@QBCJ@DERCVID@R|Cr@~Mp@zHd@zDh@tDhAjHlApF|BbISb@MWOF_Az@QHwCx@I?qH|BcKlDqCpA</t>
  </si>
  <si>
    <t>P??FBA?BB@?F@B?CA?@???I@@B@D?BAGBB??B?@BAP</t>
  </si>
  <si>
    <t>http://www.stgeorgestufnellpark.org</t>
  </si>
  <si>
    <t>mouyHffWpB_CdLkRtAoCRYHP^b@xBnDjAzArAhArDpCvCdCfF~DlDdEl@x@g@nA{AjDcDxGgBhD\hBxAbK^nA~CnIo@lA_A~AgB`Ck@j@m@V_@VUPORSb@Qj@Qz@Gp@_@dBSf@QVc@d@y@r@mEdDEGm@[qEsA{B[QE?QEQmBiGkAcDwAoDgAaCgC}EkAmBkAiBbAmDwAsBQIk@{@aDsFXs@k@_AnB{Dj@uAXy@n@kCPi@\u@|@wApB}B</t>
  </si>
  <si>
    <t>PB@?G??@C???C?H?A?F?C@F?AC@?A?D?A@?A?D?@I?AB?E?@A?C@A?EDAA?GCC?B??D@AP</t>
  </si>
  <si>
    <t>http://inspiresaintjames.org/</t>
  </si>
  <si>
    <t>iwnyHrbUH_A~AoDxBeErA{Bt@aAtAsB~@{AFS_AuBuAx@wDgE{@{@eAp@iAbAqFmOGWGyA_AoA_GcNjAkBXWpCqAbKmDpH}BH?vCy@PI~@{@NGJV|B~KZhC`Ac@Hj@PEHj@Bn@DVBBVHv@NF@HMGc@BA^M?Jx@SHIDDABFV`@[FX@HA@FZW^v@`C_AdAJh@WPeBrCUf@TXt@h@JXTWxCqBf@rE{@ZIHq@|@aAnBSTG@i@C]Fm@KmBtAg@b@S^i@dBOv@Bv@AXETABe@LABD\P~@DvEIb@BbDIzCGRaAfAUj@]xAA@u@W_@S{BjBo@@GJcDP_@l@gByC</t>
  </si>
  <si>
    <t>PB@C??@@GCD?E@FB@CAHC@DA@?B??I@AEDBA??C??D@A@CAA@C??BF???BBDABA?E@AD@EG?B@@C?@ACA@F?B@?B??D?ABA@D@B@F?@DCA@CEP</t>
  </si>
  <si>
    <t>https://www.stjamesislington.org</t>
  </si>
  <si>
    <t>__pyH`wSEIcBu@eBsAgAs@yAwA{BcCc@a@U_@{CkJe@eAsAyBsCuD}DcFC?uC}EkFoK@S~DaILSx@iBrB{D`DuD~EuFlBqB@GRPbDrEnAfCdCrH|BrIvCtJbAy@~E_DpC}Ad@S?Df@Ud@OPA@BBPPAZDZLbAj@oNt{@_@tCKl@QVMHI@aBIe@H</t>
  </si>
  <si>
    <t>P@A?B??E@@D@A?CAH@???D??@I@AD@@G@A?E@@?C?A?A?H@?E@?BAP</t>
  </si>
  <si>
    <t>http://www.stjohnsupperholloway.church</t>
  </si>
  <si>
    <t>http://www.st-johns.towerhamlets.sch.uk/</t>
  </si>
  <si>
    <t>http://stjudestpauls.co.uk</t>
  </si>
  <si>
    <t>http://www.sjsp.org.uk</t>
  </si>
  <si>
    <t>suryHhiRUgAa@K_ASIE]gCB?gAgHuBgO?HYaC[kDQeCQcDW{HE}D?}CuC_Aa@QoAiAoCuBkBs@sBq@Tq@HyAII@QEYMsBEgAPaI`@eJDm@N}@To@PYn@q@t@q@v@g@pCuAvAy@NMFIDMGe@t@kATWh@CjBo@h@WLK?F`@OlAWTIx@e@`C[|@O@?XCRn@x@DHBc@`JIp@ItBYfDEbAIz@VdAd@~@BN?j@MxAKl@q@nIJVxBWp@EbO~Dn@PFJpBh@DFgBlOe@rC_@dDuA~KZl@sDzHvC`I@dDw@n@mBjBg@^o@Xy@VOJl@bFGDwKfEUL</t>
  </si>
  <si>
    <t>PC??D???AE?A?CA?F?C?B?EABA???H@C?A@F?@B@?C?AB?EA@?A@??AB???JB?D@????D@A?C?@GB?CA@??G@@?CDECF??B??EE??P</t>
  </si>
  <si>
    <t>http://www.saintlukeschurch.org.uk</t>
  </si>
  <si>
    <t>yrqyHjmWE@]AI@OFcA|@a@Ta@N]Fs@HiDp@_BLyHpAaCd@wDn@}Ab@w@l@i@n@Y^[l@_AvBc@bAY~@Wf@{@pAC@o@t@YPq@\mA`@WDy@d@w@Ae@@]JURg@|@uBbFgBpC_DoI_@oAyAcK]iBfBiDbDyGzAkDf@oAm@y@mDeEgF_EwCeCsDqCsAiAkA{AyBoD_@c@IQzAmCzCgFtHoLvAaCJUvA}BnAeBzAiBvBtC`DhGvDpG|AvB~C`EjD@bEAzDDXCZ@RIbD[|OsAb@jCpAzGtAzIhA|G`A`HRtBFtA</t>
  </si>
  <si>
    <t>P?@?BA?C??@@A?@F@?C?@?A?D?@B@?@C?AE@AAI@C?F?A?G?C???C@??I?@@??B?HA@B?G?@??C@@G?@?BA?P</t>
  </si>
  <si>
    <t>http://www.st-lukes.towerhamlets.sch.uk</t>
  </si>
  <si>
    <t>https://www.stmarks-clerkenwell.co.uk</t>
  </si>
  <si>
    <t>{soyHzaUuB{ICS_@{HGwDMmOCILo@^uC~EgZ`HvAf@JBBYVkAjB?B~F~M~@nAFxAFVpFlOc@t@qBhC_DlEyDdAz@`DqEbCAFTrBiBx@GFcBt@{@Z</t>
  </si>
  <si>
    <t>P?DA??E??I??EA?EAC@BG@?DEDD?D?@?P</t>
  </si>
  <si>
    <t>https://www.tollingtonparish.org.uk</t>
  </si>
  <si>
    <t>kqvyHrqWOYaD{E_DcGgBaEqKuWOSuEqLK_@f@s@Xo@t@u@\i@f@y@L[Zt@F^B@HGJSvBaGjDkKjB{EjDeH|@{A|CqE?Hf@k@xBkD`FmIAM[u@JOfEzKlAJrFj@tCb@vBd@pFdBfA`@`Ab@TFbDdB|@f@nExCxD~CvBrBjDrDdErF{AhBoAdBwA|BKTwA`CuHnLuDlGuA`CuAnCeLjRqB~Bu@oCw@iBqByH_@kAECaD~DuSnX</t>
  </si>
  <si>
    <t>P?AC?@A?H@A@@?D@C?@D@@D@BAAB@C@AJE?A@D?B?@F?AC@BI?B??@B@?@BF@@@?G?P</t>
  </si>
  <si>
    <t>http://www.st-marks.islington.sch.uk/</t>
  </si>
  <si>
    <t>http://www.stmaryshornseyrise.org.uk</t>
  </si>
  <si>
    <t>c~wyHtqXUgCMoBAs@_AmK@_AAy@Bu@HwABMLSFQBY?a@]}BKc@o@oAMa@e@eAG]MeC[_CUsA]mCcA{GrAmBz@aBdBeEpAeC\k@x@iAf@_Ap@aAhAkADDHRj@|@^n@j@s@J^tEpLNRpKtWbCrFbCpE`DzENXjFjHwFrKiBzDsBvDa@bA_@XUDGGw@kAqA{BgBaD{C_GuBsEqAvBmBrDyAhC_EnDu@f@y@`@</t>
  </si>
  <si>
    <t>P@?@D??BA??@?D?B@?@CA???G@A@B???AI???DD?A@@DB?@H@@@AG@B?B?AG??DA?P</t>
  </si>
  <si>
    <t>https://www.stmaryislington.org</t>
  </si>
  <si>
    <t>wqpyHz|SEC_BI[GaEWwGWqKoCk@GQ@s@NcGrAu@qJ_@_FIcBqBFCAa@BCA[BaCHwCSEG?YBeALi@X}@DGLADBL@lDBvADlB@G_C?CJIBEa@kDAe@tAk@h@O~NgCjC?JAD@~@?v@NDGVoAB?|DbFrCtDrAxBd@dAzCjJT^b@`@zBbCxAvAfAr@dBrAbBt@DFGD_AEMBYZmA`B_@RoCf@IIo@Lc@Bm@CSGcAAEB</t>
  </si>
  <si>
    <t>P?@?@C@E??G??F?????BE?@B?I?A?@??EA??B?F?BD???AD??H?AD@@E??B?A?G@?C?ADBA?B@@?P</t>
  </si>
  <si>
    <t>http://www.smmacademy.org</t>
  </si>
  <si>
    <t>https://www.saint-silas.org.uk</t>
  </si>
  <si>
    <t>ksoyHhlVk@_QEIsM|AoCe@CE?KTmKAc@s@E_Eg@AGRkEMQ}EeE|DgORw@Fe@AGCAIBCC_@yDBIa@uE?s@DCbA@RFl@Bb@Cn@MHHnCg@^SlAaBX[LC~@Dl@M`BHHALINUBHLlOFvD^zHBRlDdOhE|JSNYd@{@fDeAbG_@nCSlBKn@AT</t>
  </si>
  <si>
    <t>P?FCF???E?E?D?G@?E?@@BB@@F?@@B?ABDA?D?AAB?@I??B?ECF@BCA???P</t>
  </si>
  <si>
    <t>http://www.ststephenscanonbury.org.uk</t>
  </si>
  <si>
    <t>y{pyHx{OGJ?JAnBBbBI|AFbCZX|EjD?JmBpB_FtFaDtDsBzDy@hBMR_E`ICJ@FjFnKrCzEWxAC?w@O_A?EAK@kC?_OfCi@NoAf@GFB`@`@jDCDKH?BF~BmBAwAEmDCMAECM@EFEC_@J{BBI{DEq@KeAe@mDg@_DTMvKgEFEm@cFNKx@Wn@Yf@_@lBkBv@o@AeDwCaIrD{H[m@tA_L^eDd@sCfBmODCdUdGrCv@FH</t>
  </si>
  <si>
    <t>P?@?@AE?AF??D@???F?ACG?A???DB?F@AA??AE??@?B???AI?B??F??EE??B??FCEDC?@@G@@@P</t>
  </si>
  <si>
    <t>https://www.stthomaschurch.co.uk</t>
  </si>
  <si>
    <t>ofuyHp_TmFcBwBe@uCc@sFk@mAKgE{KZe@jA_ClDwGhBmCj@uAhB}C`EoGl@w@DE`@C[u@Mq@OuAAg@WwBSu@Ge@QcCNqBBeCHi@^mAx@iB`@qA\}ATyAPo@TP@BGp@YhAE^?h@HfAAFTtA~@lDd@zE@BB?nEzHA?tBjD?JNv@CDSFe@@s@HABVjGPbCFPJ~A@p@TnB@E`MeHTMJKB?BBBJCT?nAF|DHfVEBeLdCYDiKbCEB^lB?J</t>
  </si>
  <si>
    <t>P@C@?EG@?@A@C?B@F@B??A?@E@@C@@B?@I?B@?B??C@BE????B?E@@??DA@@?@G@??B?@G??@G???D@?P</t>
  </si>
  <si>
    <t>http://www.thecharterhouse.org</t>
  </si>
  <si>
    <t>http://www.churchonthecorner.org.uk</t>
  </si>
  <si>
    <t>https://www.trinityislington.org</t>
  </si>
  <si>
    <t>E3 3PN</t>
  </si>
  <si>
    <t>http://www.allhallowsbow.org.uk</t>
  </si>
  <si>
    <t>}cnyHlsCgA_Bk@gAm@gBU}@[kBUqCGcB?_F@oAjAm@rEoCzJsFxF{CpCsAl@UfBhGtDxLpBdHbBhFMVc@n@uA`BmCvAyB~@eAh@g@b@kA~Ae@`AaAvDQ_@iBlG}@jAqArBsA}BYq@_@eBIm@EmAyBcDiA}Ay@_A</t>
  </si>
  <si>
    <t>P@B?AD@B?G??A@?H??@G?@C@?AE@BCBB@G@C?AC@?P</t>
  </si>
  <si>
    <t>http://www.parishofpoplar.org</t>
  </si>
  <si>
    <t>cvlyHznCmByGLWcBiFqBeHuDyLgBiGWL_EyLcB_G[_A{B_DQ_@}BgEIUU_AIMwAs@g@_@sBcAg@YYWpADn@a@bAa@vAd@vCzApBvAjA^zBGl@_@d@}@|BmG|AwBxDkCXIlADp@Qh@{@Lu@Ew@Ow@oA{AiBeAa@m@[yAUaDF[hFiMX{@`CmJxAaElAoBjA_A\Gp@ATLzAfAv@V~A`AhBx@tC|ArAf@hAHd@E^e@N_@Hk@Bg@GyAC_@Mo@]o@e@c@eAe@yB]aB?mBIa@Gg@OUMi@e@s@y@m@aASy@Iq@@[Fu@HYXw@z@eAh@_@r@Y|AWvBZv@Lp@`@t@h@|ArAj@~@t@t@fAz@l@U\_@Po@NsANsB`@sEL_A`@qAf@cA`BiAr@DjFdC|G`IWh@c@fAcBnG]|Aa@tBSjCE|@Aj@D~B`@vGr@|Ez@vDVr@p@xAfAxBbC~Dn@t@\Zj@`@l@j@hCtBp@^t@VvBn@fCl@~@Jh@Ab@KDBFnXBB~BRDBh@rFz@nGDDDA^UF?^HL\W`ARdCNfAABQ@u@GmAAUF_@Pe@b@KREjAq@~Ke@zICNa@zH_ACmB?E@s@AI@YAuR?g@ByFAcGBgAKkDm@CPM~AQdD@dBKBa@?OCg@W[GoBE_@KMACDa@vFy@bKABAl@e@dFsC?w@Em@?gBLmABAOR}D?Y}BaAa@{AwE}AwBm@</t>
  </si>
  <si>
    <t>PBB@??CB@?EB?A??D@@@?IB@D@ACBFB@BDCAAGAC@DAADAF@B?ABGB@D?A@A@@E@CA?G@A?C@EAB@@D?A?EA?C?A?GA@DBEA?BA@ACGAB??B@DBCJCF?A?CA?E?ACAF?@AD?@??E@A?CA@?FE@?D@D?@@BACB@I?@?C?A@E????G@?????@??C@G??AE?A??A@?@E??@?G??A?E??ECC@P</t>
  </si>
  <si>
    <t>https://www.canarywharfchaplaincy.co.uk</t>
  </si>
  <si>
    <t>http://www.parishiod.org.uk</t>
  </si>
  <si>
    <t>sfjyHnwD@AZ{Fp@gNBCx@LR@XqFxAXHEPuFAg@B[DiB\YzAnADBBGz@}ORgEF{@z@uONqB@m@^_GDkAJSd@c@^QTGlA@t@FPA@COgASeCVaAM]_@IG?_@TE@EE{@oGi@sFEC_CSCCEcWAk@CCpDu@HE`@G|@IdAQ\O~@[lCcAdGmCtAo@nDuBz@u@bBeBhAw@rAo@d@KTM\KNO`A[jBe@pAWz@MbAClA@|BHz@TbBt@hAj@jAt@~@v@`BrBb@t@fAxBd@fAXx@fBrE^fAfA~Er@xD`@lCvA~K`@~GN|DBfCE|GIrGKhEMhBYzCm@`Ec@bCsAjFeBdG[`AoAxCq@jBuB~Du@nAoDrFeBvBi@j@kBbB_An@g@XuDfCiAr@yE~Ba@Jg@DmAF_Cb@sDNmADcAA_DIyE[}@@yAIkBOeEi@mCUaH_@mACuATg@B</t>
  </si>
  <si>
    <t>P??E@?DD@D???ECA@E???????E@A?C?@?G@BCAB@@?D@D?@E@?H?A??C??@D@B?@B@??@E?A?D?@BJ?A@DB??E??BC?AGA?C?A@EA?C@?I?AC?AE?B??B@G?@@B@?D@@@B@?ACA?P</t>
  </si>
  <si>
    <t>http://www.christchurchprimarybricklane.org</t>
  </si>
  <si>
    <t>https://www.parishiod.org.uk</t>
  </si>
  <si>
    <t>http://www.ccspits.org</t>
  </si>
  <si>
    <t>uenyHlxM@MD}IBA\?@ILyM@CB?b@Bv@LB?@Ei@_E[mCWeDIyBq@uZd@JBARqCPkARm@j@{@n@k@l@W|Bw@rBc@@aAMs@q@wCM{@GoATQ~CqBRORWnDuBTQtB`PdAbH|@zG~A`JHLZbB?FBLx@rD`AbD|E|M|EjRj@dC@PmAlBy@x@eAdBoC|EmApAQLKDkAt@OB{CtAMH]b@e@b@s@^gANEDyDe@M?Er@CFcAl@k@TIFI`BEHk@zFI\sAiCII[ICGn@kHs@g@mAs@oDeBwB{@Cq@@{F</t>
  </si>
  <si>
    <t>P?C?ABD?@?@?E?@C?G?C@B@D@B@EA?A?E?@?A?I??B@???D@BB@?H@A?B?E?A@B??AD?B?E?C??D@?@HB??DE?A@E?P</t>
  </si>
  <si>
    <t>http://www.faith.qmul.ac.uk</t>
  </si>
  <si>
    <t>http://www.rainesfoundation.org.uk</t>
  </si>
  <si>
    <t>http://www.sjcr.net</t>
  </si>
  <si>
    <t>http://www.stanneslimehouse.org</t>
  </si>
  <si>
    <t>__lyHfaGcBk@NuIg@yAy@qBuMiTyCkFECICi@?]Do@RBo@BMbB}@z@YZEBCIoMlGyB@Ci@mHvDcBHE@EcF_PyDmMvBl@vE|A`@zA|B`A?XS|D@NlACfBMl@?v@DrC?d@eF@m@@Cx@cK`@wFBEL@^JnBDZFf@VNB`@?JCAeBPeDL_BBQjDl@fAJbGCxF@f@CtR?X@HAr@@DAlB?~@BgAnSCFEC{AoA]XEhBCZ@f@QtFIDyAYYpFSAy@MCBmAbVSFuBREA_@@a@IMB[JqBv@oAl@mBlBOVGRKl@K`@]n@m@v@a@z@Wt@m@rDmAvFYhAUpASf@U`AoApIOdBICu@QeB]E?GCy@Q[L{COI@uH{@ABEn@OnHC`DJbG</t>
  </si>
  <si>
    <t>PDD?E@D?@A@G?CA??EDE?E??F?I@CCE??E?A??G?@??E@?@A??A?EA??G@C??@?????@JE@ACE???D@DD?@DF?B?@A?D@C@F??B@A?C@A?@?B@G?????BA?BF?@B@P</t>
  </si>
  <si>
    <t>E14 7HP</t>
  </si>
  <si>
    <t>http://www.stbarnabasbethnalgreen.org</t>
  </si>
  <si>
    <t>uupyHtmGaDmG`FiJcBkGnAa@BEAaDBGv@ShAGZBJBr@HbAs@l@o@@OCe@BIZHBD^bDJAxAe@zFgC`@Yx@a@fA_@ROxBmAzAo@DEAc@FQhCcDl@i@l@s@\YRC^fBFv@Nx@dA`FZdAN\nAvBr@|A~AjCiAdBw@fB?Dn@|AuJjGuCxBcBfA_A|@eAtAa@z@_@dAuBoFsByFoCrA}EhBmA`@oBx@cC|@aA~@</t>
  </si>
  <si>
    <t>PEED?C?G@B??D@C?@E?BD?E@?@A?@D@@B@?A@I@?A@D??@EAD?G@?D@B?F?FA???BP</t>
  </si>
  <si>
    <t>http://www.stdunstanstepney.com</t>
  </si>
  <si>
    <t>kqlyHv_MsBaIcEaL{A_Fy@sDCM?G[cBIM_BaJ}@{GeAcHuBaP}CqX}@iISaCeB}L}CcWc@iE[qJ{@mHUyAgAgFg@oBa@oAcAwBa@eAq@yBt@w@pBg@jBOvBArNa@~@?f@Gd@KpAk@\u@Zi@rE{Gp@i@LG`@Kt@GZDDBxCjFtMhTx@pBf@xAOtIKt@SlBa@dFKxCJjE?bBE~CIvB[jEu@dJoApMOvB]pNQhD@?]hG[vGOdIC|IIhEGjRQzFQhHMpKGxBIl@QZ</t>
  </si>
  <si>
    <t>PB@C@??@@E??B@?A@CABE?@B@@?HBDA@?A?EC?AC?B@J?B@B?GB?@AC?A?C@??CA???D@?AC?@?B@P</t>
  </si>
  <si>
    <t>E1 0BH</t>
  </si>
  <si>
    <t>http://www.stgeorgeintheeast.org</t>
  </si>
  <si>
    <t>sokyHdqMUe@SSCQ?mEUFy@FkAPC^CfCQGUCGEMAI@g@LUASBCGKwBm@FSF?COAE]Y@CB?d@]DCEAa@CEED?ZGB_ARG?k@FYCESM}AUgBKi@eAdAL|@_@f@]XBb@cA~@uCoLP[Hm@FyBLqKPiHP{FFkRHiEF}LNeGVwFRiDvE\P`@BBz@TxAKjBQT??CTCF@dBQBD?lA@F@?`AIh@Az@EJCfAG@@DAPUT@HAJIDMN\f@CLBb@b@BFVxEONAdBABQ@ABp@lNNrVDrBCBYDwAHEJGv@CbATvBXfBVlA`@bDj@nC`@~EV|BAt@StAcBbHa@v@_AxA_BxB</t>
  </si>
  <si>
    <t>P@@CE??D@D???B?@?F?D?B?ABC?BC??C@@BA?@E?@?FBB?BBFG@AB@?B@?B@?IC?BD??@@??D?@?D?????B?A?A?CA?B?HCAB??BB?E?@D?@EA?@@B?AF@C?@P</t>
  </si>
  <si>
    <t>http://stjamesthelessbg.org.uk</t>
  </si>
  <si>
    <t>olpyHdiICAe@Au@KKPcAo@]_@i@_A[_AOu@MeAEo@C{AF}AD_@R_ARs@Vm@v@sATm@Ni@L}@L_B?sAO}C[iDSoAY}@[g@gB{BAe@l@{@`A_AbC}@nBy@lAa@|EiBnCsAfFhN`@eA`@{@dAuA~@}@TMVvAh@|D~@~E\vAnBtLgAh@eBhASJu@NGFdAfHnA~LaA^CDZlCCD}@\CCESCEyGxAaAXkE|Ba@BwD?sBD}@eFEOEA</t>
  </si>
  <si>
    <t>P??BC@D@B?E?A?C?A?A?C?AEA?DA?BG@C???AIF?BA?F?@?@E@A??EAG?C@EB??BCAF??E@@P</t>
  </si>
  <si>
    <t>https://www.stjohnonbethnalgreen.org</t>
  </si>
  <si>
    <t>menyH~nKEgAMeFCsGIuC[mHIq@K_A]aB[aAs@{Aa@k@e@c@YUs@_@eAO}FC{BE{AHcFd@e@H{AZ?CmB\mAVUeAGQqAj@u@VcGpA{BXyBB[A_@@c@gB_@mAu@wDM}@Co@C?CUGuBLmC\oCB?FPv@tEDNB@\CpACvD?`@CjE}B`AYxGyABDDRBB~@_@YqCBE|@[BEoA}LeAgHFGt@ORKdBiAfAi@oBuL]wA_A_Fi@}DWwAlAy@tCyBzNkJpByAzJyKp@xB`@dAbAvB`@nAf@nBfAfFTxAz@lHZpJb@hE|CbWdB|LR`C|@hI~CnXWRoDtBSVSN_DpBUPFnALz@p@vCLr@A`AsBb@}Bv@m@Vo@j@k@z@Sl@QjASpCC@e@K</t>
  </si>
  <si>
    <t>P?@@A?D?@CA?G?AC?D@B????D?D?BCA??G?@B???AIA?F?@?E?@?DACB??BGC??CAE??A@E@?@?G?@@DJ?@@B@?EBAC@A?@G?@?@?E?A?AE@B@D@B@C?P</t>
  </si>
  <si>
    <t>https://www.bowchurch.org.uk/</t>
  </si>
  <si>
    <t>a}nyHbyFo@}A?Ev@gBhAeB_BkCs@}AoAwBO][eAeAaFOy@Gw@_@gBSB]Xm@r@m@h@iCbDGP@b@ED{An@yBlASNIB{@oH@CjBiAZQh@_@r@s@ZSTU?Gk@kCfIaHYqBi@kGYwFSgGa@_I[_D]\{EvGgArAmBiEcCmH@IDEzCeAl@YLCXONG`Ac@B?|@i@TITQRGXSc@gCq@aDqAoF]mASo@iBiFkCoGtDiD^dAALF\\oA^wBH_@LSFEREHMPu@J_CFYDIZUJEHA`@?RBj@M\_AVwAz@}LRu@R[NMVKXIl@ILGPMZe@\m@?GJ\LoAjAiCb@u@PQn@WB?`Ac@zAuBl@[^Iv@@\Vd@b@dA`@t@NzDLXVf@XrBbAf@^vAr@HLT~@HT|BfEP^zB~CZ~@bB~F~DxLUFqCrAyFzC{JrFsEnCkAl@AnA?~EFbBTpCZjBT|@l@fBj@fAt@jAjArAhA|AxBbDDlAHl@^dBXp@rA|BpAsB|@kAhBmGP^q@vCgAvCUt@Mp@KlACt@KjA_BhL]fDStCYvIGz@i@rEKj@QZQP_C~ABxAkBNqBf@eDlD{AdBoD|DqBxAeC~A</t>
  </si>
  <si>
    <t>P?DAE@??D@A?@G@A?@B@@C@??G?E?A???D?DG@B??AF@?FAF?A??@???A????F?A?C?@HD@@D@?B@?@BB?D??B??AE@BB@E?@?@C?@?CCB@D@??BB@JB?B@CC?@@@F??A?BC?@H?@A??G?@CA@E@B@?@CA?C@F@CCHA@?D??A@B@?B?G?ACDAD??C@P</t>
  </si>
  <si>
    <t>http://stmaryscablest.blogspot.com</t>
  </si>
  <si>
    <t>_llyH~~IXiGXeMJsBvAaOt@eJZkEHwBD_D?cBKkEJyC`@eFRmBJu@bBj@p@`@ZVf@fARl@Bf@PjI@zAAxBDrBDtFX`E`@`KNrCv@~KHzAA\M|@[xASlBEj@AdFEnBgBNGAUB?BU?kBPyAJ{@UCCQa@wE]</t>
  </si>
  <si>
    <t>P@@C@?C?A?CA@?IA?C?E?A?@?C@?A@?G?@B??F?@@???DB?CP</t>
  </si>
  <si>
    <t>wboyH~{LLG@Ck@kS{@gM@ELGBEv@[HC@Eu@sHWaBmAgH]iB}DsPo@gCu@{BMu@VIbDk@?BzA[hGo@zAIzBDdFBt@Df@Hr@^XTd@b@`@j@LTx@nBd@xBJ~@Hp@ZlHHtC@bEBvBd@|Q?FB~AXtLHxBPbC`@nDh@~DADC?w@Mc@CE?M|MAH]?C@E|IALQ@yB`@FlBc@?_@BI?AAc@eLc@qHC?qI`CkBp@cE}N</t>
  </si>
  <si>
    <t>P?ABD??@??EA?C?A@@G???ACA?@I@B?@D?B?E?B??A???C?A?F?@??DBA?C?D?DH???D@F?@FP</t>
  </si>
  <si>
    <t>http://stnicholaspoplar.org</t>
  </si>
  <si>
    <t>E9 5HT</t>
  </si>
  <si>
    <t>http://www.stpauloldford.com</t>
  </si>
  <si>
    <t>yvpyHpqFkGeJeBqDsGgLE@iDpF_@d@Y}EQkEMiAYmGo@uB]uAqB{GAUWsB{@gFy@gGGGmHiCOGCElAaOd@uDP{@IG}Ai@CGgB_YCEQ@CG@y@AOIYvAk@TGb@C`@BvASpGIPMh@uAJtARz@R^\Pb@Ht@\Tr@RrAf@vAn@@jBPd@h@pA~Bn@n@xCv@v@p@\u@@WDEVXPJX@NJRDNSTs@|AyGvJcOXr@pBrGz@jDhFcA\]jCnGhBhFp@|BpAnFp@`Db@fCYRSFUPUH}@h@C?aAb@OFYNMBm@Xe@N}@\]J_@PABbCrHlBhEfAsAzEwG\]Z~C`@~HRfGXvFh@jGXpBgI`Hj@jC?FUT[Rs@r@i@^[PkBhAABz@nH}@Zy@`@a@X{FfCaBf@C?CE[}CCE]GAFBd@ANm@n@cAr@s@IKC[CiAFw@RCF@`DCDoA`@</t>
  </si>
  <si>
    <t>PBAF??F?@?D??C?@?E@??GA?E?@DB@@DA?C?J?AAD@F@CB?@C@@E?D@ACBG@@D?B@?BD@DG?AEBEA@I@?F????A???@????@?FAF?@FA??B@HD?D???A?E?F@?@AE?@B?E??C@D??B@D?C?P</t>
  </si>
  <si>
    <t>http://www.stpaulsbowcommon.org.uk</t>
  </si>
  <si>
    <t>y`nyH~bFCyA~B_BZ_@Lc@d@wDPmBXwIRuC\gD~AiLJkABu@JmALq@Tu@fAwCp@wC`AwDd@aAjA_Bf@c@dAi@xB_AlCwAtAaBb@o@zB~HnKf]ADIDwDbBh@lHABmGxBHnMCB[D{@XcB|@CLCn@q@h@sEzG[h@]t@qAj@e@Jg@F_A?sN`@wB@</t>
  </si>
  <si>
    <t>PCB@D?B@B@A??D?@A?FA@C?@C?I@E??E?GEE??AD?BAA?FA?C?@P</t>
  </si>
  <si>
    <t>http://sps.church</t>
  </si>
  <si>
    <t>swkyHd`JDoB@eFNoBHi@b@sBDc@@]I{Aw@_LOsCa@aKYaEEuFEsB@yBA{AQkICg@EMM_@g@gA[Wq@a@KcGBaDNoHDo@@CtHz@HAzCNZMx@PFBD?dB\t@PHBIdAG~DArJ@bAAr@Bz@Ff@DlALxA@h@V|CRvALl@p@hCRf@JLfAvCrCxGKP{EtG]j@c@fHGfC?dDBjGLbGCDgBRENy@A_@DMbFg@BO]ELKHI@UAQTE@AAgAFKB{@Di@@aAHA?AGAqA</t>
  </si>
  <si>
    <t>P?B@?A?D?@?@C?@?@D?A?C?D@B@?IB?AB?????G@A??C????@E?@C???G??E@C?@F@AA@EEBC?A?A?B?????D?@P</t>
  </si>
  <si>
    <t>http://www.spsl.towerhamlets.sch.uk/</t>
  </si>
  <si>
    <t>http://www.st-pauls.towerhamlets.sch.uk</t>
  </si>
  <si>
    <t>https://www.stpetersbethnalgreen.org</t>
  </si>
  <si>
    <t>eooyHzlMeBcHKm@Gk@SeFSyRW}FG]gA[qBgAkCmAcBoAkEmGqBqBg@q@eAeABg@Pw@Nc@b@{@^c@tBqCTg@ReAJkADsAAeBOaBU_BUoA^AZ@xBCzBYbGqAt@WpAk@FPb@zBt@zBn@fC|DrP\hBlAfHV`Bt@rHADIBw@ZCDMFADz@fMj@jSABMFYLRtGEBaDb@CD@ZABm@Rk@^q@h@i@d@?Ac@b@AB</t>
  </si>
  <si>
    <t>P@?DAA@FA?ADB?@G@?BA?B@E?AC?@F??ACB?I?@@A?C?AF??@??DBC??CF?C??B@A??@?P</t>
  </si>
  <si>
    <t>http://www.stpeterslondondocks.org.uk</t>
  </si>
  <si>
    <t>ktjyH`vM}C_CIKqA}@g@AUCu@i@WI{IgAXc@`@w@p@iCp@yCRuA@u@W}Ba@_Fk@oCa@cDWmAYgBUwBBcAFw@DKvAIXEBCEsBOsVq@mN@CPA@C@eBNOWyECGc@c@MCJ_FBE\Cx@@DOfBSBEMcGCkG?eDFgCb@gH\k@zEuGJQbA`C|@hBp@fAjAzBR\rApC`DrHxF|Lz@vCZtAPvANr@`@zCDBBr@PxAHfARlBJ`C?bBAn@U`FMxAMbC]nD@FOpA?HQzAEr@_@`De@hCG^ENStAkA|F{@~EqA|F[|@_A|B{A|E]rAs@vDU|AIz@YfB</t>
  </si>
  <si>
    <t>P??D?B?BG?ABA@E?B@@?AE@?D@?E?BC??BACC?@CF@@AA@E@?C@E??J@???@A@E?A@??C???@G?A??B?????@E?????BB?A?C@??P</t>
  </si>
  <si>
    <t>https://www.stpetersbarge.org</t>
  </si>
  <si>
    <t>http://www.stpetersprimary.org.uk/</t>
  </si>
  <si>
    <t>http://www.stsavioursschool.org.uk</t>
  </si>
  <si>
    <t>http://www.stepneygreencoat.towerhamlets.sch.uk</t>
  </si>
  <si>
    <t>https://www.rfsk.org.uk</t>
  </si>
  <si>
    <t>PostcodeFromOtherMeans</t>
  </si>
  <si>
    <t>WikipediaBenefice</t>
  </si>
  <si>
    <t>WikipediaPopulationOfParish</t>
  </si>
  <si>
    <t>TeamMinistryWebsite</t>
  </si>
  <si>
    <t>MyTeamMinistryWebsite</t>
  </si>
  <si>
    <t>WikipediaCrockfordLink</t>
  </si>
  <si>
    <t>PostcodeFromDirectory</t>
  </si>
  <si>
    <t>$Incumbent$</t>
  </si>
  <si>
    <t xml:space="preserve">Date last updated: </t>
  </si>
  <si>
    <t>LatitudeManualLookup</t>
  </si>
  <si>
    <t>LongitudeManualLookup</t>
  </si>
  <si>
    <t>PostcodeManualLookup</t>
  </si>
  <si>
    <r>
      <rPr>
        <b/>
        <u/>
        <sz val="11"/>
        <color theme="1"/>
        <rFont val="Calibri"/>
        <family val="2"/>
        <scheme val="minor"/>
      </rPr>
      <t>Instruction</t>
    </r>
    <r>
      <rPr>
        <b/>
        <sz val="11"/>
        <color theme="1"/>
        <rFont val="Calibri"/>
        <family val="2"/>
        <scheme val="minor"/>
      </rPr>
      <t>s</t>
    </r>
    <r>
      <rPr>
        <sz val="11"/>
        <color theme="1"/>
        <rFont val="Calibri"/>
        <family val="2"/>
        <scheme val="minor"/>
      </rPr>
      <t xml:space="preserve">
This file holds data about all the churches which will appear on the web page.  More particularly, the information on the </t>
    </r>
    <r>
      <rPr>
        <u/>
        <sz val="11"/>
        <color theme="1"/>
        <rFont val="Calibri"/>
        <family val="2"/>
        <scheme val="minor"/>
      </rPr>
      <t>Data</t>
    </r>
    <r>
      <rPr>
        <sz val="11"/>
        <color theme="1"/>
        <rFont val="Calibri"/>
        <family val="2"/>
        <scheme val="minor"/>
      </rPr>
      <t xml:space="preserve"> and </t>
    </r>
    <r>
      <rPr>
        <u/>
        <sz val="11"/>
        <color theme="1"/>
        <rFont val="Calibri"/>
        <family val="2"/>
        <scheme val="minor"/>
      </rPr>
      <t>Configuration</t>
    </r>
    <r>
      <rPr>
        <sz val="11"/>
        <color theme="1"/>
        <rFont val="Calibri"/>
        <family val="2"/>
        <scheme val="minor"/>
      </rPr>
      <t xml:space="preserve"> sheets between them determine what appears on the web page and what it looks like – more details below.
You should update the data regularly.  To this end, you can make manual changes in some places, and you can use the RegenerateData button to realign the data in certain columns with the CofE Directory website.
Once you have made any changes, use the GenerateFile button to create the data file needed for the web page.   The generated file is called </t>
    </r>
    <r>
      <rPr>
        <u/>
        <sz val="11"/>
        <color theme="1"/>
        <rFont val="Calibri"/>
        <family val="2"/>
        <scheme val="minor"/>
      </rPr>
      <t>churchDetails.js</t>
    </r>
    <r>
      <rPr>
        <sz val="11"/>
        <color theme="1"/>
        <rFont val="Calibri"/>
        <family val="2"/>
        <scheme val="minor"/>
      </rPr>
      <t xml:space="preserve">, and it will be placed in the same folder as this spreadsheet.
This generated file needs to end up in the 'js' folder under the place where the index.html file for the website appears.  If it has not been generated there, you will have to move it therefore.
</t>
    </r>
  </si>
  <si>
    <r>
      <rPr>
        <b/>
        <u/>
        <sz val="11"/>
        <color theme="1"/>
        <rFont val="Calibri"/>
        <family val="2"/>
        <scheme val="minor"/>
      </rPr>
      <t>Miscellaneous information</t>
    </r>
    <r>
      <rPr>
        <sz val="11"/>
        <color theme="1"/>
        <rFont val="Calibri"/>
        <family val="2"/>
        <scheme val="minor"/>
      </rPr>
      <t xml:space="preserve">
One of the more obvious issues is with attempting to obtain location information for churches.
In some cases, the Directory pages appear to contain information (to be confirmed), and the realignment processing will scrape the necessary data from the pages.
In others, we may have a postcode available (although we don't always have even that), and you can do postcode lookups at https://gridreferencefinder.com/postcodeBatchConverter/.  (You can convert a whole column of postcodes at once if necessary, which can be helpful – and the conversion process respects blanks in the column, which is of assistance when realigning the results with the contents of a worksheet where some postcodes are missing.)  Bear in mind though that even in inner London, postcodes cover a reasonable area, and the latitude and longitude may not correspond precisely to the location of the church.
Another possibility is to use what3words.  I have had some success here in simply giving the name of a church.  The site converts this to a three-word location identifer, and then offers a facility to convert that to a latitude / longitude pair.</t>
    </r>
  </si>
  <si>
    <r>
      <rPr>
        <b/>
        <u/>
        <sz val="11"/>
        <color theme="1"/>
        <rFont val="Calibri"/>
        <family val="2"/>
        <scheme val="minor"/>
      </rPr>
      <t>The other sheets</t>
    </r>
    <r>
      <rPr>
        <sz val="11"/>
        <color theme="1"/>
        <rFont val="Calibri"/>
        <family val="2"/>
        <scheme val="minor"/>
      </rPr>
      <t xml:space="preserve">
The </t>
    </r>
    <r>
      <rPr>
        <u/>
        <sz val="11"/>
        <color theme="1"/>
        <rFont val="Calibri"/>
        <family val="2"/>
        <scheme val="minor"/>
      </rPr>
      <t>Configuration</t>
    </r>
    <r>
      <rPr>
        <sz val="11"/>
        <color theme="1"/>
        <rFont val="Calibri"/>
        <family val="2"/>
        <scheme val="minor"/>
      </rPr>
      <t xml:space="preserve"> sheet controls the content and format of the data which appears on the popups on the web page.  More details appear on the sheet itself.
The </t>
    </r>
    <r>
      <rPr>
        <u/>
        <sz val="11"/>
        <color theme="1"/>
        <rFont val="Calibri"/>
        <family val="2"/>
        <scheme val="minor"/>
      </rPr>
      <t>FullList</t>
    </r>
    <r>
      <rPr>
        <sz val="11"/>
        <color theme="1"/>
        <rFont val="Calibri"/>
        <family val="2"/>
        <scheme val="minor"/>
      </rPr>
      <t xml:space="preserve"> sheet contains a snapshot of the data as it stood early on 17-Apr-2020.  The Data sheet was subsequently pruned back to contain (largely) churches only, which I suspect reflects the requirements.  The FullList sheet contains all of the original rows, which includes things like hospitals and schools.</t>
    </r>
  </si>
  <si>
    <t>Maintenance etc: jamie@critos.co.uk</t>
  </si>
  <si>
    <t xml:space="preserve">       Use this page to configure the pop-up details – instructions below.</t>
  </si>
  <si>
    <t xml:space="preserve">GoogleStreetViewLinkFormat: </t>
  </si>
  <si>
    <t>https://www.google.co.uk/maps/search/?api=1&amp;query=$lat$,$long$</t>
  </si>
  <si>
    <t>Google maps</t>
  </si>
  <si>
    <t>GoogleMapsLink</t>
  </si>
  <si>
    <t>UniqueId</t>
  </si>
  <si>
    <t>London directory</t>
  </si>
  <si>
    <r>
      <rPr>
        <b/>
        <u/>
        <sz val="11"/>
        <color theme="1"/>
        <rFont val="Calibri"/>
        <family val="2"/>
        <scheme val="minor"/>
      </rPr>
      <t>About the data</t>
    </r>
    <r>
      <rPr>
        <sz val="11"/>
        <color theme="1"/>
        <rFont val="Calibri"/>
        <family val="2"/>
        <scheme val="minor"/>
      </rPr>
      <t xml:space="preserve">
The data has come from a number of sources, not, I suspect, all of them entirely reliable.  The sources are reflected by colour-coding in the column headers on the data sheet.
The two columns with a </t>
    </r>
    <r>
      <rPr>
        <b/>
        <sz val="11"/>
        <color rgb="FFFF0000"/>
        <rFont val="Calibri"/>
        <family val="2"/>
        <scheme val="minor"/>
      </rPr>
      <t>RED</t>
    </r>
    <r>
      <rPr>
        <sz val="11"/>
        <color theme="1"/>
        <rFont val="Calibri"/>
        <family val="2"/>
        <scheme val="minor"/>
      </rPr>
      <t xml:space="preserve"> background must be left unaltered – they're used to connect to the Directory data.
Anything with a </t>
    </r>
    <r>
      <rPr>
        <b/>
        <sz val="11"/>
        <color theme="2" tint="-0.499984740745262"/>
        <rFont val="Calibri"/>
        <family val="2"/>
        <scheme val="minor"/>
      </rPr>
      <t>GREY</t>
    </r>
    <r>
      <rPr>
        <sz val="11"/>
        <color theme="1"/>
        <rFont val="Calibri"/>
        <family val="2"/>
        <scheme val="minor"/>
      </rPr>
      <t xml:space="preserve"> background came from the Directory website.  If the writing in the header is black, this data is not affected by any realignment with the Directory website.  If the writing is purple, it </t>
    </r>
    <r>
      <rPr>
        <u/>
        <sz val="11"/>
        <color theme="1"/>
        <rFont val="Calibri"/>
        <family val="2"/>
        <scheme val="minor"/>
      </rPr>
      <t>is</t>
    </r>
    <r>
      <rPr>
        <sz val="11"/>
        <color theme="1"/>
        <rFont val="Calibri"/>
        <family val="2"/>
        <scheme val="minor"/>
      </rPr>
      <t xml:space="preserve"> affected by realignment.
Anything with a </t>
    </r>
    <r>
      <rPr>
        <b/>
        <sz val="11"/>
        <color theme="9" tint="-0.249977111117893"/>
        <rFont val="Calibri"/>
        <family val="2"/>
        <scheme val="minor"/>
      </rPr>
      <t>GREEN</t>
    </r>
    <r>
      <rPr>
        <sz val="11"/>
        <color theme="1"/>
        <rFont val="Calibri"/>
        <family val="2"/>
        <scheme val="minor"/>
      </rPr>
      <t xml:space="preserve"> background is calculated.  Individual cells based upon formulae are italicised.
Anything with an </t>
    </r>
    <r>
      <rPr>
        <b/>
        <sz val="11"/>
        <color rgb="FFFF9966"/>
        <rFont val="Calibri"/>
        <family val="2"/>
        <scheme val="minor"/>
      </rPr>
      <t>ORANGE</t>
    </r>
    <r>
      <rPr>
        <sz val="11"/>
        <color theme="1"/>
        <rFont val="Calibri"/>
        <family val="2"/>
        <scheme val="minor"/>
      </rPr>
      <t xml:space="preserve"> background contains data I have obtained manually.  It is usually retained because it supplies values to formulae where data from the Directory is lacking.
Anything with a </t>
    </r>
    <r>
      <rPr>
        <b/>
        <sz val="11"/>
        <color rgb="FF0070C0"/>
        <rFont val="Calibri"/>
        <family val="2"/>
        <scheme val="minor"/>
      </rPr>
      <t>BLUE</t>
    </r>
    <r>
      <rPr>
        <sz val="11"/>
        <color theme="1"/>
        <rFont val="Calibri"/>
        <family val="2"/>
        <scheme val="minor"/>
      </rPr>
      <t xml:space="preserve"> background came originally from Wikipedia in April 2020.
Anything with a </t>
    </r>
    <r>
      <rPr>
        <b/>
        <sz val="11"/>
        <color rgb="FFFFFF00"/>
        <rFont val="Calibri"/>
        <family val="2"/>
        <scheme val="minor"/>
      </rPr>
      <t>YELLOW</t>
    </r>
    <r>
      <rPr>
        <sz val="11"/>
        <color theme="1"/>
        <rFont val="Calibri"/>
        <family val="2"/>
        <scheme val="minor"/>
      </rPr>
      <t xml:space="preserve"> background is additional 'semi-official' data.
You can change anything other than the </t>
    </r>
    <r>
      <rPr>
        <b/>
        <sz val="11"/>
        <color rgb="FFFF0000"/>
        <rFont val="Calibri"/>
        <family val="2"/>
        <scheme val="minor"/>
      </rPr>
      <t>RED</t>
    </r>
    <r>
      <rPr>
        <sz val="11"/>
        <color theme="1"/>
        <rFont val="Calibri"/>
        <family val="2"/>
        <scheme val="minor"/>
      </rPr>
      <t xml:space="preserve"> and </t>
    </r>
    <r>
      <rPr>
        <b/>
        <sz val="11"/>
        <color theme="9" tint="-0.249977111117893"/>
        <rFont val="Calibri"/>
        <family val="2"/>
        <scheme val="minor"/>
      </rPr>
      <t>GREEN</t>
    </r>
    <r>
      <rPr>
        <sz val="11"/>
        <color theme="1"/>
        <rFont val="Calibri"/>
        <family val="2"/>
        <scheme val="minor"/>
      </rPr>
      <t xml:space="preserve"> columns – although bear in mind there is no real point in making changes to the grey-with-purple writing columns, because any changes you make there will be lost when you carry out the next realignment.
This includes the Wikipedia columns – the data there may have </t>
    </r>
    <r>
      <rPr>
        <u/>
        <sz val="11"/>
        <color theme="1"/>
        <rFont val="Calibri"/>
        <family val="2"/>
        <scheme val="minor"/>
      </rPr>
      <t>originated</t>
    </r>
    <r>
      <rPr>
        <sz val="11"/>
        <color theme="1"/>
        <rFont val="Calibri"/>
        <family val="2"/>
        <scheme val="minor"/>
      </rPr>
      <t xml:space="preserve"> from Wikipedia, but there's no guarantee it's correct, and you're free to change it.  You can change the manually-obtained </t>
    </r>
    <r>
      <rPr>
        <sz val="11"/>
        <rFont val="Calibri"/>
        <family val="2"/>
        <scheme val="minor"/>
      </rPr>
      <t>(</t>
    </r>
    <r>
      <rPr>
        <b/>
        <sz val="11"/>
        <color rgb="FFFF9966"/>
        <rFont val="Calibri"/>
        <family val="2"/>
        <scheme val="minor"/>
      </rPr>
      <t>ORANGE</t>
    </r>
    <r>
      <rPr>
        <sz val="11"/>
        <rFont val="Calibri"/>
        <family val="2"/>
        <scheme val="minor"/>
      </rPr>
      <t>)</t>
    </r>
    <r>
      <rPr>
        <sz val="11"/>
        <color theme="1"/>
        <rFont val="Calibri"/>
        <family val="2"/>
        <scheme val="minor"/>
      </rPr>
      <t xml:space="preserve"> columns too.
You can delete rows as necessary.  You can also add rows, but if you do so a) You need to add appropriate information into the two RED columns if you wish those rows to be included during realignment processing; and b) you need to make sure that formulae and conditional formatting are copied to the new rows.
</t>
    </r>
  </si>
  <si>
    <t>GC</t>
  </si>
  <si>
    <t>Churchmanship</t>
  </si>
  <si>
    <t>ChurchmanshipOptions</t>
  </si>
  <si>
    <t>Liberal</t>
  </si>
  <si>
    <t>Evangelical</t>
  </si>
  <si>
    <t>High</t>
  </si>
  <si>
    <t>E14 4AL</t>
  </si>
  <si>
    <t>Unknown</t>
  </si>
  <si>
    <t>ResourceChurch</t>
  </si>
  <si>
    <t>Ref</t>
  </si>
  <si>
    <t>Parish Name</t>
  </si>
  <si>
    <t>churchmanship</t>
  </si>
  <si>
    <t>postcode</t>
  </si>
  <si>
    <t>GC*</t>
  </si>
  <si>
    <t>E</t>
  </si>
  <si>
    <t>H</t>
  </si>
  <si>
    <t>N16</t>
  </si>
  <si>
    <t xml:space="preserve">Holy Trinity &amp; All Saints </t>
  </si>
  <si>
    <t>E8 3DY E8 4EP</t>
  </si>
  <si>
    <t>St Barnabas Homerton</t>
  </si>
  <si>
    <t>St John of Jerusalem S Hackney</t>
  </si>
  <si>
    <t>L</t>
  </si>
  <si>
    <t>St Michael London Fields</t>
  </si>
  <si>
    <t>St Paul West Hackney</t>
  </si>
  <si>
    <t>St Andrew Bethune Road</t>
  </si>
  <si>
    <t>St Michael Stoke Newington</t>
  </si>
  <si>
    <t>St John Brownswood Park</t>
  </si>
  <si>
    <t>St John Hoxton</t>
  </si>
  <si>
    <t>St James Lower Clapton</t>
  </si>
  <si>
    <t>St Barnabas, Dalston</t>
  </si>
  <si>
    <t>BMO</t>
  </si>
  <si>
    <t>St Andrew, Whitehall Park</t>
  </si>
  <si>
    <t>The Parish of Barnsbury</t>
  </si>
  <si>
    <t>St Augustine Highbury</t>
  </si>
  <si>
    <t>S George &amp; All Saints Tufnell Pk</t>
  </si>
  <si>
    <t>St James Prebend Street</t>
  </si>
  <si>
    <t>St Jude &amp; St Paul Mildmay</t>
  </si>
  <si>
    <t>St Mark Tollington</t>
  </si>
  <si>
    <t>St John the Evangelist Upper Holl</t>
  </si>
  <si>
    <t>St Saviour Hanley Road</t>
  </si>
  <si>
    <t>St Stephen Canonbury Road</t>
  </si>
  <si>
    <t xml:space="preserve">Holy Redeemer Clerkenwell  </t>
  </si>
  <si>
    <t>St Mark Myddleton Square</t>
  </si>
  <si>
    <t>Inspire (3005)</t>
  </si>
  <si>
    <t>N7 6DU?</t>
  </si>
  <si>
    <t>King's Cross Church (KXC)</t>
  </si>
  <si>
    <t>St Luke Millwall (BMO)</t>
  </si>
  <si>
    <t>All Hallows Bow</t>
  </si>
  <si>
    <t>St Mary &amp; Holy Trinity Bow</t>
  </si>
  <si>
    <t>St Paul &amp; St Mark Old Ford</t>
  </si>
  <si>
    <t>St Anne Limehouse</t>
  </si>
  <si>
    <t>S George-in-the-East</t>
  </si>
  <si>
    <t>St Dunstan Stepney</t>
  </si>
  <si>
    <t>Ref:0634</t>
  </si>
  <si>
    <t>Ref:3001</t>
  </si>
  <si>
    <t>MyList</t>
  </si>
  <si>
    <t>AnydNotMe</t>
  </si>
  <si>
    <t>MeNotAndy</t>
  </si>
  <si>
    <t>Include?</t>
  </si>
  <si>
    <t>N</t>
  </si>
  <si>
    <t>The postocde from the directory is wrong.  The correct value is the manual one, and the latitude and longitude fit with that.</t>
  </si>
  <si>
    <t>The directory does give the postcode for the church building, but the building has moved.  The lat / lng are based on Andy's rough idea of the location, and I've reverse engineered a postcode.</t>
  </si>
  <si>
    <t>E8 3TF</t>
  </si>
  <si>
    <t>The directory gives the wrong postcode, as originally did I.  The postcode and the latitude / longitude should now be correct and marry up.</t>
  </si>
  <si>
    <t>St James Clerkenwell (Inspire)</t>
  </si>
  <si>
    <t>The Inspire group meets here.</t>
  </si>
  <si>
    <t>Postcode was ok, but originally coords were not, apparently.  Corrected.  Note that originally (and still in the directory) there was Holy Trinity Dalston with All Saints Haggerston (0506), which I was asked to delete.</t>
  </si>
  <si>
    <t>Ref:3000</t>
  </si>
  <si>
    <t>https://www.kxc.org.uk/</t>
  </si>
  <si>
    <t>N1 9NG</t>
  </si>
  <si>
    <t>Place holder until we have more information.  I've assumed Islington.</t>
  </si>
  <si>
    <t>St Luke Millwall according to directory; was asked to change the name.</t>
  </si>
  <si>
    <t>N1 9QW</t>
  </si>
  <si>
    <t>St Luke's Millwall (CCIoD)</t>
  </si>
  <si>
    <t>Information</t>
  </si>
  <si>
    <t>Full OSM format data can be obtained at https://download.geofabrik.de/europe/great-britain/england.html</t>
  </si>
  <si>
    <t>Name</t>
  </si>
  <si>
    <t>Longitute</t>
  </si>
  <si>
    <t>Type</t>
  </si>
  <si>
    <t>NumberOfCoordinates</t>
  </si>
  <si>
    <t>All Saints Church, Putney Common</t>
  </si>
  <si>
    <t>anglican</t>
  </si>
  <si>
    <t>All Saints Church</t>
  </si>
  <si>
    <t>St Barnabas Southfields</t>
  </si>
  <si>
    <t>Holy Trinity</t>
  </si>
  <si>
    <t>anglican;evangelical</t>
  </si>
  <si>
    <t>St Andrew's Church</t>
  </si>
  <si>
    <t>Wimbledon Mosque</t>
  </si>
  <si>
    <t>St Margaret's Church</t>
  </si>
  <si>
    <t>Malham Christian Centre</t>
  </si>
  <si>
    <t>St Paul's, Kingston Hill</t>
  </si>
  <si>
    <t>St John the Baptist</t>
  </si>
  <si>
    <t>The Barn Church</t>
  </si>
  <si>
    <t>Parish Church of St Luke</t>
  </si>
  <si>
    <t>Romford United Reformed Church</t>
  </si>
  <si>
    <t>Gidea Park Methodist Church</t>
  </si>
  <si>
    <t>Christ the Eternal High Priest</t>
  </si>
  <si>
    <t>Bell Farm Church</t>
  </si>
  <si>
    <t>St. John the Baptist's, Isleworth</t>
  </si>
  <si>
    <t>Hounslow West Evangelical Church</t>
  </si>
  <si>
    <t>St Paul's Centre</t>
  </si>
  <si>
    <t>St. Paul's</t>
  </si>
  <si>
    <t>St John's Mar Thoma Church</t>
  </si>
  <si>
    <t>The Parish Church of the Good Shepherd</t>
  </si>
  <si>
    <t>St. Francis of Assisi</t>
  </si>
  <si>
    <t>Hounslow Spiritualist Church</t>
  </si>
  <si>
    <t>Isleworth Congregationalist Church</t>
  </si>
  <si>
    <t>St. Mary's Church</t>
  </si>
  <si>
    <t>Saint Dunstan's Church</t>
  </si>
  <si>
    <t>Saint Peter</t>
  </si>
  <si>
    <t>All Saints, parish church of Hampton</t>
  </si>
  <si>
    <t>Whitton Methodist Church</t>
  </si>
  <si>
    <t>St Paul's Church</t>
  </si>
  <si>
    <t>Saint Thomas's Church</t>
  </si>
  <si>
    <t>Heston United Reformed Church</t>
  </si>
  <si>
    <t>Saint George's Church</t>
  </si>
  <si>
    <t>St Mark's</t>
  </si>
  <si>
    <t>Holy Angels</t>
  </si>
  <si>
    <t>Church of Our Lady and St Christopher</t>
  </si>
  <si>
    <t>Christ Church and Upton Chapel</t>
  </si>
  <si>
    <t>Brentford Free Church</t>
  </si>
  <si>
    <t>St Mary Magdalene</t>
  </si>
  <si>
    <t>Hayes Free Church</t>
  </si>
  <si>
    <t>Wallington Christian Centre</t>
  </si>
  <si>
    <t>Gospel Hall</t>
  </si>
  <si>
    <t>St. Luke's</t>
  </si>
  <si>
    <t>St John the Evangelist, Great Stanmore</t>
  </si>
  <si>
    <t>Saint John the Baptist, Greenhill</t>
  </si>
  <si>
    <t>All Saints Church, Hanworth</t>
  </si>
  <si>
    <t>Pinner Parish Church</t>
  </si>
  <si>
    <t>St. Mark's Church</t>
  </si>
  <si>
    <t>Hanworth Gospel Hall</t>
  </si>
  <si>
    <t>St John the Evangelist</t>
  </si>
  <si>
    <t>St Mark's Church</t>
  </si>
  <si>
    <t>St Nicholas Kidbrooke CofE Church</t>
  </si>
  <si>
    <t>Church of the Good Shepherd</t>
  </si>
  <si>
    <t>Sacred Heart Convent</t>
  </si>
  <si>
    <t>Lewisham Spiritualist Church</t>
  </si>
  <si>
    <t>Jesus Church Forty Hill</t>
  </si>
  <si>
    <t>St Richard's Church</t>
  </si>
  <si>
    <t>Parish Church of St Peter and St Paul Harlington</t>
  </si>
  <si>
    <t>St. Patrick's Church, Wallington</t>
  </si>
  <si>
    <t>Holy Trinity, Lyonsdown</t>
  </si>
  <si>
    <t>Emmanuel Church</t>
  </si>
  <si>
    <t>The Risen Christ and All Souls</t>
  </si>
  <si>
    <t>Saint Stephen</t>
  </si>
  <si>
    <t>Saint Mary</t>
  </si>
  <si>
    <t>Saint Paul's Church Ruislip Manor</t>
  </si>
  <si>
    <t>Hammersmith Christian Fellowship</t>
  </si>
  <si>
    <t>Stockwell Spiritist Church and Healing Centre</t>
  </si>
  <si>
    <t>London Buddhist Centre</t>
  </si>
  <si>
    <t>Roxeth Green Free Church</t>
  </si>
  <si>
    <t>St Gabriel's Church</t>
  </si>
  <si>
    <t>Ashford &amp; Staines Community Centre</t>
  </si>
  <si>
    <t>St Oswald Church</t>
  </si>
  <si>
    <t>Crown Road Baptist Church</t>
  </si>
  <si>
    <t>St Matthias</t>
  </si>
  <si>
    <t>Christ Church with St Philip</t>
  </si>
  <si>
    <t>Christ Church</t>
  </si>
  <si>
    <t>St. John the Evangelist</t>
  </si>
  <si>
    <t>St. Andrew's</t>
  </si>
  <si>
    <t>St Michaels</t>
  </si>
  <si>
    <t>Gurdwara Neville Road</t>
  </si>
  <si>
    <t>Saint James'</t>
  </si>
  <si>
    <t>Christ Church Sutton</t>
  </si>
  <si>
    <t>City Hope Church</t>
  </si>
  <si>
    <t>Hendon St Mary</t>
  </si>
  <si>
    <t>Holy Trinity Church</t>
  </si>
  <si>
    <t>Saint Benet and All Saints' Church</t>
  </si>
  <si>
    <t>Balham Salvation Army Community Church</t>
  </si>
  <si>
    <t>Peckham Christian Centre (London City Mission)</t>
  </si>
  <si>
    <t>Balham Pentecostal Church</t>
  </si>
  <si>
    <t>Balham Mosque</t>
  </si>
  <si>
    <t>St Andrews United Reformed Church</t>
  </si>
  <si>
    <t>St George, Headstone</t>
  </si>
  <si>
    <t>St. Martin's</t>
  </si>
  <si>
    <t>Acton Mosque</t>
  </si>
  <si>
    <t>St. Margaret the Queen</t>
  </si>
  <si>
    <t>Saint Antony with Saint Silas</t>
  </si>
  <si>
    <t>St Mary and St John the Divine</t>
  </si>
  <si>
    <t>The Holy Redeemer St Marks Mission</t>
  </si>
  <si>
    <t>St Matthews Parish Church</t>
  </si>
  <si>
    <t>St Thomas Aquinas Roman Catholic Church</t>
  </si>
  <si>
    <t>Camberwell Islamic Centre</t>
  </si>
  <si>
    <t>St James</t>
  </si>
  <si>
    <t>Shahjalal Jame Masjid Euston Mosque</t>
  </si>
  <si>
    <t>Saint Anselm's Church</t>
  </si>
  <si>
    <t>Welling Gospel Chapel</t>
  </si>
  <si>
    <t>St Michael's</t>
  </si>
  <si>
    <t>Richmond Gospel Hall</t>
  </si>
  <si>
    <t>St Peter's</t>
  </si>
  <si>
    <t>Lyndhurst Chapel</t>
  </si>
  <si>
    <t>Ukrainian Autocephalous Orthodox Church</t>
  </si>
  <si>
    <t>Maha Lakshmi Vidya Bhavan</t>
  </si>
  <si>
    <t>Saint Michael and All Angels</t>
  </si>
  <si>
    <t>Elim Pentecostal Church</t>
  </si>
  <si>
    <t>St Paul</t>
  </si>
  <si>
    <t>St. Patrick's Catholic Church</t>
  </si>
  <si>
    <t>The Parish Church of Saint Stephen South Dulwich</t>
  </si>
  <si>
    <t>Church Of God of Prosperity, House of Bread</t>
  </si>
  <si>
    <t>The Muslim community Centre &amp; Mosque</t>
  </si>
  <si>
    <t>St James's Church</t>
  </si>
  <si>
    <t>Avenue Baptist Church</t>
  </si>
  <si>
    <t>Saint Michael's Beckenham Church</t>
  </si>
  <si>
    <t>St Andrews</t>
  </si>
  <si>
    <t>Yada Christian Ministries</t>
  </si>
  <si>
    <t>Redeemed Christian Church of God</t>
  </si>
  <si>
    <t>Bible Faith Holiness Church</t>
  </si>
  <si>
    <t>Leyton Jamia Masjid</t>
  </si>
  <si>
    <t>New Mercies Church</t>
  </si>
  <si>
    <t>St Luke's Church</t>
  </si>
  <si>
    <t>London Sri Murugan Temple</t>
  </si>
  <si>
    <t>St Stephen's Parish Church</t>
  </si>
  <si>
    <t>St. Thomas's, Oakwood</t>
  </si>
  <si>
    <t>Gurdwara Dasmesh Darbar</t>
  </si>
  <si>
    <t>Highbury Baptist Church</t>
  </si>
  <si>
    <t>St Martins of Tours</t>
  </si>
  <si>
    <t>St Paul's Church Centre</t>
  </si>
  <si>
    <t>Greenwich Islamic Centre</t>
  </si>
  <si>
    <t>St Anne's</t>
  </si>
  <si>
    <t>All Saints (The Old Church)</t>
  </si>
  <si>
    <t>St Barnabas Church</t>
  </si>
  <si>
    <t>Memorial Community Church</t>
  </si>
  <si>
    <t>North London Buddhist Centre</t>
  </si>
  <si>
    <t>Highbury Evangelical Fellowship</t>
  </si>
  <si>
    <t>All Saints Shooters Hill</t>
  </si>
  <si>
    <t>St Mary’s Church Tower</t>
  </si>
  <si>
    <t>Hornsey Moravian Church</t>
  </si>
  <si>
    <t>St Albans</t>
  </si>
  <si>
    <t>All Saints</t>
  </si>
  <si>
    <t>Gurdwarari Guru Har Rai Sahib Ji</t>
  </si>
  <si>
    <t>St Anselm</t>
  </si>
  <si>
    <t>Saint Luke</t>
  </si>
  <si>
    <t>Guru Nanak Durbar Sikh Temple</t>
  </si>
  <si>
    <t>Kingston Mosque</t>
  </si>
  <si>
    <t>St Saviour's</t>
  </si>
  <si>
    <t>St Lawrence Little Stanmore</t>
  </si>
  <si>
    <t>St Johns CofE</t>
  </si>
  <si>
    <t>Parish church of St Peter</t>
  </si>
  <si>
    <t>Emmanuel Methodist and United Reformed Church</t>
  </si>
  <si>
    <t>St. George</t>
  </si>
  <si>
    <t>Jubilee Centre</t>
  </si>
  <si>
    <t>Holmcroft Church</t>
  </si>
  <si>
    <t>Court Farm Angelical Church</t>
  </si>
  <si>
    <t>St Stephen's Church</t>
  </si>
  <si>
    <t>Church of the Annunciation</t>
  </si>
  <si>
    <t>Kings Church Centre</t>
  </si>
  <si>
    <t>Oak Community Church</t>
  </si>
  <si>
    <t>The Chelsea Synagogue</t>
  </si>
  <si>
    <t>St Swithun's</t>
  </si>
  <si>
    <t>Celestial Church of Christ</t>
  </si>
  <si>
    <t>Parish Church of St Mary, Plaistow</t>
  </si>
  <si>
    <t>Lee new Testament Church of God</t>
  </si>
  <si>
    <t>Icthus Christian Fellowship</t>
  </si>
  <si>
    <t>Nasrul-Lahi-i-Fathi Society of Nigeria</t>
  </si>
  <si>
    <t>The Great Commission Ministry</t>
  </si>
  <si>
    <t>Hayes Town Chapel</t>
  </si>
  <si>
    <t>The Redeemed Christian Church of God</t>
  </si>
  <si>
    <t>Salvation Army</t>
  </si>
  <si>
    <t>New Addington Baptist Church</t>
  </si>
  <si>
    <t>Christ's Day Evangelical Ministry</t>
  </si>
  <si>
    <t>Addington Community Church</t>
  </si>
  <si>
    <t>Fullword Church</t>
  </si>
  <si>
    <t>Masjid Al Habib</t>
  </si>
  <si>
    <t>Brook Street Chapel</t>
  </si>
  <si>
    <t>King's Cross Mosque and Islamic Centre</t>
  </si>
  <si>
    <t>Hounslow Evangelical</t>
  </si>
  <si>
    <t>Riverway Seventh Day Adventist Church</t>
  </si>
  <si>
    <t>Parish Church of St James North Cray</t>
  </si>
  <si>
    <t>Al-Birr</t>
  </si>
  <si>
    <t>Parish Church of St Alban</t>
  </si>
  <si>
    <t>St Paul's Catholic Church</t>
  </si>
  <si>
    <t>West Norwood Spiritualist Church</t>
  </si>
  <si>
    <t>St Marks Methodist Church</t>
  </si>
  <si>
    <t>All Saints Hillingdon</t>
  </si>
  <si>
    <t>Haridham</t>
  </si>
  <si>
    <t>St. John's Church</t>
  </si>
  <si>
    <t>St John Fisher &amp; Thomas More</t>
  </si>
  <si>
    <t>St Mary, Dagenham</t>
  </si>
  <si>
    <t>St George's, Becontree</t>
  </si>
  <si>
    <t>Christ Church, Barking Thames View</t>
  </si>
  <si>
    <t>St Erkenwald, Barking</t>
  </si>
  <si>
    <t>St Mark's, Marks Gate</t>
  </si>
  <si>
    <t>Woodside Park Synagogue</t>
  </si>
  <si>
    <t>Friends Meeting House</t>
  </si>
  <si>
    <t>St Michael's and All Angels</t>
  </si>
  <si>
    <t>Palmers Green Mosque</t>
  </si>
  <si>
    <t>Cherubim and Seraphim Church</t>
  </si>
  <si>
    <t>Christ Apostolic Church</t>
  </si>
  <si>
    <t>Oke-Igbala Cherubim And Seraphim Holy Temple Of Christ Church</t>
  </si>
  <si>
    <t>Deliverance Outreach Ministries</t>
  </si>
  <si>
    <t>Cherubim &amp; Seraphim Church Oke Ayo Ona Iwa Mimo</t>
  </si>
  <si>
    <t>St. Barnabas Church</t>
  </si>
  <si>
    <t>Holy Trinity Centre</t>
  </si>
  <si>
    <t>St Lukes</t>
  </si>
  <si>
    <t>St Andrew</t>
  </si>
  <si>
    <t>St Augustine of Canterbury Church</t>
  </si>
  <si>
    <t>The Yard</t>
  </si>
  <si>
    <t>St. Mary the Virgin</t>
  </si>
  <si>
    <t>Fulham Palace Chapel</t>
  </si>
  <si>
    <t>Nazareth House</t>
  </si>
  <si>
    <t>The Chinese Church in London</t>
  </si>
  <si>
    <t>St Clement</t>
  </si>
  <si>
    <t>Gurdwara Singh Sabha</t>
  </si>
  <si>
    <t>Barking Baptist Church (Biserica Baptista Genesis)</t>
  </si>
  <si>
    <t>Al Madina Mosque Barking</t>
  </si>
  <si>
    <t>St Lukes Church</t>
  </si>
  <si>
    <t>Catholic Church of SS. Mary and Erconwald</t>
  </si>
  <si>
    <t>Clementswood Baptist Church</t>
  </si>
  <si>
    <t>House of Prayer Apostolic Church Ilford</t>
  </si>
  <si>
    <t>Ilford Methodist Church</t>
  </si>
  <si>
    <t>The Church of Jesus Christ of Latter-day Saints</t>
  </si>
  <si>
    <t>Ilford Central Mosque</t>
  </si>
  <si>
    <t>Cranbrook Baptist Church</t>
  </si>
  <si>
    <t>Seventh-day Adventist Church</t>
  </si>
  <si>
    <t>Vine United Reformed Church</t>
  </si>
  <si>
    <t>The Apostolic Church</t>
  </si>
  <si>
    <t>Ilford Spiritualist Church</t>
  </si>
  <si>
    <t>Gospel Faith Mission International</t>
  </si>
  <si>
    <t>Salvation Army Church</t>
  </si>
  <si>
    <t>St Stephens Catholic Church</t>
  </si>
  <si>
    <t>Oxlow Lane Baptist Church</t>
  </si>
  <si>
    <t>Full Gospel Church a O G</t>
  </si>
  <si>
    <t>Chislehurst Cemetery Chapel</t>
  </si>
  <si>
    <t>Nanak Darbar North London</t>
  </si>
  <si>
    <t>Saint Paul, New Southgate</t>
  </si>
  <si>
    <t>Word of Life Worship Centre</t>
  </si>
  <si>
    <t>St Matthews Church Hall</t>
  </si>
  <si>
    <t>The Chapel</t>
  </si>
  <si>
    <t>Nelmes United Reformed Church</t>
  </si>
  <si>
    <t>Cherubs Pre School</t>
  </si>
  <si>
    <t>Saint Alban Church of England</t>
  </si>
  <si>
    <t>Zoar Strict Baptist Chapel, 75 Carlisle Rd, Romford RM1 2QL</t>
  </si>
  <si>
    <t>Kingdom Hall of Jehovah's Witnesses</t>
  </si>
  <si>
    <t>The Church of God in Romford</t>
  </si>
  <si>
    <t>Romford and District Affiliated Synagogue</t>
  </si>
  <si>
    <t>Trinity Methodist Church</t>
  </si>
  <si>
    <t>St Edward the Confessor's R C Church</t>
  </si>
  <si>
    <t>The Church of the Good Shepherd</t>
  </si>
  <si>
    <t>KingsHeart Church</t>
  </si>
  <si>
    <t>South West Essex Reform Synagogue</t>
  </si>
  <si>
    <t>Newbury Park Synagogue</t>
  </si>
  <si>
    <t>Seven Kings United Free Church</t>
  </si>
  <si>
    <t>St Anselm's</t>
  </si>
  <si>
    <t>Christ Church Southgate</t>
  </si>
  <si>
    <t>St Mary with St George</t>
  </si>
  <si>
    <t>Holy Trinity with St Augustine</t>
  </si>
  <si>
    <t>Baitul Aman Mosque</t>
  </si>
  <si>
    <t>Wlton Chapel</t>
  </si>
  <si>
    <t>St Silas The Martyr</t>
  </si>
  <si>
    <t>Chingford Islamic Society</t>
  </si>
  <si>
    <t>Somers Town Islamic Cultural and Education Centre</t>
  </si>
  <si>
    <t>Dominion Christ Church</t>
  </si>
  <si>
    <t>Virgo Fidelis Convent</t>
  </si>
  <si>
    <t>St Katharine with St Bartholomew</t>
  </si>
  <si>
    <t>St John's Church</t>
  </si>
  <si>
    <t>St Joseph's</t>
  </si>
  <si>
    <t>Parish Church of the Ascension</t>
  </si>
  <si>
    <t>New Covenant Church Charlton</t>
  </si>
  <si>
    <t>St Augustine’s Church</t>
  </si>
  <si>
    <t>Belvedere and Erith Congregational Church</t>
  </si>
  <si>
    <t>Ezzeitouna</t>
  </si>
  <si>
    <t>Baitul Mamur Academy</t>
  </si>
  <si>
    <t>St Matthew</t>
  </si>
  <si>
    <t>Mosque of the Embassy of Qatar</t>
  </si>
  <si>
    <t>Drukpa UK Buddhist Centre</t>
  </si>
  <si>
    <t>Tooting Islamic Centre</t>
  </si>
  <si>
    <t>Pinner Synagogue</t>
  </si>
  <si>
    <t>Southgate Progressive Synagogue</t>
  </si>
  <si>
    <t>St Peter's Church</t>
  </si>
  <si>
    <t>The Parish Church of Saint Matthew</t>
  </si>
  <si>
    <t>Goldsmiths Multifaith Prayer Room</t>
  </si>
  <si>
    <t>Chaplaincy Centre</t>
  </si>
  <si>
    <t>prayer room</t>
  </si>
  <si>
    <t>Jalalia Jamme Masjeed</t>
  </si>
  <si>
    <t>Sri Ayyappan Kovil</t>
  </si>
  <si>
    <t>Harrow International Christian Centre</t>
  </si>
  <si>
    <t>Quaystone Church</t>
  </si>
  <si>
    <t>Limehouse Mosque</t>
  </si>
  <si>
    <t>Gurdwara Sikh Sangat</t>
  </si>
  <si>
    <t>St. Andrew’s Church, Roxbourne</t>
  </si>
  <si>
    <t>Bilal Masjid Trust (Greenford)</t>
  </si>
  <si>
    <t>Bet Tikvah Synagogue</t>
  </si>
  <si>
    <t>St. Margaret of Antioch</t>
  </si>
  <si>
    <t>St Francis Church</t>
  </si>
  <si>
    <t>St George's Church</t>
  </si>
  <si>
    <t>Kenton Spiritualist Church</t>
  </si>
  <si>
    <t>Brixton Hill Islamic Centre</t>
  </si>
  <si>
    <t>St George &amp; St Ethelbert</t>
  </si>
  <si>
    <t>Hayes Church</t>
  </si>
  <si>
    <t>Peckham High Street Islamic Centre</t>
  </si>
  <si>
    <t>The Episcopalian Church of Archangel Michael</t>
  </si>
  <si>
    <t>North Brixton Islamic Cultural Centre</t>
  </si>
  <si>
    <t>High Barnet Baptist Church</t>
  </si>
  <si>
    <t>Coventry Cross Mosque</t>
  </si>
  <si>
    <t>Rehoboth Temple</t>
  </si>
  <si>
    <t>The Sacraments Church</t>
  </si>
  <si>
    <t>Dominion Chapel</t>
  </si>
  <si>
    <t>St Philip the Apostle</t>
  </si>
  <si>
    <t>Shree Ghanapathy Temple</t>
  </si>
  <si>
    <t>Islamic Centre Upton Park</t>
  </si>
  <si>
    <t>St Matthews Church</t>
  </si>
  <si>
    <t>New Life Christian Centre</t>
  </si>
  <si>
    <t>Canary Wharf Prayer Room</t>
  </si>
  <si>
    <t>Tabot Centre</t>
  </si>
  <si>
    <t>Aetherius House</t>
  </si>
  <si>
    <t>London City Mission</t>
  </si>
  <si>
    <t>Tollington Baptist Church</t>
  </si>
  <si>
    <t>Shepherds Bush Masjid</t>
  </si>
  <si>
    <t>Potters House</t>
  </si>
  <si>
    <t>Church of Scientology</t>
  </si>
  <si>
    <t>St Andrew the Apostle</t>
  </si>
  <si>
    <t>Christ Harvest Centre</t>
  </si>
  <si>
    <t>St Dunstan</t>
  </si>
  <si>
    <t>Bow Baptist Church</t>
  </si>
  <si>
    <t>Holy Cross Catholic Church</t>
  </si>
  <si>
    <t>Rivergate Church</t>
  </si>
  <si>
    <t>The Rockhouse Baptist Church</t>
  </si>
  <si>
    <t>South Grove Free Presbyterian Church</t>
  </si>
  <si>
    <t>Welsh Church of Central London</t>
  </si>
  <si>
    <t>East End Church</t>
  </si>
  <si>
    <t>North Heath Family Church</t>
  </si>
  <si>
    <t>St Paul's</t>
  </si>
  <si>
    <t>Sandy's Row Synagogue</t>
  </si>
  <si>
    <t>Johrei Centre</t>
  </si>
  <si>
    <t>Integrity International Community Church</t>
  </si>
  <si>
    <t>English Martyrs Church Hall</t>
  </si>
  <si>
    <t>Victory of Faith Christian Centre</t>
  </si>
  <si>
    <t>Saint Michael's Cherubim and Seraphim Church</t>
  </si>
  <si>
    <t>Mevlana Rumi</t>
  </si>
  <si>
    <t>New Testament Church of God</t>
  </si>
  <si>
    <t>Wallington Baptist Church</t>
  </si>
  <si>
    <t>Trinity Chapel</t>
  </si>
  <si>
    <t>City of Truth Christian Cetnre</t>
  </si>
  <si>
    <t>Emmanuel Chinese Church</t>
  </si>
  <si>
    <t>Hatton Mission Church</t>
  </si>
  <si>
    <t>The Liberal Jewish Synagogue</t>
  </si>
  <si>
    <t>Biala Synagogue</t>
  </si>
  <si>
    <t>V2V Community Church</t>
  </si>
  <si>
    <t>Emmanuel Evangelical Church</t>
  </si>
  <si>
    <t>Warmberg's Synagogue</t>
  </si>
  <si>
    <t>Open air Chapel</t>
  </si>
  <si>
    <t>Christian Life Centre</t>
  </si>
  <si>
    <t>Rccg Jubilee House For All Nations Limited</t>
  </si>
  <si>
    <t>St Mary's Catholic Church</t>
  </si>
  <si>
    <t>Westminster Synagogue</t>
  </si>
  <si>
    <t>Hussainiyat Al-Rasool Al-Adham</t>
  </si>
  <si>
    <t>Colier Row Gospel hall</t>
  </si>
  <si>
    <t>St Jude &amp; St Aidan</t>
  </si>
  <si>
    <t>House of Prayer</t>
  </si>
  <si>
    <t>UCKG HelpCentre</t>
  </si>
  <si>
    <t>Christ Paradise Church</t>
  </si>
  <si>
    <t>Christ is the Ladder Ministries</t>
  </si>
  <si>
    <t>Divine Prophetic Interdenominational Ministries</t>
  </si>
  <si>
    <t>Southall Seventh-Day Adventist Church</t>
  </si>
  <si>
    <t>Hackney Central Masjid</t>
  </si>
  <si>
    <t>Hoxton Islah</t>
  </si>
  <si>
    <t>Islamic Cultural Centre Neasden</t>
  </si>
  <si>
    <t>Imambargah Al-Hasan Mosque</t>
  </si>
  <si>
    <t>Eagles Christian Connections Hornchurch (RCCG)</t>
  </si>
  <si>
    <t>Harlington New Church Hall</t>
  </si>
  <si>
    <t>Khalsa Centre Tooting</t>
  </si>
  <si>
    <t>The Akwaaba Centre</t>
  </si>
  <si>
    <t>Sri Karpaga Vinayagar Kovil</t>
  </si>
  <si>
    <t>VHP Ilford Hindu Centre</t>
  </si>
  <si>
    <t>St Mary Somerset Tower</t>
  </si>
  <si>
    <t>Shree Thiruththanikai Vel Murugan Temple</t>
  </si>
  <si>
    <t>Mr Olivier Amar</t>
  </si>
  <si>
    <t>Siddhashram Shakti Centre</t>
  </si>
  <si>
    <t>Novar Christian Fellowship</t>
  </si>
  <si>
    <t>West London Buddhist Centre</t>
  </si>
  <si>
    <t>Dechen London: Sakya Buddhist Centre</t>
  </si>
  <si>
    <t>St James Mar Thoma Church UK, London</t>
  </si>
  <si>
    <t>Islamic Centre of Edgware</t>
  </si>
  <si>
    <t>Bethnal Green Mission Church</t>
  </si>
  <si>
    <t>St Brides</t>
  </si>
  <si>
    <t>Good Shepherd Church</t>
  </si>
  <si>
    <t>Saint Mary's Church</t>
  </si>
  <si>
    <t>St. John's, Fulham</t>
  </si>
  <si>
    <t>London Central Mosque</t>
  </si>
  <si>
    <t>St Philip and St James' Church</t>
  </si>
  <si>
    <t>St Dunstan's</t>
  </si>
  <si>
    <t>St Luke's</t>
  </si>
  <si>
    <t>St Leonard's Church</t>
  </si>
  <si>
    <t>St Mary's Church</t>
  </si>
  <si>
    <t>St John's Wood</t>
  </si>
  <si>
    <t>St Paul's Shadwell</t>
  </si>
  <si>
    <t>St Nicholas Church</t>
  </si>
  <si>
    <t>Saint Matthew's</t>
  </si>
  <si>
    <t>St James, Clapham</t>
  </si>
  <si>
    <t>St Clement Danes</t>
  </si>
  <si>
    <t>Saint Mary le Strand</t>
  </si>
  <si>
    <t>St Alban</t>
  </si>
  <si>
    <t>Guards Chapel</t>
  </si>
  <si>
    <t>St Pancras Old Church</t>
  </si>
  <si>
    <t>Danish Church</t>
  </si>
  <si>
    <t>Saint Saviour's</t>
  </si>
  <si>
    <t>The Parish Church of St Philip - Home to Libera</t>
  </si>
  <si>
    <t>St. Augustine of Canterbury</t>
  </si>
  <si>
    <t>Shri Sanatan Hindu Mandir</t>
  </si>
  <si>
    <t>Union Chapel</t>
  </si>
  <si>
    <t>Christchurch</t>
  </si>
  <si>
    <t>Lovekyn Chapel</t>
  </si>
  <si>
    <t>Parish of St. James</t>
  </si>
  <si>
    <t>All Souls Church</t>
  </si>
  <si>
    <t>Saint Mary Magdalen</t>
  </si>
  <si>
    <t>St. John the Baptist, Leytonstone</t>
  </si>
  <si>
    <t>St Mary of Eton</t>
  </si>
  <si>
    <t>Saint Mary's</t>
  </si>
  <si>
    <t>American International Church</t>
  </si>
  <si>
    <t>Holy Trinity Clapham</t>
  </si>
  <si>
    <t>Saint George and All Saints</t>
  </si>
  <si>
    <t>Saint Silas</t>
  </si>
  <si>
    <t>Saint Andrew</t>
  </si>
  <si>
    <t>St Michael and All Angels</t>
  </si>
  <si>
    <t>St. Stephen's, Wandsworth</t>
  </si>
  <si>
    <t>St Stephen's Canonbury</t>
  </si>
  <si>
    <t>St Martin-in-the-Fields</t>
  </si>
  <si>
    <t>St. Sepulchre's Church</t>
  </si>
  <si>
    <t>St Bartholomew-The Great</t>
  </si>
  <si>
    <t>Church in the Corner</t>
  </si>
  <si>
    <t>Richmond Fellowship</t>
  </si>
  <si>
    <t>St John the Baptist Church</t>
  </si>
  <si>
    <t>Saint Mark's Kennington</t>
  </si>
  <si>
    <t>St Katherine's Church</t>
  </si>
  <si>
    <t>St. George Beckenham Parish Church</t>
  </si>
  <si>
    <t>Saint John's</t>
  </si>
  <si>
    <t>St James Merton</t>
  </si>
  <si>
    <t>New Life Assembly</t>
  </si>
  <si>
    <t>Peace Pagoda</t>
  </si>
  <si>
    <t>St. Clement's Church</t>
  </si>
  <si>
    <t>St Michael and St George</t>
  </si>
  <si>
    <t>St. Clement with St. Peter</t>
  </si>
  <si>
    <t>Shree Swaminarayan Temple</t>
  </si>
  <si>
    <t>Holy Trinity Brompton</t>
  </si>
  <si>
    <t>St James, West Hampstead</t>
  </si>
  <si>
    <t>St Laurence Church</t>
  </si>
  <si>
    <t>Bromley Parish Church of St Peter &amp; St Paul</t>
  </si>
  <si>
    <t>St Peter’s</t>
  </si>
  <si>
    <t>St Luke's and Christ Church</t>
  </si>
  <si>
    <t>Church of Saint Peter</t>
  </si>
  <si>
    <t>Saint George's Hanover Square</t>
  </si>
  <si>
    <t>Dulwich Life Bible Church</t>
  </si>
  <si>
    <t>St Mary the Virgin</t>
  </si>
  <si>
    <t>Saint John the Evangelist</t>
  </si>
  <si>
    <t>St Matthew's Camberwell</t>
  </si>
  <si>
    <t>Peckham Islamic Centre</t>
  </si>
  <si>
    <t>Francis Bacon Lodge</t>
  </si>
  <si>
    <t>Saint Luke Eltham Park</t>
  </si>
  <si>
    <t>Cemetery chapel</t>
  </si>
  <si>
    <t>The Parish Church of All Hallows</t>
  </si>
  <si>
    <t>St. James's Church</t>
  </si>
  <si>
    <t>Havering Christian Fellowship</t>
  </si>
  <si>
    <t>St Thomas' Church</t>
  </si>
  <si>
    <t>Saint Mark's</t>
  </si>
  <si>
    <t>Saint Peter's Harrow</t>
  </si>
  <si>
    <t>Multi-Faith Room</t>
  </si>
  <si>
    <t>St Faith's</t>
  </si>
  <si>
    <t>St Laurences's Church</t>
  </si>
  <si>
    <t>Husseini mosque</t>
  </si>
  <si>
    <t>Church of our Most Holy Redeemer</t>
  </si>
  <si>
    <t>Saint Michael and All Angels Church</t>
  </si>
  <si>
    <t>Saint Peter's Walworth</t>
  </si>
  <si>
    <t>Saint John's, Waterloo</t>
  </si>
  <si>
    <t>Ascension Church Centre</t>
  </si>
  <si>
    <t>Hampstead Garden Suburb Free Church</t>
  </si>
  <si>
    <t>Copleston Centre</t>
  </si>
  <si>
    <t>anglican;united_reformed</t>
  </si>
  <si>
    <t>St Peter de Beauvoir Town</t>
  </si>
  <si>
    <t>St. Andrews</t>
  </si>
  <si>
    <t>Saint Pancras Church</t>
  </si>
  <si>
    <t>St George's Bloomsbury</t>
  </si>
  <si>
    <t>Saint Andrew's Church</t>
  </si>
  <si>
    <t>Keir Hardie methodist Church</t>
  </si>
  <si>
    <t>The Parish Church of St Paul, Deptford</t>
  </si>
  <si>
    <t>Hindu Pragati Sangha Mandir</t>
  </si>
  <si>
    <t>St. Paul's, Lorrimore Square</t>
  </si>
  <si>
    <t>St Augustine's Church</t>
  </si>
  <si>
    <t>St Alban the Martyr</t>
  </si>
  <si>
    <t>Saint Margaret's Church</t>
  </si>
  <si>
    <t>Holborn Muslim Community &amp; Welfare Association</t>
  </si>
  <si>
    <t>Saint Anne's Church</t>
  </si>
  <si>
    <t>Sight of Eternal Life Church</t>
  </si>
  <si>
    <t>St Mary's</t>
  </si>
  <si>
    <t>Saint Mark's Church</t>
  </si>
  <si>
    <t>Church of St Mary</t>
  </si>
  <si>
    <t>St Augustine's</t>
  </si>
  <si>
    <t>St Matthias Church</t>
  </si>
  <si>
    <t>First Born Church of God</t>
  </si>
  <si>
    <t>St Jude and St Paul</t>
  </si>
  <si>
    <t>Adath Yisroel Synagogue</t>
  </si>
  <si>
    <t>St. Mary's New Church</t>
  </si>
  <si>
    <t>St. Mary's Old Church</t>
  </si>
  <si>
    <t>Emmanuel</t>
  </si>
  <si>
    <t>North London Spiritualist Church</t>
  </si>
  <si>
    <t>Holy Trinity, Stroud Green</t>
  </si>
  <si>
    <t>St Christopher's</t>
  </si>
  <si>
    <t>Saint John The Divine</t>
  </si>
  <si>
    <t>St Peter Elgin Avenue</t>
  </si>
  <si>
    <t>St. Mary's</t>
  </si>
  <si>
    <t>Woodford Spiritualist Church</t>
  </si>
  <si>
    <t>St Saviour Hampstead</t>
  </si>
  <si>
    <t>All Hallows-by-the-Tower</t>
  </si>
  <si>
    <t>Brigadier Free Church</t>
  </si>
  <si>
    <t>St. Andrew's Church</t>
  </si>
  <si>
    <t>St.Augustine of Canterbury</t>
  </si>
  <si>
    <t>St Gabriel's</t>
  </si>
  <si>
    <t>Mosque and Islamic Centre of Brent</t>
  </si>
  <si>
    <t>St Olave's Woodberry Down</t>
  </si>
  <si>
    <t>White Eagle Lodge</t>
  </si>
  <si>
    <t>St Paul's Community Church</t>
  </si>
  <si>
    <t>Golders Green parish church</t>
  </si>
  <si>
    <t>Gurdwara Baba Buddha Sahib Ji</t>
  </si>
  <si>
    <t>St Mary's, Kilburn</t>
  </si>
  <si>
    <t>UK Albanian Muslim Community &amp; Cultural Centre</t>
  </si>
  <si>
    <t>Brompton Cemetery Chapel</t>
  </si>
  <si>
    <t>Gousul Azzam Mosque</t>
  </si>
  <si>
    <t>St Peter-le-Poer</t>
  </si>
  <si>
    <t>The Lebanese Welfare Community</t>
  </si>
  <si>
    <t>Holy Innocents</t>
  </si>
  <si>
    <t>Maharashtra Mandal London</t>
  </si>
  <si>
    <t>Saint Agnes Church</t>
  </si>
  <si>
    <t>Saint James The Less</t>
  </si>
  <si>
    <t>Lambeth Mission &amp; St Mary's shared Anglican &amp;amp; Methodist Church</t>
  </si>
  <si>
    <t>anglican;methodist</t>
  </si>
  <si>
    <t>Christ Apostolic Church Mount Zion International</t>
  </si>
  <si>
    <t>St George's</t>
  </si>
  <si>
    <t>Saint Mary's, Hadley</t>
  </si>
  <si>
    <t>St John with St Andrew</t>
  </si>
  <si>
    <t>Eternal Sacred Order of Cherebum and Seraphim</t>
  </si>
  <si>
    <t>New Covenant Church</t>
  </si>
  <si>
    <t>New Peckham Mosque</t>
  </si>
  <si>
    <t>St George the Martyr</t>
  </si>
  <si>
    <t>The Latter Rain Outpouring Revival Church</t>
  </si>
  <si>
    <t>St Stephen</t>
  </si>
  <si>
    <t>Gray's Inn Chapel</t>
  </si>
  <si>
    <t>St John Hendon</t>
  </si>
  <si>
    <t>Chapel</t>
  </si>
  <si>
    <t>Harrow Road Jamme Mosque</t>
  </si>
  <si>
    <t>The Parish Church of St John the Evangelist</t>
  </si>
  <si>
    <t>St Gabriel's Catholic Church</t>
  </si>
  <si>
    <t>Muswell Hill Methodist Church</t>
  </si>
  <si>
    <t>Christ Church Hendon</t>
  </si>
  <si>
    <t>St Paul's Tottenham</t>
  </si>
  <si>
    <t>High Cross Church</t>
  </si>
  <si>
    <t>St. Alphege's Church</t>
  </si>
  <si>
    <t>Methodist Church</t>
  </si>
  <si>
    <t>Stamford Hill &amp; District Mikvah</t>
  </si>
  <si>
    <t>Georgian Christian Orthodox Church</t>
  </si>
  <si>
    <t>St Bartholomew</t>
  </si>
  <si>
    <t>St James-the-Less</t>
  </si>
  <si>
    <t>Church of St Philip</t>
  </si>
  <si>
    <t>St Andrew the Apostle CofE</t>
  </si>
  <si>
    <t>Willesden Synagogue</t>
  </si>
  <si>
    <t>True Buddha Temple</t>
  </si>
  <si>
    <t>Christchurch with St Lawrence</t>
  </si>
  <si>
    <t>London Inter Faith Centre</t>
  </si>
  <si>
    <t>St Thomas Kensal Town</t>
  </si>
  <si>
    <t>Wood Green Spiritualist Church</t>
  </si>
  <si>
    <t>St Michael-at-Bowes</t>
  </si>
  <si>
    <t>All Saints Church of England Highams Park</t>
  </si>
  <si>
    <t>St Matthew's Church Bayswater</t>
  </si>
  <si>
    <t>St George's Church, Campden Hill</t>
  </si>
  <si>
    <t>The Gospel Hall</t>
  </si>
  <si>
    <t>Emmanuel Church Northwood</t>
  </si>
  <si>
    <t>St. Mary, Newington</t>
  </si>
  <si>
    <t>Saint John the Evangelist Church</t>
  </si>
  <si>
    <t>St. Andrew Parish Church of Sudbury</t>
  </si>
  <si>
    <t>Wembley Gospel Hall</t>
  </si>
  <si>
    <t>St James Alperton</t>
  </si>
  <si>
    <t>Christ Church Roxeth</t>
  </si>
  <si>
    <t>South Harrow Christian Fellowship</t>
  </si>
  <si>
    <t>Parish Church of St John The Evangelist</t>
  </si>
  <si>
    <t>All Souls</t>
  </si>
  <si>
    <t>St Matthew's Church</t>
  </si>
  <si>
    <t>Parish Church of St. Stephen</t>
  </si>
  <si>
    <t>St Jude's</t>
  </si>
  <si>
    <t>The Church of the Lord (Aladura)</t>
  </si>
  <si>
    <t>Self-Realization Fellowship</t>
  </si>
  <si>
    <t>St. Marylebone Parish Church</t>
  </si>
  <si>
    <t>Masjid Ayesha</t>
  </si>
  <si>
    <t>Edmonton Spiritualist Church</t>
  </si>
  <si>
    <t>New River Church</t>
  </si>
  <si>
    <t>St Peter the Apostle</t>
  </si>
  <si>
    <t>London Islamic Cultural Society</t>
  </si>
  <si>
    <t>Christ Church, West Green with St Peter</t>
  </si>
  <si>
    <t>St Ann's</t>
  </si>
  <si>
    <t>Church of St Andrew</t>
  </si>
  <si>
    <t>The Parish Church of St. Paul, Harringay</t>
  </si>
  <si>
    <t>Salvation Army Evangelical Centre</t>
  </si>
  <si>
    <t>St Augustine Grahame Park</t>
  </si>
  <si>
    <t>John Keble Church</t>
  </si>
  <si>
    <t>St Mary's West Twyford</t>
  </si>
  <si>
    <t>St. Stephen's Church Centre</t>
  </si>
  <si>
    <t>Arya Samaj London</t>
  </si>
  <si>
    <t>St. Mary with St. Nicholas - Perivale</t>
  </si>
  <si>
    <t>St Alphage, Hendon</t>
  </si>
  <si>
    <t>Tabernacle Christian Centre</t>
  </si>
  <si>
    <t>St Helen's</t>
  </si>
  <si>
    <t>West London Synagogue of British Jews</t>
  </si>
  <si>
    <t>Western Marble Arch Synagogue</t>
  </si>
  <si>
    <t>The Church of the Annunciation</t>
  </si>
  <si>
    <t>Wilson Street Chapel</t>
  </si>
  <si>
    <t>Holy C of E Trinity</t>
  </si>
  <si>
    <t>St Barnabas</t>
  </si>
  <si>
    <t>Shacklewell Lane Mosque</t>
  </si>
  <si>
    <t>St Mark's Dalston</t>
  </si>
  <si>
    <t>St Saviour's Priory</t>
  </si>
  <si>
    <t>Saint Chad's Church</t>
  </si>
  <si>
    <t>Chelsea Old Church</t>
  </si>
  <si>
    <t>St Paul, Onslow Square</t>
  </si>
  <si>
    <t>Dutch Church</t>
  </si>
  <si>
    <t>All Hallows</t>
  </si>
  <si>
    <t>St Martin's</t>
  </si>
  <si>
    <t>Spiritualist Church</t>
  </si>
  <si>
    <t>Parish Church of Saint Peter, Clapham</t>
  </si>
  <si>
    <t>Parish Church of the Holy Spirit</t>
  </si>
  <si>
    <t>St. Stephen's Church</t>
  </si>
  <si>
    <t>Shri Paramhans Advait Mat</t>
  </si>
  <si>
    <t>Harley Gospel Hall</t>
  </si>
  <si>
    <t>Anglican chapel</t>
  </si>
  <si>
    <t>Holy Trinity East Finchley</t>
  </si>
  <si>
    <t>New Cross Christian Centre</t>
  </si>
  <si>
    <t>Living Flames Baptist Church</t>
  </si>
  <si>
    <t>St. Michael's Church and Community Centre</t>
  </si>
  <si>
    <t>St Annes Church</t>
  </si>
  <si>
    <t>St Philip's</t>
  </si>
  <si>
    <t>Dagenham Parish Church of SS Peter &amp; Paul</t>
  </si>
  <si>
    <t>Saint Faiths</t>
  </si>
  <si>
    <t>Walford Road Synagogue</t>
  </si>
  <si>
    <t>Christ The Saviour</t>
  </si>
  <si>
    <t>Brotherhood of the Cross and Star</t>
  </si>
  <si>
    <t>St Matthew's at the Elephant</t>
  </si>
  <si>
    <t>Qurani Murkuz</t>
  </si>
  <si>
    <t>Holy Innocents Church</t>
  </si>
  <si>
    <t>St Matthias Colindale</t>
  </si>
  <si>
    <t>St. Anselms Church</t>
  </si>
  <si>
    <t>Culver Church</t>
  </si>
  <si>
    <t>St Alphege</t>
  </si>
  <si>
    <t>Welsh Chapel</t>
  </si>
  <si>
    <t>St Stephen's, Walthamstow</t>
  </si>
  <si>
    <t>Christian Hope Church</t>
  </si>
  <si>
    <t>St Barnabas Walthamstow</t>
  </si>
  <si>
    <t>All Saint's Church</t>
  </si>
  <si>
    <t>Saint John of Jerusalem</t>
  </si>
  <si>
    <t>St Mary the Virgin Putney</t>
  </si>
  <si>
    <t>St Matthew's</t>
  </si>
  <si>
    <t>First Church of Christ the Scientist Sutton</t>
  </si>
  <si>
    <t>Sutton Baptist Church</t>
  </si>
  <si>
    <t>St Dunstan-in-the-West</t>
  </si>
  <si>
    <t>anglican;romanian_orthodox</t>
  </si>
  <si>
    <t>St Andrews Whitehall Park</t>
  </si>
  <si>
    <t>St John the Theologian</t>
  </si>
  <si>
    <t>Hackney Synagogue</t>
  </si>
  <si>
    <t>Bait-ul-Aziz Islamic Cultural Centre</t>
  </si>
  <si>
    <t>City of London Cemetery Church</t>
  </si>
  <si>
    <t>City of London Cemetery Chapel</t>
  </si>
  <si>
    <t>St. Pauls</t>
  </si>
  <si>
    <t>Markazi Mosque</t>
  </si>
  <si>
    <t>St Mary Magdalen</t>
  </si>
  <si>
    <t>St James Norlands</t>
  </si>
  <si>
    <t>Holy Trinity Swiss Cottage</t>
  </si>
  <si>
    <t>Shomrei Hadath Synagogue</t>
  </si>
  <si>
    <t>Emmanuel Church, West Hampstead</t>
  </si>
  <si>
    <t>Kingston Spiritualist Church</t>
  </si>
  <si>
    <t>Albany Church</t>
  </si>
  <si>
    <t>St Richard's Church of Ham</t>
  </si>
  <si>
    <t>Holy Cross Church</t>
  </si>
  <si>
    <t>Christ Disciples Faith Ministries</t>
  </si>
  <si>
    <t>St. Michael's Camden Town</t>
  </si>
  <si>
    <t>Acton Community Church</t>
  </si>
  <si>
    <t>St. Etheldreda</t>
  </si>
  <si>
    <t>St Botolph's Aldgate</t>
  </si>
  <si>
    <t>St James, Clapton</t>
  </si>
  <si>
    <t>St Johns Church</t>
  </si>
  <si>
    <t>Saint Nicholas Cole Abbey</t>
  </si>
  <si>
    <t>St John's Church Centre</t>
  </si>
  <si>
    <t>Saint Leonard</t>
  </si>
  <si>
    <t>St Simon Zelotes</t>
  </si>
  <si>
    <t>New Testament Church Of God</t>
  </si>
  <si>
    <t>St. Simons</t>
  </si>
  <si>
    <t>Central Gurdwara (Khalsa Jatha)</t>
  </si>
  <si>
    <t>Second Church of Christ, Scientist, London</t>
  </si>
  <si>
    <t>West London Crematorium</t>
  </si>
  <si>
    <t>St Martin</t>
  </si>
  <si>
    <t>Sinai Synagogue</t>
  </si>
  <si>
    <t>David Ochel</t>
  </si>
  <si>
    <t>Dar al-Islam Foundation</t>
  </si>
  <si>
    <t>Church of God Worldwide Mission International</t>
  </si>
  <si>
    <t>St Michael's Church</t>
  </si>
  <si>
    <t>St Alban's, Becontree</t>
  </si>
  <si>
    <t>Dagenham Community Church</t>
  </si>
  <si>
    <t>Mountain of Fire and Miracles Ministries</t>
  </si>
  <si>
    <t>St Saviour's Church</t>
  </si>
  <si>
    <t>St Martin's Church, Dagenham Dock</t>
  </si>
  <si>
    <t>St Elisabeth's, Becontree</t>
  </si>
  <si>
    <t>Parish Church of St. John the Evangelist</t>
  </si>
  <si>
    <t>St Cedd's Church</t>
  </si>
  <si>
    <t>Barking &amp; Becontree Synagogue</t>
  </si>
  <si>
    <t>St Thomas's Church, Becontree</t>
  </si>
  <si>
    <t>Hartley Brook Church</t>
  </si>
  <si>
    <t>St John the Divine, Rivers of Joy Parish</t>
  </si>
  <si>
    <t>The Guild Church of Saint Lawrence Jewry</t>
  </si>
  <si>
    <t>Tower of All Hallows Staining</t>
  </si>
  <si>
    <t>Brick Lane Jamme Masjid</t>
  </si>
  <si>
    <t>St. Paul's Church</t>
  </si>
  <si>
    <t>Temple Church</t>
  </si>
  <si>
    <t>Mount Zion Cathedral</t>
  </si>
  <si>
    <t>St John's</t>
  </si>
  <si>
    <t>Shri Kanaga Thurkkai Amman Kovil</t>
  </si>
  <si>
    <t>Saint John's Downshire Hill</t>
  </si>
  <si>
    <t>St Peter Vauxhall</t>
  </si>
  <si>
    <t>Power Praise and Deliverance Worship Centre</t>
  </si>
  <si>
    <t>Union Church &amp; Community Centre</t>
  </si>
  <si>
    <t>Saint Cuthbert with Saint Matthias</t>
  </si>
  <si>
    <t>Croydon Minster</t>
  </si>
  <si>
    <t>Guild Church of Saint Margaret Pattens</t>
  </si>
  <si>
    <t>St Olave Hart Street</t>
  </si>
  <si>
    <t>Charis Christian Centre</t>
  </si>
  <si>
    <t>St Clements Church</t>
  </si>
  <si>
    <t>St Magnus the Martyr</t>
  </si>
  <si>
    <t>St. James Garlickhythe</t>
  </si>
  <si>
    <t>Kol Chai Reform Synagogue</t>
  </si>
  <si>
    <t>All Saints, West Ham</t>
  </si>
  <si>
    <t>Minhaj Ul Quran Centre</t>
  </si>
  <si>
    <t>Quwwat ul Islam Masjid</t>
  </si>
  <si>
    <t>Ridley Christian Centre</t>
  </si>
  <si>
    <t>Namdhari Gurdwara</t>
  </si>
  <si>
    <t>Imamia Mission London</t>
  </si>
  <si>
    <t>Forest Gate Mosque</t>
  </si>
  <si>
    <t>St Saviours Church</t>
  </si>
  <si>
    <t>Christs Chapel</t>
  </si>
  <si>
    <t>The Parish Church of Saint Mary</t>
  </si>
  <si>
    <t>St Thomas with St Stephen</t>
  </si>
  <si>
    <t>St. Peter's</t>
  </si>
  <si>
    <t>House of Favour &amp; Fire Ministries International</t>
  </si>
  <si>
    <t>Cherubim &amp; Seraphim Church</t>
  </si>
  <si>
    <t>St Stephen Church</t>
  </si>
  <si>
    <t>Hackbridge Catholic Spiritualist Church</t>
  </si>
  <si>
    <t>Underhill Baptist Church</t>
  </si>
  <si>
    <t>St John the Baptist (Barnet Church)</t>
  </si>
  <si>
    <t>Barnet United Reformed Church</t>
  </si>
  <si>
    <t>Mary Immaculate &amp; St Gregory the Great</t>
  </si>
  <si>
    <t>High Barnet Methodist Church</t>
  </si>
  <si>
    <t>St Paul, Harold Hill</t>
  </si>
  <si>
    <t>Eglise-Suisse</t>
  </si>
  <si>
    <t>Poor Clare Monastery</t>
  </si>
  <si>
    <t>Parish Church of Saint John The Baptist</t>
  </si>
  <si>
    <t>St Peter's Arkley</t>
  </si>
  <si>
    <t>St Peter's House</t>
  </si>
  <si>
    <t>St Alban, Great Ilford</t>
  </si>
  <si>
    <t>St John the Evangelist, Seven Kings</t>
  </si>
  <si>
    <t>St Patricks, Barking</t>
  </si>
  <si>
    <t>St Luke's Cranham</t>
  </si>
  <si>
    <t>Christ Church, Barnet</t>
  </si>
  <si>
    <t>Saint Andrew Undershaft</t>
  </si>
  <si>
    <t>St Chad, Chadwell Heath</t>
  </si>
  <si>
    <t>The Ascension, Collier Row</t>
  </si>
  <si>
    <t>All Saints, Hornchurch</t>
  </si>
  <si>
    <t>St Paul's, Hainault</t>
  </si>
  <si>
    <t>The Trinity Centre Hall</t>
  </si>
  <si>
    <t>St Mark</t>
  </si>
  <si>
    <t>The Guild Church of Saint Benet</t>
  </si>
  <si>
    <t>All Hallows On The Wall</t>
  </si>
  <si>
    <t>St Paul's Ealing</t>
  </si>
  <si>
    <t>Sutton Synagogue</t>
  </si>
  <si>
    <t>Christ Church at Whetstone United Reformed Church</t>
  </si>
  <si>
    <t>Islamic Centre</t>
  </si>
  <si>
    <t>Saint Matthias</t>
  </si>
  <si>
    <t>Jesus Mission To Nations</t>
  </si>
  <si>
    <t>Church Hall</t>
  </si>
  <si>
    <t>St Alfege, Greenwich</t>
  </si>
  <si>
    <t>St Mary's The Virgin (East Barnet Parish Church)</t>
  </si>
  <si>
    <t>Queen's Chapel</t>
  </si>
  <si>
    <t>Saint Luke's</t>
  </si>
  <si>
    <t>St Peter-in-the-Forest</t>
  </si>
  <si>
    <t>St. Michael and All Angels with St. James</t>
  </si>
  <si>
    <t>St Giles' Church</t>
  </si>
  <si>
    <t>St Ethelburga-the-Virgin within Bishopsgate</t>
  </si>
  <si>
    <t>Saint Edmund King and Martyr</t>
  </si>
  <si>
    <t>St Peter-upon-Cornhill Church</t>
  </si>
  <si>
    <t>St. Anne and St. Agnes</t>
  </si>
  <si>
    <t>St Botolph's-without-Aldersgate Church</t>
  </si>
  <si>
    <t>St James, Sussex Gardens</t>
  </si>
  <si>
    <t>St. Mary The Blessed Virgin</t>
  </si>
  <si>
    <t>Lincoln's Inn Chapel</t>
  </si>
  <si>
    <t>Shree Nathji Sanatan</t>
  </si>
  <si>
    <t>Fulham Spiritualist Church</t>
  </si>
  <si>
    <t>St Peter's Church, Brockley</t>
  </si>
  <si>
    <t>North London Mosque</t>
  </si>
  <si>
    <t>St James' Church</t>
  </si>
  <si>
    <t>Christ Church Cockfosters</t>
  </si>
  <si>
    <t>Church of the Grace of God</t>
  </si>
  <si>
    <t>St Catherine's Hatcham</t>
  </si>
  <si>
    <t>St John The Evangelist</t>
  </si>
  <si>
    <t>St. Mary &amp; St. Peter</t>
  </si>
  <si>
    <t>St. Helen &amp; St. Giles</t>
  </si>
  <si>
    <t>Saint Barnabas</t>
  </si>
  <si>
    <t>St John's Hyde Park</t>
  </si>
  <si>
    <t>Rainham Methodist Church</t>
  </si>
  <si>
    <t>Saint Nicholas</t>
  </si>
  <si>
    <t>Saint Matthew's Church</t>
  </si>
  <si>
    <t>Ascension, Balham Hill</t>
  </si>
  <si>
    <t>St Alban's Church</t>
  </si>
  <si>
    <t>Bible Truth Church of God</t>
  </si>
  <si>
    <t>NTCG Brixton Community Church</t>
  </si>
  <si>
    <t>Battersea Spiritualist Church</t>
  </si>
  <si>
    <t>Saint Michael's</t>
  </si>
  <si>
    <t>St Anselm Kennington Cross</t>
  </si>
  <si>
    <t>Harrow Central Mosque</t>
  </si>
  <si>
    <t>St. Margarets Church</t>
  </si>
  <si>
    <t>St John's Parish Centre</t>
  </si>
  <si>
    <t>Chirst Church New Southgate &amp; Friern Barnet (Baptist/United Reformed)</t>
  </si>
  <si>
    <t>Oakleigh Community Church</t>
  </si>
  <si>
    <t>All Saints' Friern Barnet</t>
  </si>
  <si>
    <t>St Augustine of Canterbury</t>
  </si>
  <si>
    <t>St Giles the Abbot</t>
  </si>
  <si>
    <t>St Anne and All Saints</t>
  </si>
  <si>
    <t>Redcoat Community Centre and Mosque</t>
  </si>
  <si>
    <t>Holy Cross</t>
  </si>
  <si>
    <t>Vishwa Hindu Kendra - Southall Hindu Temple</t>
  </si>
  <si>
    <t>Shri Guru Singh Sabha - Southall Sikh Temple</t>
  </si>
  <si>
    <t>Ramgarhia Sabha</t>
  </si>
  <si>
    <t>Bhai Lalo Darbar</t>
  </si>
  <si>
    <t>Guru Granth Gurdwara</t>
  </si>
  <si>
    <t>Gurudwara Sri Guru Singh Sabha</t>
  </si>
  <si>
    <t>Shree Ram Mandir</t>
  </si>
  <si>
    <t>Middlesex Hospital Chapel</t>
  </si>
  <si>
    <t>Aladura International Church</t>
  </si>
  <si>
    <t>Immanuel House of Worship</t>
  </si>
  <si>
    <t>The Potters House Christian Centre</t>
  </si>
  <si>
    <t>Walthamstow Church of the Nazarene</t>
  </si>
  <si>
    <t>Dar al Aloom Qadmia Jilamia</t>
  </si>
  <si>
    <t>Keston Parish Church</t>
  </si>
  <si>
    <t>Masjid Abu Bakr</t>
  </si>
  <si>
    <t>St Nicholas and All Hallows, East India Docks</t>
  </si>
  <si>
    <t>Salmon Lane Evangelical Church</t>
  </si>
  <si>
    <t>United Reformed Church</t>
  </si>
  <si>
    <t>Walthamstow National Spiritualist Church</t>
  </si>
  <si>
    <t>Woodcroft Hall</t>
  </si>
  <si>
    <t>Hendon Adath Yisroel Synagogue</t>
  </si>
  <si>
    <t>Lubavitch Chabad House of Hendon</t>
  </si>
  <si>
    <t>St. George's</t>
  </si>
  <si>
    <t>New North London Synagogue</t>
  </si>
  <si>
    <t>Shri Guru Ravi Dass Sabha Southall</t>
  </si>
  <si>
    <t>St Paul's Finchley</t>
  </si>
  <si>
    <t>North Finchley Mosque</t>
  </si>
  <si>
    <t>Finchley Reform Synagogue</t>
  </si>
  <si>
    <t>Queen's Chapel of the Savoy</t>
  </si>
  <si>
    <t>St. Cedd</t>
  </si>
  <si>
    <t>Queen's Road Cemetery chapel</t>
  </si>
  <si>
    <t>All Saints Sanderstead</t>
  </si>
  <si>
    <t>St.John The Divine</t>
  </si>
  <si>
    <t>St. Mary's Sanderstead</t>
  </si>
  <si>
    <t>Gurdwara Nanaksar</t>
  </si>
  <si>
    <t>Saint Gabriel's</t>
  </si>
  <si>
    <t>St Mary</t>
  </si>
  <si>
    <t>St Olave's Church</t>
  </si>
  <si>
    <t>Church of Saint Laurence</t>
  </si>
  <si>
    <t>St. Michael &amp; All Angels</t>
  </si>
  <si>
    <t>St Bartholomew's Church &amp; Centre</t>
  </si>
  <si>
    <t>Gurdwara London Sikh Centre Ealing</t>
  </si>
  <si>
    <t>St Christopher's Church</t>
  </si>
  <si>
    <t>Church of Brotherhood and the Cross</t>
  </si>
  <si>
    <t>London Buddhist Vihara</t>
  </si>
  <si>
    <t>St John the Evangelist Hammersmith</t>
  </si>
  <si>
    <t>Chiswick Parish Church</t>
  </si>
  <si>
    <t>Roding Lane Free Church</t>
  </si>
  <si>
    <t>Trinity African Methodist Episcopal Zion Church</t>
  </si>
  <si>
    <t>Christ Apostolic Church Kingswell</t>
  </si>
  <si>
    <t>Immanuel International Christian Ministries</t>
  </si>
  <si>
    <t>Faizan-e-Islam Centre</t>
  </si>
  <si>
    <t>Double Edge Church</t>
  </si>
  <si>
    <t>Parish of All Hallows</t>
  </si>
  <si>
    <t>St Margaret Lothbury</t>
  </si>
  <si>
    <t>Shree Jalaram Mandir</t>
  </si>
  <si>
    <t>The Parish Church of St Mary, Hanwell</t>
  </si>
  <si>
    <t>Cudham Church</t>
  </si>
  <si>
    <t>Christ the Redeemer</t>
  </si>
  <si>
    <t>St Nicholas</t>
  </si>
  <si>
    <t>St Joseph the Worker &amp; Dovetail Centre</t>
  </si>
  <si>
    <t>Praise House Church</t>
  </si>
  <si>
    <t>Shoreditch Masjid Trust</t>
  </si>
  <si>
    <t>Bevis Marks Synagogue</t>
  </si>
  <si>
    <t>Christ Church West Croydon</t>
  </si>
  <si>
    <t>Handcroft Chapel</t>
  </si>
  <si>
    <t>Ministry of Restoration International Pentecostal Church</t>
  </si>
  <si>
    <t>St Edmund's Church</t>
  </si>
  <si>
    <t>Baitan Subhan Mosque</t>
  </si>
  <si>
    <t>Hope &amp; Grace Romanian Church</t>
  </si>
  <si>
    <t>St Saviour's Parish Church</t>
  </si>
  <si>
    <t>Masjid Imam Ali</t>
  </si>
  <si>
    <t>Saint Cuthberts Church</t>
  </si>
  <si>
    <t>Church of God of Prophecy</t>
  </si>
  <si>
    <t>Upminster Cemetery Chapel</t>
  </si>
  <si>
    <t>Al-Risaalah Mosque &amp; Islington Islamic Centre</t>
  </si>
  <si>
    <t>Oshwal Mahajanwadi</t>
  </si>
  <si>
    <t>Bible Church of God's Praise</t>
  </si>
  <si>
    <t>St Mark's with St Margaret</t>
  </si>
  <si>
    <t>Ahmadiyya Muslim Ahmadiyya Muslim Community</t>
  </si>
  <si>
    <t>Parish Church of the Holy Trinity</t>
  </si>
  <si>
    <t>Sree Kutch Satsang Swaminarayan Temple London</t>
  </si>
  <si>
    <t>Church of the Ascension</t>
  </si>
  <si>
    <t>Church of St Philip the Apostle</t>
  </si>
  <si>
    <t>Wembley Christian Fellowship</t>
  </si>
  <si>
    <t>Neasden - St Catherine w St Paul</t>
  </si>
  <si>
    <t>The Latymer Christian Centre</t>
  </si>
  <si>
    <t>Faith Tabernacle Church of God</t>
  </si>
  <si>
    <t>Eltham Park Baptist Church</t>
  </si>
  <si>
    <t>Saint John the Baptist Church, Hoxton</t>
  </si>
  <si>
    <t>St. Andrew's Fulham Fields</t>
  </si>
  <si>
    <t>Europe for Christ Mission</t>
  </si>
  <si>
    <t>Eltham Spiritualist Church</t>
  </si>
  <si>
    <t>St Barnabas, Eltham</t>
  </si>
  <si>
    <t>St Saviour's, Pimlico</t>
  </si>
  <si>
    <t>Sivan Kovil</t>
  </si>
  <si>
    <t>Croydon Mosque &amp; Islamic Centre</t>
  </si>
  <si>
    <t>East Chapel</t>
  </si>
  <si>
    <t>Saint Anne's</t>
  </si>
  <si>
    <t>Shree Aden Depala mitra mandal</t>
  </si>
  <si>
    <t>House Of Judah International Church</t>
  </si>
  <si>
    <t>Saint Mark's Parish Church of South Teddington and Hampton Wick</t>
  </si>
  <si>
    <t>Holy Saviour Parish Church</t>
  </si>
  <si>
    <t>Maranatha Christian Church</t>
  </si>
  <si>
    <t>Saint Mary-the-Virgin</t>
  </si>
  <si>
    <t>St Luke's Parish Church</t>
  </si>
  <si>
    <t>Parish Church of St Mary the Virgin</t>
  </si>
  <si>
    <t>Latimer Congregational Church</t>
  </si>
  <si>
    <t>Al-Karam Mosque</t>
  </si>
  <si>
    <t>New Court Christian Centre</t>
  </si>
  <si>
    <t>Saint Luke's Millwall</t>
  </si>
  <si>
    <t>St. Peter's Church Vere Street</t>
  </si>
  <si>
    <t>St John's Eden Park</t>
  </si>
  <si>
    <t>Siri Guru Singh Sabha</t>
  </si>
  <si>
    <t>St John The Baptist</t>
  </si>
  <si>
    <t>Streatham United Reformed Church</t>
  </si>
  <si>
    <t>Parish Church of St James</t>
  </si>
  <si>
    <t>St. Dunstan's</t>
  </si>
  <si>
    <t>The Chapel of the House of St Barnabas-in-Soho</t>
  </si>
  <si>
    <t>Elim</t>
  </si>
  <si>
    <t>The Good Shepherd Mission</t>
  </si>
  <si>
    <t>Living Springs International Church</t>
  </si>
  <si>
    <t>St. Saviour's</t>
  </si>
  <si>
    <t>Saint Augustine's Church</t>
  </si>
  <si>
    <t>Catford Synagogue</t>
  </si>
  <si>
    <t>Bromley Reform Synagogue</t>
  </si>
  <si>
    <t>The Cornerstone (St Catherine &amp; St Paul)</t>
  </si>
  <si>
    <t>Moor Lane Church</t>
  </si>
  <si>
    <t>St Lawrence</t>
  </si>
  <si>
    <t>St. Margaret's</t>
  </si>
  <si>
    <t>St John the Divine</t>
  </si>
  <si>
    <t>St. Peter &amp; St. Paul</t>
  </si>
  <si>
    <t>Shahjalal Centre</t>
  </si>
  <si>
    <t>Calvary Church of God in Christ</t>
  </si>
  <si>
    <t>Markazul Uloom</t>
  </si>
  <si>
    <t>Gateway House</t>
  </si>
  <si>
    <t>Gurdwara Karamsar Temple</t>
  </si>
  <si>
    <t>Hospital Chapel of St Mary and St Thomas</t>
  </si>
  <si>
    <t>Balham Community Church</t>
  </si>
  <si>
    <t>Wembley Church of Christ</t>
  </si>
  <si>
    <t>Suleymaniye Mosque</t>
  </si>
  <si>
    <t>Acton Green Church</t>
  </si>
  <si>
    <t>Saint Peter's Centre</t>
  </si>
  <si>
    <t>St. Saviour's Church</t>
  </si>
  <si>
    <t>St. Paul's, Winchmore Hill</t>
  </si>
  <si>
    <t>Christ Church Hall</t>
  </si>
  <si>
    <t>Revival Christian Centre</t>
  </si>
  <si>
    <t>The Parish of St Stephen and St Mark</t>
  </si>
  <si>
    <t>Elim Christian Centre</t>
  </si>
  <si>
    <t>St Mellitus Church</t>
  </si>
  <si>
    <t>West London Islamic Centre &amp; Greenford Mosque</t>
  </si>
  <si>
    <t>St Hugh's Church</t>
  </si>
  <si>
    <t>Jamia Masjid UKIM</t>
  </si>
  <si>
    <t>Dean Hall Christian Church</t>
  </si>
  <si>
    <t>St. Andrew's Earlsfield</t>
  </si>
  <si>
    <t>Masjid e Yusuf</t>
  </si>
  <si>
    <t>The Apostolic Catholic Assyrian Church of the East</t>
  </si>
  <si>
    <t>The Power of Prayer Ministry</t>
  </si>
  <si>
    <t>Saint John</t>
  </si>
  <si>
    <t>Bethany Church of God</t>
  </si>
  <si>
    <t>Southall Church of God</t>
  </si>
  <si>
    <t>Sri Guru Amardass Gurdwara</t>
  </si>
  <si>
    <t>Central Jamia Mosque</t>
  </si>
  <si>
    <t>Bhagwan Valmik Mandir</t>
  </si>
  <si>
    <t>Science of the Soul</t>
  </si>
  <si>
    <t>St. Anne's Church</t>
  </si>
  <si>
    <t>St Thomas</t>
  </si>
  <si>
    <t>The Gospel Centre</t>
  </si>
  <si>
    <t>College Park Baptist Chapel</t>
  </si>
  <si>
    <t>New Community Church</t>
  </si>
  <si>
    <t>Sherwood Road Hall</t>
  </si>
  <si>
    <t>St Matthew, Fulham</t>
  </si>
  <si>
    <t>North London Diyanet Cami</t>
  </si>
  <si>
    <t>Saint Saviour</t>
  </si>
  <si>
    <t>Lewisham Methodist Church</t>
  </si>
  <si>
    <t>St Saviour, St John the Baptist and St John the Evangelist Catholic Church</t>
  </si>
  <si>
    <t>Christ Church &amp; St Stephen</t>
  </si>
  <si>
    <t>St. Mary's Summertown</t>
  </si>
  <si>
    <t>Love of Christ Generation Church</t>
  </si>
  <si>
    <t>St Michael's Fulwell</t>
  </si>
  <si>
    <t>The City Church</t>
  </si>
  <si>
    <t>St Vedast</t>
  </si>
  <si>
    <t>Christ Church Colliers Wood</t>
  </si>
  <si>
    <t>St John The Divine</t>
  </si>
  <si>
    <t>Notting Hill Community Church</t>
  </si>
  <si>
    <t>RIGPA Tibetan Buddhist Centre</t>
  </si>
  <si>
    <t>St. Matthew's</t>
  </si>
  <si>
    <t>Christ Church, West Wimbledon</t>
  </si>
  <si>
    <t>St. Barnabas</t>
  </si>
  <si>
    <t>Dundonald Church</t>
  </si>
  <si>
    <t>St. Andrew</t>
  </si>
  <si>
    <t>St. Michael's and All Angels</t>
  </si>
  <si>
    <t>St Francis of Assisi</t>
  </si>
  <si>
    <t>Saint Paulinus</t>
  </si>
  <si>
    <t>St Michael &amp; All Angels</t>
  </si>
  <si>
    <t>St Peter with St Thomas</t>
  </si>
  <si>
    <t>St Mary the Boltons</t>
  </si>
  <si>
    <t>St Peter's London Docks</t>
  </si>
  <si>
    <t>St Paul's, Brixton</t>
  </si>
  <si>
    <t>Christ Church Fulham</t>
  </si>
  <si>
    <t>St. John-at-Hackney</t>
  </si>
  <si>
    <t>Chapel of Saint Peter ad Vincula</t>
  </si>
  <si>
    <t>St Michael and All Angels, London Fields</t>
  </si>
  <si>
    <t>Holy Redeemer Church</t>
  </si>
  <si>
    <t>Shield of Faith Ministries</t>
  </si>
  <si>
    <t>Walthamstow Spiritualist Lyceum Church</t>
  </si>
  <si>
    <t>Spruce Hills Baptist Church</t>
  </si>
  <si>
    <t>Waltham Forest Hebrew Congregation</t>
  </si>
  <si>
    <t>Sri Merupuram Maha Pathirakali Amman Temple</t>
  </si>
  <si>
    <t>Assemblies of the First Born Church</t>
  </si>
  <si>
    <t>St Mary Woolnoth</t>
  </si>
  <si>
    <t>St Margaret, Barking</t>
  </si>
  <si>
    <t>Fieldgate Street Great Synagogue</t>
  </si>
  <si>
    <t>Al-Muntada Al-Islami Trust</t>
  </si>
  <si>
    <t>East London Central Synagogue</t>
  </si>
  <si>
    <t>Bury Street Chapel</t>
  </si>
  <si>
    <t>St Andrews Christian Centre</t>
  </si>
  <si>
    <t>St Paul's Bow Common</t>
  </si>
  <si>
    <t>Trinity United Reformed Church</t>
  </si>
  <si>
    <t>Shahjalal Jame Masjid</t>
  </si>
  <si>
    <t>Hope Hall</t>
  </si>
  <si>
    <t>Saint Augustine of Canterbury</t>
  </si>
  <si>
    <t>Christ the King Church</t>
  </si>
  <si>
    <t>Christian Science Church</t>
  </si>
  <si>
    <t>Poplar Mosque &amp; Community Centre</t>
  </si>
  <si>
    <t>St. Osmunds</t>
  </si>
  <si>
    <t>St Alban's Fulham</t>
  </si>
  <si>
    <t>Parish Church of St. Leonard</t>
  </si>
  <si>
    <t>St. Stephen's Parish Church</t>
  </si>
  <si>
    <t>Christ Church New Malden</t>
  </si>
  <si>
    <t>St Mildred's Church</t>
  </si>
  <si>
    <t>St Andrew's United Reformed Church</t>
  </si>
  <si>
    <t>Ham Christian Centre</t>
  </si>
  <si>
    <t>St Mary Abchurch</t>
  </si>
  <si>
    <t>Bishop Andrewes Church</t>
  </si>
  <si>
    <t>Chapel of Saint Peter and Saint Paul</t>
  </si>
  <si>
    <t>St Mary With St Alban C of E Church</t>
  </si>
  <si>
    <t>Saint Mary's Parish Church</t>
  </si>
  <si>
    <t>Aziziye Mosque and Community Centre</t>
  </si>
  <si>
    <t>Church of Our Lady Help of Christians</t>
  </si>
  <si>
    <t>St. James' Church Kidbrooke</t>
  </si>
  <si>
    <t>Highgate Hill Murugan Temple</t>
  </si>
  <si>
    <t>Highams Park &amp; Chingford Synagogue</t>
  </si>
  <si>
    <t>St Margaret with Saint Columba</t>
  </si>
  <si>
    <t>Bishop Ridley Church</t>
  </si>
  <si>
    <t>St. Hugh Bermondsey</t>
  </si>
  <si>
    <t>Poplar Baptist Church</t>
  </si>
  <si>
    <t>Christian Fellowship in Richmond</t>
  </si>
  <si>
    <t>Emerson Evangelical Church</t>
  </si>
  <si>
    <t>St Mary at Finchley</t>
  </si>
  <si>
    <t>St Margaret's United Reform Church</t>
  </si>
  <si>
    <t>Palace of Liberty</t>
  </si>
  <si>
    <t>Totteridge Union URC Church</t>
  </si>
  <si>
    <t>Burdett Estate Mosque</t>
  </si>
  <si>
    <t>Highgate Synagogue</t>
  </si>
  <si>
    <t>St. John the Baptist</t>
  </si>
  <si>
    <t>The Chapel Royal</t>
  </si>
  <si>
    <t>The Tabernacle</t>
  </si>
  <si>
    <t>Parish Church of Saint Mary the Virgin</t>
  </si>
  <si>
    <t>St. George's Church</t>
  </si>
  <si>
    <t>St Helier Congregational Church</t>
  </si>
  <si>
    <t>St Johns With Holy Trinity</t>
  </si>
  <si>
    <t>Loampit Gospel Hall</t>
  </si>
  <si>
    <t>The Aetherius Temple</t>
  </si>
  <si>
    <t>Stepney Meeting House</t>
  </si>
  <si>
    <t>Radha Krishna Temple</t>
  </si>
  <si>
    <t>St Mary's Bourne Street</t>
  </si>
  <si>
    <t>Capstone Church London</t>
  </si>
  <si>
    <t>St Cuthbert's Parish Church</t>
  </si>
  <si>
    <t>St Stephen's</t>
  </si>
  <si>
    <t>St Augustine</t>
  </si>
  <si>
    <t>Saint John the Apostle</t>
  </si>
  <si>
    <t>C.C.C. Elmorijah Parish</t>
  </si>
  <si>
    <t>Elm Park Baptist Church</t>
  </si>
  <si>
    <t>Elm Park Methodist Church</t>
  </si>
  <si>
    <t>St .Nicholas Church</t>
  </si>
  <si>
    <t>Masjid Tawhid</t>
  </si>
  <si>
    <t>Hope Community Church</t>
  </si>
  <si>
    <t>All Saints', Cranham</t>
  </si>
  <si>
    <t>Burnt Oak Christian Fellowship</t>
  </si>
  <si>
    <t>St George's Garrison Church</t>
  </si>
  <si>
    <t>Hindu Society Centre</t>
  </si>
  <si>
    <t>Kentish Town Congressional Church</t>
  </si>
  <si>
    <t>Zion Church of Christ Apostolic Pentecostal</t>
  </si>
  <si>
    <t>St. Margaret's Church, Lee</t>
  </si>
  <si>
    <t>English Martyrs RC Church</t>
  </si>
  <si>
    <t>St George, Battersea Fields Parish</t>
  </si>
  <si>
    <t>St Peter and St Paul</t>
  </si>
  <si>
    <t>Anchor of Hope</t>
  </si>
  <si>
    <t>Glory Divine Christian Centre and Community Hall</t>
  </si>
  <si>
    <t>Way of Glory Missions</t>
  </si>
  <si>
    <t>The Kingdom Church</t>
  </si>
  <si>
    <t>Destiny International Christian Fellowship</t>
  </si>
  <si>
    <t>St. Gabriel's</t>
  </si>
  <si>
    <t>Highgate School Chapel</t>
  </si>
  <si>
    <t>Montpelier Church</t>
  </si>
  <si>
    <t>Restoration City Church</t>
  </si>
  <si>
    <t>Harvest Church Christian Centre</t>
  </si>
  <si>
    <t>The Holy Michael Church of the Lord</t>
  </si>
  <si>
    <t>The Redeemed Assemblies</t>
  </si>
  <si>
    <t>All Souls' Church, Pratts Bottom</t>
  </si>
  <si>
    <t>St Barnabas, Dulwich</t>
  </si>
  <si>
    <t>Croydon Community Church</t>
  </si>
  <si>
    <t>Sunbeam Mission</t>
  </si>
  <si>
    <t>St Edwards</t>
  </si>
  <si>
    <t>Pinner Methodist Church</t>
  </si>
  <si>
    <t>Saint Mary the Virgin</t>
  </si>
  <si>
    <t>Divine Mercy Apostolate</t>
  </si>
  <si>
    <t>St George The Martyr Church</t>
  </si>
  <si>
    <t>Godstone Tabernacle</t>
  </si>
  <si>
    <t>Zera Avraham Messianic Synagogue</t>
  </si>
  <si>
    <t>Happy Science</t>
  </si>
  <si>
    <t>Leighton Road Gospel Hall</t>
  </si>
  <si>
    <t>Saint Georges Church</t>
  </si>
  <si>
    <t>Woolwich Central Baptist Church</t>
  </si>
  <si>
    <t>Winchmore Hill Methodist Church</t>
  </si>
  <si>
    <t>Saint Dunstans Church</t>
  </si>
  <si>
    <t>Whybridge Christian Fellowship Church</t>
  </si>
  <si>
    <t>Christ Church, Leyton</t>
  </si>
  <si>
    <t>Gurdwara Sikh Sangat London East</t>
  </si>
  <si>
    <t>Romford Evangelical Free Church</t>
  </si>
  <si>
    <t>Stratford Church of Christ</t>
  </si>
  <si>
    <t>Jain Vishva Bharati London</t>
  </si>
  <si>
    <t>Romford Christian Spiritualist Church</t>
  </si>
  <si>
    <t>St. James' Riddlesdown</t>
  </si>
  <si>
    <t>Holy Trinity Barnes</t>
  </si>
  <si>
    <t>Church of St. Mary the Virgin</t>
  </si>
  <si>
    <t>Woodbridge Chapel</t>
  </si>
  <si>
    <t>Masjid Uthman</t>
  </si>
  <si>
    <t>West Side Church</t>
  </si>
  <si>
    <t>Masjid Khalil</t>
  </si>
  <si>
    <t>St. Luke's Parish Church and Community Centre</t>
  </si>
  <si>
    <t>Parish Church of St. Thomas</t>
  </si>
  <si>
    <t>Emmanuel Parish Church</t>
  </si>
  <si>
    <t>The Apostolic Faith Mission</t>
  </si>
  <si>
    <t>St James the Great</t>
  </si>
  <si>
    <t>Riverside Vineyard</t>
  </si>
  <si>
    <t>All saints</t>
  </si>
  <si>
    <t>Dundonald Congregational Church</t>
  </si>
  <si>
    <t>Avery Hill Christian Fellowship</t>
  </si>
  <si>
    <t>St Barnabas Parish Church</t>
  </si>
  <si>
    <t>St George</t>
  </si>
  <si>
    <t>Saint Lawrence Church</t>
  </si>
  <si>
    <t>St Alban's Christian Centre</t>
  </si>
  <si>
    <t>St Hilda's Church</t>
  </si>
  <si>
    <t>St Philip &amp; St James</t>
  </si>
  <si>
    <t>English Martyrs R C Church</t>
  </si>
  <si>
    <t>St Francis Community Church</t>
  </si>
  <si>
    <t>st edmunds c of e church</t>
  </si>
  <si>
    <t>Islamic Universal Association</t>
  </si>
  <si>
    <t>Shree Kutch Satsang Swaminarayan Temple</t>
  </si>
  <si>
    <t>Sai Baba Temple</t>
  </si>
  <si>
    <t>Unity Church</t>
  </si>
  <si>
    <t>St Mary, Shortlands</t>
  </si>
  <si>
    <t>Christ Church, Bromley</t>
  </si>
  <si>
    <t>Barnes Healing Church</t>
  </si>
  <si>
    <t>United Synagogue</t>
  </si>
  <si>
    <t>St Michael And All Angels</t>
  </si>
  <si>
    <t>Gurdwara Sri Guru Singh Sabha</t>
  </si>
  <si>
    <t>SW15 1HN</t>
  </si>
  <si>
    <t>SW6 3BQ</t>
  </si>
  <si>
    <t>SW18 5EP</t>
  </si>
  <si>
    <t>SW15 3SH</t>
  </si>
  <si>
    <t>UB8 1RW</t>
  </si>
  <si>
    <t>SW19 8DS</t>
  </si>
  <si>
    <t>UB8 1UT</t>
  </si>
  <si>
    <t>SE23 1AN</t>
  </si>
  <si>
    <t>KT2 6SJ</t>
  </si>
  <si>
    <t>SW15 3PX</t>
  </si>
  <si>
    <t>TW9 4HF</t>
  </si>
  <si>
    <t>KT2 6AA</t>
  </si>
  <si>
    <t>RM1 3LP</t>
  </si>
  <si>
    <t>RM11 2EB</t>
  </si>
  <si>
    <t>RM2 6AF</t>
  </si>
  <si>
    <t>UB7 9ES</t>
  </si>
  <si>
    <t>TW7 6PN</t>
  </si>
  <si>
    <t>TW3 4NN</t>
  </si>
  <si>
    <t>EN2 6PJ</t>
  </si>
  <si>
    <t>TW3 3DD</t>
  </si>
  <si>
    <t>TW4 7BL</t>
  </si>
  <si>
    <t>TW4 6HY</t>
  </si>
  <si>
    <t>TW7 5PB</t>
  </si>
  <si>
    <t>TW3 1PG</t>
  </si>
  <si>
    <t>TW7 6EE</t>
  </si>
  <si>
    <t>TW7 6HJ</t>
  </si>
  <si>
    <t>SM3 8QH</t>
  </si>
  <si>
    <t>SW17</t>
  </si>
  <si>
    <t>RM3 0DN</t>
  </si>
  <si>
    <t>TW12 3RL</t>
  </si>
  <si>
    <t>TW2 6JE</t>
  </si>
  <si>
    <t>N16 7QA</t>
  </si>
  <si>
    <t>RM4 1JX</t>
  </si>
  <si>
    <t>TW5 0DP</t>
  </si>
  <si>
    <t>SE23 2SG</t>
  </si>
  <si>
    <t>EN1 1DJ</t>
  </si>
  <si>
    <t>EN2 6LS</t>
  </si>
  <si>
    <t>TW5 9RN</t>
  </si>
  <si>
    <t>SE1 7RY</t>
  </si>
  <si>
    <t>TW8 8DL</t>
  </si>
  <si>
    <t>SW17 7HR</t>
  </si>
  <si>
    <t>BR2 7JP</t>
  </si>
  <si>
    <t>SM6 8LR</t>
  </si>
  <si>
    <t>SM6 8QB</t>
  </si>
  <si>
    <t>SE25 4SP</t>
  </si>
  <si>
    <t>HA7 4AQ</t>
  </si>
  <si>
    <t>HA1 2JE</t>
  </si>
  <si>
    <t>TW13 5HX</t>
  </si>
  <si>
    <t>HA5 3AD</t>
  </si>
  <si>
    <t>CR8 3QJ</t>
  </si>
  <si>
    <t>TW13 6PX</t>
  </si>
  <si>
    <t>SE3 7SZ</t>
  </si>
  <si>
    <t>SE10 8TX</t>
  </si>
  <si>
    <t>SE3 8PX</t>
  </si>
  <si>
    <t>SE12 8PY</t>
  </si>
  <si>
    <t>SE13 5DP</t>
  </si>
  <si>
    <t>SE13 5SA</t>
  </si>
  <si>
    <t>EN2 9EY</t>
  </si>
  <si>
    <t>TW13 6UR</t>
  </si>
  <si>
    <t>UB3 5AB</t>
  </si>
  <si>
    <t>SM6 0RU</t>
  </si>
  <si>
    <t>EN5 1RE</t>
  </si>
  <si>
    <t>SM3 9HE</t>
  </si>
  <si>
    <t>E5 0JG</t>
  </si>
  <si>
    <t>W2 5JE</t>
  </si>
  <si>
    <t>HA4 0RY</t>
  </si>
  <si>
    <t>HA4 0BW</t>
  </si>
  <si>
    <t>W6 0HE</t>
  </si>
  <si>
    <t>TW8 0PN</t>
  </si>
  <si>
    <t>SW9</t>
  </si>
  <si>
    <t>E2 0HU</t>
  </si>
  <si>
    <t>HA2 0HJ</t>
  </si>
  <si>
    <t>E12 5HH</t>
  </si>
  <si>
    <t>TW15 3AJ</t>
  </si>
  <si>
    <t>SM3 9RY</t>
  </si>
  <si>
    <t>SM1 1RT</t>
  </si>
  <si>
    <t>KT4 8DY</t>
  </si>
  <si>
    <t>SW8 2QJ</t>
  </si>
  <si>
    <t>SW9 9AS</t>
  </si>
  <si>
    <t>SW9 9JB</t>
  </si>
  <si>
    <t>E6 6EA</t>
  </si>
  <si>
    <t>E7 8LG</t>
  </si>
  <si>
    <t>W13 9BZ</t>
  </si>
  <si>
    <t>SM2 5TL</t>
  </si>
  <si>
    <t>SE16 4RT</t>
  </si>
  <si>
    <t>NW4 4JX</t>
  </si>
  <si>
    <t>SW2 2QN</t>
  </si>
  <si>
    <t>NW5 2JB</t>
  </si>
  <si>
    <t>SW12 8PT</t>
  </si>
  <si>
    <t>SE15 3HH</t>
  </si>
  <si>
    <t>SW12 9AN</t>
  </si>
  <si>
    <t>SW12 9RB</t>
  </si>
  <si>
    <t>SW12 0PH</t>
  </si>
  <si>
    <t>HA1 4TQ</t>
  </si>
  <si>
    <t>W3 9ST</t>
  </si>
  <si>
    <t>W3</t>
  </si>
  <si>
    <t>SW2 3BD</t>
  </si>
  <si>
    <t>SE15 3EP</t>
  </si>
  <si>
    <t>SW12 9BA</t>
  </si>
  <si>
    <t>CR0 3NW</t>
  </si>
  <si>
    <t>CR0 5LT</t>
  </si>
  <si>
    <t>TW10 7JQ</t>
  </si>
  <si>
    <t>DA14 4BF</t>
  </si>
  <si>
    <t>SE5 0UX</t>
  </si>
  <si>
    <t>N10 3RT</t>
  </si>
  <si>
    <t>SW16 6QJ</t>
  </si>
  <si>
    <t>NW1 2HR</t>
  </si>
  <si>
    <t>DA16 3AT</t>
  </si>
  <si>
    <t>DA16 1RE</t>
  </si>
  <si>
    <t>SE18 7PT</t>
  </si>
  <si>
    <t>DA7 4QA</t>
  </si>
  <si>
    <t>DA7 6FA</t>
  </si>
  <si>
    <t>W3 8AJ</t>
  </si>
  <si>
    <t>SE23 3LR</t>
  </si>
  <si>
    <t>NW10 8LB</t>
  </si>
  <si>
    <t>NW10 9ED</t>
  </si>
  <si>
    <t>EN4 0LH</t>
  </si>
  <si>
    <t>NW10 0UH</t>
  </si>
  <si>
    <t>SE21 7ND</t>
  </si>
  <si>
    <t>SE14 5TW</t>
  </si>
  <si>
    <t>E7</t>
  </si>
  <si>
    <t>BR3 4DG</t>
  </si>
  <si>
    <t>BR3 4RX</t>
  </si>
  <si>
    <t>BR3 4TN</t>
  </si>
  <si>
    <t>TW10 5HG</t>
  </si>
  <si>
    <t>E10</t>
  </si>
  <si>
    <t>E7 0AD</t>
  </si>
  <si>
    <t>NW3 7AS</t>
  </si>
  <si>
    <t>E12 6AF</t>
  </si>
  <si>
    <t>CR5 2DG</t>
  </si>
  <si>
    <t>EN1 2ER</t>
  </si>
  <si>
    <t>N14 4SN</t>
  </si>
  <si>
    <t>E12 6PT</t>
  </si>
  <si>
    <t>N5 1HP</t>
  </si>
  <si>
    <t>HA4 7AR</t>
  </si>
  <si>
    <t>E6 2EU</t>
  </si>
  <si>
    <t>SE18 7PN</t>
  </si>
  <si>
    <t>E4 6NP</t>
  </si>
  <si>
    <t>E4</t>
  </si>
  <si>
    <t>DA5 2BD</t>
  </si>
  <si>
    <t>E13 8EE</t>
  </si>
  <si>
    <t>N7 8JG</t>
  </si>
  <si>
    <t>SW10 0AU</t>
  </si>
  <si>
    <t>N5 1QP</t>
  </si>
  <si>
    <t>SE18</t>
  </si>
  <si>
    <t>N8 7NT</t>
  </si>
  <si>
    <t>N8 8NB</t>
  </si>
  <si>
    <t>SM1 2JF</t>
  </si>
  <si>
    <t>TW2 5BD</t>
  </si>
  <si>
    <t>KT1 3BT</t>
  </si>
  <si>
    <t>HA5 4JF</t>
  </si>
  <si>
    <t>W12 0NS</t>
  </si>
  <si>
    <t>DA17 6FE</t>
  </si>
  <si>
    <t>KT2 6EL</t>
  </si>
  <si>
    <t>SE9 5JA</t>
  </si>
  <si>
    <t>HA8 6QE</t>
  </si>
  <si>
    <t>DA14 6BX</t>
  </si>
  <si>
    <t>W6 9TQ</t>
  </si>
  <si>
    <t>DA14 4TP</t>
  </si>
  <si>
    <t>BR1 2AY</t>
  </si>
  <si>
    <t>BR2 9QZ</t>
  </si>
  <si>
    <t>BR2 8AD</t>
  </si>
  <si>
    <t>SE9 4DB</t>
  </si>
  <si>
    <t>SW8 1DQ</t>
  </si>
  <si>
    <t>SE9 3BB</t>
  </si>
  <si>
    <t>BR7 5AG</t>
  </si>
  <si>
    <t>BR5 2DT</t>
  </si>
  <si>
    <t>BR5 2LJ</t>
  </si>
  <si>
    <t>SW3 4EW</t>
  </si>
  <si>
    <t>SE13 6QE</t>
  </si>
  <si>
    <t>SE8 4BH</t>
  </si>
  <si>
    <t>BR1 5RL</t>
  </si>
  <si>
    <t>BR1 3PF</t>
  </si>
  <si>
    <t>SE12 8RS</t>
  </si>
  <si>
    <t>SE12 8QJ</t>
  </si>
  <si>
    <t>SE17</t>
  </si>
  <si>
    <t>SE20 7LX</t>
  </si>
  <si>
    <t>SE20 8ER</t>
  </si>
  <si>
    <t>W12 8QA</t>
  </si>
  <si>
    <t>UB3 2JP</t>
  </si>
  <si>
    <t>N22 8HX</t>
  </si>
  <si>
    <t>CR0 0ET</t>
  </si>
  <si>
    <t>CR0 0EE</t>
  </si>
  <si>
    <t>CR9 0BN</t>
  </si>
  <si>
    <t>CR0 0SH</t>
  </si>
  <si>
    <t>E13 8EQ</t>
  </si>
  <si>
    <t>N17 9JG</t>
  </si>
  <si>
    <t>WC1X 8QY</t>
  </si>
  <si>
    <t>TW3 3TS</t>
  </si>
  <si>
    <t>DA14 5HD</t>
  </si>
  <si>
    <t>DA14 5EQ</t>
  </si>
  <si>
    <t>SW16 6RP</t>
  </si>
  <si>
    <t>N22 7SX</t>
  </si>
  <si>
    <t>SE27 9AJ</t>
  </si>
  <si>
    <t>N17 6QH</t>
  </si>
  <si>
    <t>RM4 1QP</t>
  </si>
  <si>
    <t>UB10 9BT</t>
  </si>
  <si>
    <t>HA3 0JH</t>
  </si>
  <si>
    <t>BR1 3HP</t>
  </si>
  <si>
    <t>SE9 6RN</t>
  </si>
  <si>
    <t>RM8 3AT</t>
  </si>
  <si>
    <t>RM10 8LN</t>
  </si>
  <si>
    <t>IG11 0JX</t>
  </si>
  <si>
    <t>IG11 9JZ</t>
  </si>
  <si>
    <t>RM6 5LU</t>
  </si>
  <si>
    <t>N12 8PX</t>
  </si>
  <si>
    <t>RM2 6AB</t>
  </si>
  <si>
    <t>N9 9BF</t>
  </si>
  <si>
    <t>SE26 4HQ</t>
  </si>
  <si>
    <t>E16 1JB</t>
  </si>
  <si>
    <t>N13 5HY</t>
  </si>
  <si>
    <t>E10 7QE</t>
  </si>
  <si>
    <t>CR8 2HR</t>
  </si>
  <si>
    <t>SE13 7QZ</t>
  </si>
  <si>
    <t>BR1 5NE</t>
  </si>
  <si>
    <t>BR1 5AF</t>
  </si>
  <si>
    <t>RM7 0QP</t>
  </si>
  <si>
    <t>SW15 3BD</t>
  </si>
  <si>
    <t>UB3 2NW</t>
  </si>
  <si>
    <t>SW6 6SX</t>
  </si>
  <si>
    <t>W6 7BY</t>
  </si>
  <si>
    <t>W6 7BE</t>
  </si>
  <si>
    <t>SW6 7PJ</t>
  </si>
  <si>
    <t>IG11 8FZ</t>
  </si>
  <si>
    <t>IG11 8HE</t>
  </si>
  <si>
    <t>IG11 8PY</t>
  </si>
  <si>
    <t>IG1 2HN</t>
  </si>
  <si>
    <t>IG1 2LZ</t>
  </si>
  <si>
    <t>IG1 2LG</t>
  </si>
  <si>
    <t>IG1 2RU</t>
  </si>
  <si>
    <t>IG1 2JZ</t>
  </si>
  <si>
    <t>IG1 2DY</t>
  </si>
  <si>
    <t>IG1 1HW</t>
  </si>
  <si>
    <t>IG1 4JT</t>
  </si>
  <si>
    <t>IG1 4QR</t>
  </si>
  <si>
    <t>IG1 1JH</t>
  </si>
  <si>
    <t>G1 1RN</t>
  </si>
  <si>
    <t>IG1 1TZ</t>
  </si>
  <si>
    <t>IG11 7PR</t>
  </si>
  <si>
    <t>IG11 7DJ</t>
  </si>
  <si>
    <t>E12 5PJ</t>
  </si>
  <si>
    <t>SE9 3UP</t>
  </si>
  <si>
    <t>RM10 7YU</t>
  </si>
  <si>
    <t>RM6 6BS</t>
  </si>
  <si>
    <t>BR7 6HE</t>
  </si>
  <si>
    <t>N11 1PJ</t>
  </si>
  <si>
    <t>N11 1PN</t>
  </si>
  <si>
    <t>RM13 8NR</t>
  </si>
  <si>
    <t>RM14 2PH</t>
  </si>
  <si>
    <t>RM11 2JR</t>
  </si>
  <si>
    <t>RM11 3JA</t>
  </si>
  <si>
    <t>RM11 1TP</t>
  </si>
  <si>
    <t>RM1 2SP</t>
  </si>
  <si>
    <t>RM1 2QL</t>
  </si>
  <si>
    <t>RM1 2SJ</t>
  </si>
  <si>
    <t>RM1 2RA</t>
  </si>
  <si>
    <t>RM1 3NG</t>
  </si>
  <si>
    <t>RM1 1JH</t>
  </si>
  <si>
    <t>RM1 4AT</t>
  </si>
  <si>
    <t>RM7 8HD</t>
  </si>
  <si>
    <t>RM1 4PJ</t>
  </si>
  <si>
    <t>IG2 7RS</t>
  </si>
  <si>
    <t>IG3 8JT</t>
  </si>
  <si>
    <t>IG3 8NU</t>
  </si>
  <si>
    <t>UB10 0JQ</t>
  </si>
  <si>
    <t>UB3 4BG</t>
  </si>
  <si>
    <t>N14 7EP</t>
  </si>
  <si>
    <t>N10 3AG</t>
  </si>
  <si>
    <t>E11 4LD</t>
  </si>
  <si>
    <t>E2 0FT</t>
  </si>
  <si>
    <t>N10 1JX</t>
  </si>
  <si>
    <t>NW5 3PS</t>
  </si>
  <si>
    <t>E4 9AA</t>
  </si>
  <si>
    <t>NW1 1LX</t>
  </si>
  <si>
    <t>NW10 4LL</t>
  </si>
  <si>
    <t>SE19 1RS</t>
  </si>
  <si>
    <t>SE16 2RU</t>
  </si>
  <si>
    <t>SE18 7NH</t>
  </si>
  <si>
    <t>SE18 4JB</t>
  </si>
  <si>
    <t>SE18 2HX</t>
  </si>
  <si>
    <t>SE7 7QW</t>
  </si>
  <si>
    <t>SE2 9ED</t>
  </si>
  <si>
    <t>DA17 5DD</t>
  </si>
  <si>
    <t>DA17 5QH</t>
  </si>
  <si>
    <t>W3 7UD</t>
  </si>
  <si>
    <t>E2 0QN</t>
  </si>
  <si>
    <t>E5 9EW</t>
  </si>
  <si>
    <t>SW5 0HS</t>
  </si>
  <si>
    <t>NW3 3AJ</t>
  </si>
  <si>
    <t>SW17 8NG</t>
  </si>
  <si>
    <t>HA5 5HJ</t>
  </si>
  <si>
    <t>N14 4RA</t>
  </si>
  <si>
    <t>SE12 8HE</t>
  </si>
  <si>
    <t>SE16 5UJ</t>
  </si>
  <si>
    <t>W14 0NH</t>
  </si>
  <si>
    <t>SE14 6LS</t>
  </si>
  <si>
    <t>SE14 6NW</t>
  </si>
  <si>
    <t>EN3 4DR</t>
  </si>
  <si>
    <t>SE5</t>
  </si>
  <si>
    <t>HA3 5AR</t>
  </si>
  <si>
    <t>HA1 2TW</t>
  </si>
  <si>
    <t>EN2 0QP</t>
  </si>
  <si>
    <t>E14 3PG</t>
  </si>
  <si>
    <t>E14 8AE</t>
  </si>
  <si>
    <t>E3 4DS</t>
  </si>
  <si>
    <t>HA2 9ER</t>
  </si>
  <si>
    <t>UB6 7QH</t>
  </si>
  <si>
    <t>IG2 7LU</t>
  </si>
  <si>
    <t>IG2 6AU</t>
  </si>
  <si>
    <t>BR5 1QW</t>
  </si>
  <si>
    <t>SE3 7SD</t>
  </si>
  <si>
    <t>HA3 0AY</t>
  </si>
  <si>
    <t>SW2 1HF</t>
  </si>
  <si>
    <t>E6 3NN</t>
  </si>
  <si>
    <t>BR2 7LE</t>
  </si>
  <si>
    <t>SE15 5DH</t>
  </si>
  <si>
    <t>E5 8HN</t>
  </si>
  <si>
    <t>SW9 6BH</t>
  </si>
  <si>
    <t>EN5 5TD</t>
  </si>
  <si>
    <t>E3 3LJ</t>
  </si>
  <si>
    <t>IG11 8EP</t>
  </si>
  <si>
    <t>IG11 8RT</t>
  </si>
  <si>
    <t>UB1 2BU</t>
  </si>
  <si>
    <t>N15 4HL</t>
  </si>
  <si>
    <t>SW19 8PU</t>
  </si>
  <si>
    <t>E13 0PY</t>
  </si>
  <si>
    <t>EN3 4JZ</t>
  </si>
  <si>
    <t>NW10 8LF</t>
  </si>
  <si>
    <t>E14 5RB</t>
  </si>
  <si>
    <t>NW6 5AR</t>
  </si>
  <si>
    <t>SW6 5UL</t>
  </si>
  <si>
    <t>WC2</t>
  </si>
  <si>
    <t>N7 7HJ</t>
  </si>
  <si>
    <t>W12</t>
  </si>
  <si>
    <t>E10 7LD</t>
  </si>
  <si>
    <t>EC4V 4BY</t>
  </si>
  <si>
    <t>SE6 1NF</t>
  </si>
  <si>
    <t>N22 6BN</t>
  </si>
  <si>
    <t>SE6 3JB</t>
  </si>
  <si>
    <t>E3 2SP</t>
  </si>
  <si>
    <t>SE6 2JS</t>
  </si>
  <si>
    <t>IG11 0TN</t>
  </si>
  <si>
    <t>E17 6BH</t>
  </si>
  <si>
    <t>E17 8DH</t>
  </si>
  <si>
    <t>W1W 8DJ</t>
  </si>
  <si>
    <t>E3 5SN</t>
  </si>
  <si>
    <t>DA8 1HW</t>
  </si>
  <si>
    <t>E1 7HW</t>
  </si>
  <si>
    <t>N19 4DZ</t>
  </si>
  <si>
    <t>E9 6NP</t>
  </si>
  <si>
    <t>E14 0FE</t>
  </si>
  <si>
    <t>SE18 2TR</t>
  </si>
  <si>
    <t>N9 0NU</t>
  </si>
  <si>
    <t>HA5 1NU</t>
  </si>
  <si>
    <t>SM6 0AG</t>
  </si>
  <si>
    <t>IG11 0AD</t>
  </si>
  <si>
    <t>N19 4AF</t>
  </si>
  <si>
    <t>W1D 5PD</t>
  </si>
  <si>
    <t>TW14 0PW</t>
  </si>
  <si>
    <t>NW8 8UL</t>
  </si>
  <si>
    <t>SW9 8SA</t>
  </si>
  <si>
    <t>N16 6DT</t>
  </si>
  <si>
    <t>HA1 2UA</t>
  </si>
  <si>
    <t>SW1</t>
  </si>
  <si>
    <t>E5 9SN</t>
  </si>
  <si>
    <t>UB9 6LZ</t>
  </si>
  <si>
    <t>SE28 8DH</t>
  </si>
  <si>
    <t>RM1 1ES</t>
  </si>
  <si>
    <t>N2 9AH</t>
  </si>
  <si>
    <t>SW7 1JY</t>
  </si>
  <si>
    <t>NW11 7RP</t>
  </si>
  <si>
    <t>RM5 2BD</t>
  </si>
  <si>
    <t>CR0 3EW</t>
  </si>
  <si>
    <t>SE15 4ST</t>
  </si>
  <si>
    <t>E9 6QG</t>
  </si>
  <si>
    <t>SE15 1JR</t>
  </si>
  <si>
    <t>SE15 1NZ</t>
  </si>
  <si>
    <t>SE15 1NX</t>
  </si>
  <si>
    <t>UB1 2JL</t>
  </si>
  <si>
    <t>E9 6RG</t>
  </si>
  <si>
    <t>N1 6BS</t>
  </si>
  <si>
    <t>NW10 1QQ</t>
  </si>
  <si>
    <t>UB2 4AU</t>
  </si>
  <si>
    <t>RM12 4SB</t>
  </si>
  <si>
    <t>UB3 4EA</t>
  </si>
  <si>
    <t>SW17 7TS</t>
  </si>
  <si>
    <t>SE8 5QL</t>
  </si>
  <si>
    <t>E17 4PX</t>
  </si>
  <si>
    <t>IG1 1EE</t>
  </si>
  <si>
    <t>EC4V 3HT</t>
  </si>
  <si>
    <t>KT3</t>
  </si>
  <si>
    <t>SW1X 9BW</t>
  </si>
  <si>
    <t>HA3 7FA</t>
  </si>
  <si>
    <t>SE9 2DN</t>
  </si>
  <si>
    <t>W2 5PT</t>
  </si>
  <si>
    <t>W2 5QS</t>
  </si>
  <si>
    <t>SE9 2EX</t>
  </si>
  <si>
    <t>HA8 9BE</t>
  </si>
  <si>
    <t>E2 9LH</t>
  </si>
  <si>
    <t>EC4Y 8AU</t>
  </si>
  <si>
    <t>BR1 5ER</t>
  </si>
  <si>
    <t>SW6 1PB</t>
  </si>
  <si>
    <t>NW1 4HB</t>
  </si>
  <si>
    <t>TW2 7EF</t>
  </si>
  <si>
    <t>UNKNOWN</t>
  </si>
  <si>
    <t>EN2 0TH</t>
  </si>
  <si>
    <t>SW16 1RE</t>
  </si>
  <si>
    <t>W4 4JN</t>
  </si>
  <si>
    <t>KT1 1JP</t>
  </si>
  <si>
    <t>NW8 7NE</t>
  </si>
  <si>
    <t>SM1 1ST</t>
  </si>
  <si>
    <t>EC1R 1XL</t>
  </si>
  <si>
    <t>SW2 1RP</t>
  </si>
  <si>
    <t>SW4 9PJ</t>
  </si>
  <si>
    <t>WC2R 1DH</t>
  </si>
  <si>
    <t>WC2R 1ES</t>
  </si>
  <si>
    <t>W4 5LG</t>
  </si>
  <si>
    <t>SW1H 9AB</t>
  </si>
  <si>
    <t>NW1 1UL</t>
  </si>
  <si>
    <t>NW1 4HH</t>
  </si>
  <si>
    <t>NW5 2DP</t>
  </si>
  <si>
    <t>SW16 4NN</t>
  </si>
  <si>
    <t>SW7</t>
  </si>
  <si>
    <t>TW3 1EA</t>
  </si>
  <si>
    <t>N1 0HT</t>
  </si>
  <si>
    <t>HA0 4BU</t>
  </si>
  <si>
    <t>SW7 2BS</t>
  </si>
  <si>
    <t>N1 2XD</t>
  </si>
  <si>
    <t>KT5 8JJ</t>
  </si>
  <si>
    <t>KT2 6PX</t>
  </si>
  <si>
    <t>W1W 7LR</t>
  </si>
  <si>
    <t>NW5 1JY</t>
  </si>
  <si>
    <t>HA1 3HL</t>
  </si>
  <si>
    <t>W1T 4DE</t>
  </si>
  <si>
    <t>SW4 0QL</t>
  </si>
  <si>
    <t>N7 0EZ</t>
  </si>
  <si>
    <t>N1 9QB</t>
  </si>
  <si>
    <t>EC4A 3AF</t>
  </si>
  <si>
    <t>E5 8RA</t>
  </si>
  <si>
    <t>SW15 2RT</t>
  </si>
  <si>
    <t>WC2N 4JH</t>
  </si>
  <si>
    <t>EC1A 2DQ</t>
  </si>
  <si>
    <t>N1 0ER</t>
  </si>
  <si>
    <t>N7 8JE</t>
  </si>
  <si>
    <t>KT1 4AN</t>
  </si>
  <si>
    <t>SE11 4PW</t>
  </si>
  <si>
    <t>W12 0PU</t>
  </si>
  <si>
    <t>SE22 9AT</t>
  </si>
  <si>
    <t>KT6 4PU</t>
  </si>
  <si>
    <t>SW20 9LB</t>
  </si>
  <si>
    <t>SW11 4PL</t>
  </si>
  <si>
    <t>SE15 4QL</t>
  </si>
  <si>
    <t>W11 4BP</t>
  </si>
  <si>
    <t>W12 7QN</t>
  </si>
  <si>
    <t>NW6 7PR</t>
  </si>
  <si>
    <t>SW7 1JA</t>
  </si>
  <si>
    <t>NW6 2LX</t>
  </si>
  <si>
    <t>TW10 7AL</t>
  </si>
  <si>
    <t>SW3 4AJ</t>
  </si>
  <si>
    <t>SW1W 0HU</t>
  </si>
  <si>
    <t>SW3 6NH</t>
  </si>
  <si>
    <t>W1S 2FN</t>
  </si>
  <si>
    <t>W6 9EJ</t>
  </si>
  <si>
    <t>E11</t>
  </si>
  <si>
    <t>SW9 7PD</t>
  </si>
  <si>
    <t>SE5 9DA</t>
  </si>
  <si>
    <t>SE15 4RB</t>
  </si>
  <si>
    <t>SE15 4LE</t>
  </si>
  <si>
    <t>W1D 2JB</t>
  </si>
  <si>
    <t>SE9 1XB</t>
  </si>
  <si>
    <t>N17 8AT</t>
  </si>
  <si>
    <t>RM12 6DS</t>
  </si>
  <si>
    <t>E5 9AA</t>
  </si>
  <si>
    <t>NW1 7TP</t>
  </si>
  <si>
    <t>HA1 4BU</t>
  </si>
  <si>
    <t>NW1 1UH</t>
  </si>
  <si>
    <t>TW8 9GE</t>
  </si>
  <si>
    <t>TW8 8EW</t>
  </si>
  <si>
    <t>UB5 5QJ</t>
  </si>
  <si>
    <t>EC1</t>
  </si>
  <si>
    <t>W4 1LJ</t>
  </si>
  <si>
    <t>SE1 8TW</t>
  </si>
  <si>
    <t>NW11 7AG</t>
  </si>
  <si>
    <t>SE9 4TH</t>
  </si>
  <si>
    <t>WC1H 0AF</t>
  </si>
  <si>
    <t>WC1A 2HR</t>
  </si>
  <si>
    <t>KT6 4DS</t>
  </si>
  <si>
    <t>E3 5AP</t>
  </si>
  <si>
    <t>SE17 3QT</t>
  </si>
  <si>
    <t>BR2 8AL</t>
  </si>
  <si>
    <t>SW1P 3JX</t>
  </si>
  <si>
    <t>EC1N 7RR</t>
  </si>
  <si>
    <t>TW9 3AA</t>
  </si>
  <si>
    <t>SE9 2SJ</t>
  </si>
  <si>
    <t>E8 4NH</t>
  </si>
  <si>
    <t>RM11 3UX</t>
  </si>
  <si>
    <t>NW3 3DU</t>
  </si>
  <si>
    <t>NW8 9XU</t>
  </si>
  <si>
    <t>W2 1SE</t>
  </si>
  <si>
    <t>N1</t>
  </si>
  <si>
    <t>N16 0HJ</t>
  </si>
  <si>
    <t>N19 4NR</t>
  </si>
  <si>
    <t>N4 4EL</t>
  </si>
  <si>
    <t>SW9 6JA</t>
  </si>
  <si>
    <t>W2 5TF</t>
  </si>
  <si>
    <t>W9</t>
  </si>
  <si>
    <t>E18 2PA</t>
  </si>
  <si>
    <t>E18 2JX</t>
  </si>
  <si>
    <t>NW3 4SQ</t>
  </si>
  <si>
    <t>EN2 0ND</t>
  </si>
  <si>
    <t>N14 5PA</t>
  </si>
  <si>
    <t>TW2 6DE</t>
  </si>
  <si>
    <t>NW2 4QR</t>
  </si>
  <si>
    <t>NW2 6DS</t>
  </si>
  <si>
    <t>N4 2TG</t>
  </si>
  <si>
    <t>NW2 2TJ</t>
  </si>
  <si>
    <t>W14 0LL</t>
  </si>
  <si>
    <t>W8 6LS</t>
  </si>
  <si>
    <t>NW1 6NJ</t>
  </si>
  <si>
    <t>NW11 7HQ</t>
  </si>
  <si>
    <t>NW6 4SN</t>
  </si>
  <si>
    <t>NW6 5DA</t>
  </si>
  <si>
    <t>SW10 9UG</t>
  </si>
  <si>
    <t>UB2 4LG</t>
  </si>
  <si>
    <t>SE22 9DG</t>
  </si>
  <si>
    <t>N10 1AE</t>
  </si>
  <si>
    <t>NW6 6AS</t>
  </si>
  <si>
    <t>N8 9BH</t>
  </si>
  <si>
    <t>NW2 6HH</t>
  </si>
  <si>
    <t>SE11 4AX</t>
  </si>
  <si>
    <t>SW1V 2PZ</t>
  </si>
  <si>
    <t>SE1 7DQ</t>
  </si>
  <si>
    <t>SE15 6GA</t>
  </si>
  <si>
    <t>SE15</t>
  </si>
  <si>
    <t>EN5 5QD</t>
  </si>
  <si>
    <t>SE1 5XQ</t>
  </si>
  <si>
    <t>SE1 1AA</t>
  </si>
  <si>
    <t>SE15 4AH</t>
  </si>
  <si>
    <t>WC1R 5JP</t>
  </si>
  <si>
    <t>NW4 3TA</t>
  </si>
  <si>
    <t>NW7 2PD</t>
  </si>
  <si>
    <t>NW7 1QX</t>
  </si>
  <si>
    <t>NW6 4RA</t>
  </si>
  <si>
    <t>W10 4NZ</t>
  </si>
  <si>
    <t>N6 6QY</t>
  </si>
  <si>
    <t>N19 3JF</t>
  </si>
  <si>
    <t>N19 3EG</t>
  </si>
  <si>
    <t>SE1 8NY</t>
  </si>
  <si>
    <t>N10 2AE</t>
  </si>
  <si>
    <t>N10 1PP</t>
  </si>
  <si>
    <t>NW4 2DG</t>
  </si>
  <si>
    <t>N22 6JY</t>
  </si>
  <si>
    <t>N15 4BJ</t>
  </si>
  <si>
    <t>N18 1PY</t>
  </si>
  <si>
    <t>N16 7NX</t>
  </si>
  <si>
    <t>N16 6XA</t>
  </si>
  <si>
    <t>N16 6DR</t>
  </si>
  <si>
    <t>N15 6AB</t>
  </si>
  <si>
    <t>SE1 5ET</t>
  </si>
  <si>
    <t>NW10 2PB</t>
  </si>
  <si>
    <t>NW2 5JR</t>
  </si>
  <si>
    <t>NW2 5JA</t>
  </si>
  <si>
    <t>NW6 7BJ</t>
  </si>
  <si>
    <t>NW6 5RT</t>
  </si>
  <si>
    <t>W10 5SP</t>
  </si>
  <si>
    <t>W10 5GW</t>
  </si>
  <si>
    <t>N22 5AR</t>
  </si>
  <si>
    <t>N22 8RB</t>
  </si>
  <si>
    <t>E4 9QD</t>
  </si>
  <si>
    <t>W2 4LA</t>
  </si>
  <si>
    <t>W8 7JF</t>
  </si>
  <si>
    <t>W11 2PW</t>
  </si>
  <si>
    <t>SE15 3NL</t>
  </si>
  <si>
    <t>HA6 1SF</t>
  </si>
  <si>
    <t>SE11 4RS</t>
  </si>
  <si>
    <t>N21 1R</t>
  </si>
  <si>
    <t>HA0 2GQ</t>
  </si>
  <si>
    <t>HA0 2RH</t>
  </si>
  <si>
    <t>HA0</t>
  </si>
  <si>
    <t>HA0 4JB</t>
  </si>
  <si>
    <t>HA1 3LF</t>
  </si>
  <si>
    <t>HA2 0NN</t>
  </si>
  <si>
    <t>NW10 4UP</t>
  </si>
  <si>
    <t>NW10 4AY</t>
  </si>
  <si>
    <t>SW7 4QW</t>
  </si>
  <si>
    <t>SW7 4PH</t>
  </si>
  <si>
    <t>SW5 0NL</t>
  </si>
  <si>
    <t>SW10 9HF</t>
  </si>
  <si>
    <t>W1U 5AQ</t>
  </si>
  <si>
    <t>W1U 5EH</t>
  </si>
  <si>
    <t>N15 4LD</t>
  </si>
  <si>
    <t>N18 2QW</t>
  </si>
  <si>
    <t>N9 0PN</t>
  </si>
  <si>
    <t>N9 8JA</t>
  </si>
  <si>
    <t>N8 0LT</t>
  </si>
  <si>
    <t>N15 3EP</t>
  </si>
  <si>
    <t>N15 5JQ</t>
  </si>
  <si>
    <t>N16 5DS</t>
  </si>
  <si>
    <t>N4 1RP</t>
  </si>
  <si>
    <t>NW1 1BJ</t>
  </si>
  <si>
    <t>NW9 5TR</t>
  </si>
  <si>
    <t>HA8 9NS</t>
  </si>
  <si>
    <t>NW7 2HU</t>
  </si>
  <si>
    <t>NW10 7ED</t>
  </si>
  <si>
    <t>W5 2RU</t>
  </si>
  <si>
    <t>W13 8HD</t>
  </si>
  <si>
    <t>W13 OLY</t>
  </si>
  <si>
    <t>UB6 7AN</t>
  </si>
  <si>
    <t>SW11 4BD</t>
  </si>
  <si>
    <t>HA8 0DL</t>
  </si>
  <si>
    <t>W10 6QN</t>
  </si>
  <si>
    <t>W10 6LP</t>
  </si>
  <si>
    <t>W1H 5AU</t>
  </si>
  <si>
    <t>W1</t>
  </si>
  <si>
    <t>W1H 7AN</t>
  </si>
  <si>
    <t>E8 2EE</t>
  </si>
  <si>
    <t>E8 2BY</t>
  </si>
  <si>
    <t>SW3 5LT</t>
  </si>
  <si>
    <t>SW7 3NX</t>
  </si>
  <si>
    <t>EC2N 2HA</t>
  </si>
  <si>
    <t>SW17 7RE</t>
  </si>
  <si>
    <t>NW3 2JP</t>
  </si>
  <si>
    <t>NW5 4AA</t>
  </si>
  <si>
    <t>SW4 0SA</t>
  </si>
  <si>
    <t>SW4 0HP</t>
  </si>
  <si>
    <t>SW4 7UJ</t>
  </si>
  <si>
    <t>SW4 9EH</t>
  </si>
  <si>
    <t>SW12 0NU</t>
  </si>
  <si>
    <t>NW6 7AY</t>
  </si>
  <si>
    <t>NW10 8BD</t>
  </si>
  <si>
    <t>N2 0UL</t>
  </si>
  <si>
    <t>N2 0TE</t>
  </si>
  <si>
    <t>HA8 5PL</t>
  </si>
  <si>
    <t>SE14 5AS</t>
  </si>
  <si>
    <t>SE8 5DB</t>
  </si>
  <si>
    <t>NW1 9XG</t>
  </si>
  <si>
    <t>EN2 9JF</t>
  </si>
  <si>
    <t>W8 6QH</t>
  </si>
  <si>
    <t>RM10 9TT</t>
  </si>
  <si>
    <t>W5 5RN</t>
  </si>
  <si>
    <t>SE24 9PX</t>
  </si>
  <si>
    <t>N16 8EF</t>
  </si>
  <si>
    <t>W5 5JW</t>
  </si>
  <si>
    <t>SE1 6RG</t>
  </si>
  <si>
    <t>SE1 8QD</t>
  </si>
  <si>
    <t>E18 1ED</t>
  </si>
  <si>
    <t>NW9 8AQ</t>
  </si>
  <si>
    <t>NW9 6RJ</t>
  </si>
  <si>
    <t>HA7 2HP</t>
  </si>
  <si>
    <t>HA7 2NL</t>
  </si>
  <si>
    <t>SE1 0QX</t>
  </si>
  <si>
    <t>SW11</t>
  </si>
  <si>
    <t>E17 8QY</t>
  </si>
  <si>
    <t>HA3 6DY</t>
  </si>
  <si>
    <t>CR4 4JL</t>
  </si>
  <si>
    <t>SW15 1SN</t>
  </si>
  <si>
    <t>SW1Y 6HH</t>
  </si>
  <si>
    <t>UB7 7DP</t>
  </si>
  <si>
    <t>SM1 2SR</t>
  </si>
  <si>
    <t>SM1 1SR</t>
  </si>
  <si>
    <t>EC4A 2HR</t>
  </si>
  <si>
    <t>N19 3JX</t>
  </si>
  <si>
    <t>E8 3RD</t>
  </si>
  <si>
    <t>BR5 4AJ</t>
  </si>
  <si>
    <t>E12 5EN</t>
  </si>
  <si>
    <t>E1 8JN</t>
  </si>
  <si>
    <t>W11 4RB</t>
  </si>
  <si>
    <t>NW3 5HR</t>
  </si>
  <si>
    <t>NW6 1DD</t>
  </si>
  <si>
    <t>NW3 7BA</t>
  </si>
  <si>
    <t>KT1 3AR</t>
  </si>
  <si>
    <t>SW19 7BP</t>
  </si>
  <si>
    <t>TW10 7RY</t>
  </si>
  <si>
    <t>WC1H 8JU</t>
  </si>
  <si>
    <t>E15 2JG</t>
  </si>
  <si>
    <t>NW1 9DP</t>
  </si>
  <si>
    <t>SW1V 2AQ</t>
  </si>
  <si>
    <t>W3 9NR</t>
  </si>
  <si>
    <t>W3 9LA</t>
  </si>
  <si>
    <t>SW6 6TA</t>
  </si>
  <si>
    <t>EC3N 1AF</t>
  </si>
  <si>
    <t>NW3 6UT</t>
  </si>
  <si>
    <t>SW10 0LR</t>
  </si>
  <si>
    <t>SW3</t>
  </si>
  <si>
    <t>W12 7EN</t>
  </si>
  <si>
    <t>W14 0AN</t>
  </si>
  <si>
    <t>W11 4SD</t>
  </si>
  <si>
    <t>W8 4RU</t>
  </si>
  <si>
    <t>NW10 6QE</t>
  </si>
  <si>
    <t>NW10 5QP</t>
  </si>
  <si>
    <t>NW11 9RH</t>
  </si>
  <si>
    <t>NW11 8HD</t>
  </si>
  <si>
    <t>NW2 3UX</t>
  </si>
  <si>
    <t>W14 8JJ</t>
  </si>
  <si>
    <t>SW6 7RG</t>
  </si>
  <si>
    <t>N6 6LT</t>
  </si>
  <si>
    <t>RM9 6DU</t>
  </si>
  <si>
    <t>RM10 8TD</t>
  </si>
  <si>
    <t>RM10 9LS</t>
  </si>
  <si>
    <t>W9 1DX</t>
  </si>
  <si>
    <t>RM9 6UP</t>
  </si>
  <si>
    <t>RM8 2NT</t>
  </si>
  <si>
    <t>KT1 2TT</t>
  </si>
  <si>
    <t>RM8 2HQ</t>
  </si>
  <si>
    <t>RM8 2BA</t>
  </si>
  <si>
    <t>RM8 3RP</t>
  </si>
  <si>
    <t>RM8 1JJ</t>
  </si>
  <si>
    <t>RM9 4XE</t>
  </si>
  <si>
    <t>EC2V 5AA</t>
  </si>
  <si>
    <t>EC3R 7BB</t>
  </si>
  <si>
    <t>EC4Y 7BB</t>
  </si>
  <si>
    <t>N8 9JD</t>
  </si>
  <si>
    <t>W13 9LB</t>
  </si>
  <si>
    <t>W13 9LA</t>
  </si>
  <si>
    <t>NW3 1NY</t>
  </si>
  <si>
    <t>W5 2QA</t>
  </si>
  <si>
    <t>SE11 5HY</t>
  </si>
  <si>
    <t>CR8 2BN</t>
  </si>
  <si>
    <t>N15 4BN</t>
  </si>
  <si>
    <t>N8 9HW</t>
  </si>
  <si>
    <t>SW5</t>
  </si>
  <si>
    <t>CR0 1RF</t>
  </si>
  <si>
    <t>SM6 7AE</t>
  </si>
  <si>
    <t>EC3M 8AZ</t>
  </si>
  <si>
    <t>HA5 4RB</t>
  </si>
  <si>
    <t>E15</t>
  </si>
  <si>
    <t>E7 8BL</t>
  </si>
  <si>
    <t>E7 9PA</t>
  </si>
  <si>
    <t>E7 9PB</t>
  </si>
  <si>
    <t>E7 8BP</t>
  </si>
  <si>
    <t>E7 8BF</t>
  </si>
  <si>
    <t>W14 9BW</t>
  </si>
  <si>
    <t>SW2 4XW</t>
  </si>
  <si>
    <t>SW16 2RW</t>
  </si>
  <si>
    <t>CR0 4TB</t>
  </si>
  <si>
    <t>CR4 4JW</t>
  </si>
  <si>
    <t>EN5 2UR</t>
  </si>
  <si>
    <t>SM6 7HF</t>
  </si>
  <si>
    <t>EN5 2EA</t>
  </si>
  <si>
    <t>EN5 4BW</t>
  </si>
  <si>
    <t>EN5 4BS</t>
  </si>
  <si>
    <t>EN5 4JD</t>
  </si>
  <si>
    <t>EN5 4JJ</t>
  </si>
  <si>
    <t>RM3 9QB</t>
  </si>
  <si>
    <t>WC2H 9RE</t>
  </si>
  <si>
    <t>EN5 3EP</t>
  </si>
  <si>
    <t>W14 8AH</t>
  </si>
  <si>
    <t>SM5 3PD</t>
  </si>
  <si>
    <t>EN5 3LH</t>
  </si>
  <si>
    <t>IG11 9SQ</t>
  </si>
  <si>
    <t>RM14 1LN</t>
  </si>
  <si>
    <t>EN5 4PH</t>
  </si>
  <si>
    <t>EN5 4LN</t>
  </si>
  <si>
    <t>RM6 6JB</t>
  </si>
  <si>
    <t>RM5 2BA</t>
  </si>
  <si>
    <t>RM11 2LF</t>
  </si>
  <si>
    <t>IG7 4PG</t>
  </si>
  <si>
    <t>DA16 2AD</t>
  </si>
  <si>
    <t>SM6 0AB</t>
  </si>
  <si>
    <t>EN5 5NQ</t>
  </si>
  <si>
    <t>EC2M 5ND</t>
  </si>
  <si>
    <t>W13 9XW</t>
  </si>
  <si>
    <t>SM2 5DH</t>
  </si>
  <si>
    <t>SM1 3EF</t>
  </si>
  <si>
    <t>N20 9AN</t>
  </si>
  <si>
    <t>W1F 0PY</t>
  </si>
  <si>
    <t>SM4 6BH</t>
  </si>
  <si>
    <t>TW10 6PN</t>
  </si>
  <si>
    <t>EN4 8UZ</t>
  </si>
  <si>
    <t>SE10 9JS</t>
  </si>
  <si>
    <t>EN4 8XE</t>
  </si>
  <si>
    <t>SW1A 1BL</t>
  </si>
  <si>
    <t>E17 3PP</t>
  </si>
  <si>
    <t>CR9 3DD</t>
  </si>
  <si>
    <t>CR0 1XP</t>
  </si>
  <si>
    <t>UB10 8LJ</t>
  </si>
  <si>
    <t>EC2V 7BX</t>
  </si>
  <si>
    <t>W2 3BY</t>
  </si>
  <si>
    <t>SW9 0DA</t>
  </si>
  <si>
    <t>WC2E 9ED</t>
  </si>
  <si>
    <t>SM6 9HG</t>
  </si>
  <si>
    <t>WC2A 3UA</t>
  </si>
  <si>
    <t>SW6 5BN</t>
  </si>
  <si>
    <t>SE27 9NS</t>
  </si>
  <si>
    <t>N16 6BJ</t>
  </si>
  <si>
    <t>EN4 8RD</t>
  </si>
  <si>
    <t>EN4 9HS</t>
  </si>
  <si>
    <t>N19 3NL</t>
  </si>
  <si>
    <t>SW1P 2DE</t>
  </si>
  <si>
    <t>CR5 1HA</t>
  </si>
  <si>
    <t>RM13 9DW</t>
  </si>
  <si>
    <t>RM13 9YN</t>
  </si>
  <si>
    <t>SW4 9SH</t>
  </si>
  <si>
    <t>W2 2PT</t>
  </si>
  <si>
    <t>RM13 9DE</t>
  </si>
  <si>
    <t>SW11 1EJ</t>
  </si>
  <si>
    <t>SW12 8TU</t>
  </si>
  <si>
    <t>SW12</t>
  </si>
  <si>
    <t>SW4</t>
  </si>
  <si>
    <t>SW2 5BH</t>
  </si>
  <si>
    <t>SE11 5DU</t>
  </si>
  <si>
    <t>HA1 2SQ</t>
  </si>
  <si>
    <t>HA8 7AB</t>
  </si>
  <si>
    <t>N12 0PL</t>
  </si>
  <si>
    <t>N11 3DP</t>
  </si>
  <si>
    <t>N11 3NY</t>
  </si>
  <si>
    <t>N20 0UD</t>
  </si>
  <si>
    <t>N20 9EZ</t>
  </si>
  <si>
    <t>DA8 2LW</t>
  </si>
  <si>
    <t>SW8 1GH</t>
  </si>
  <si>
    <t>E1 3DW</t>
  </si>
  <si>
    <t>SW2 3UD</t>
  </si>
  <si>
    <t>UB1 2RA</t>
  </si>
  <si>
    <t>UB1 3AE</t>
  </si>
  <si>
    <t>UB1 1HN</t>
  </si>
  <si>
    <t>UB1 1RW</t>
  </si>
  <si>
    <t>UB1 3BP</t>
  </si>
  <si>
    <t>UB2 4NT</t>
  </si>
  <si>
    <t>UB2 4DF</t>
  </si>
  <si>
    <t>W1W 7EY</t>
  </si>
  <si>
    <t>E17</t>
  </si>
  <si>
    <t>HA8 0EP</t>
  </si>
  <si>
    <t>NW4 2NS</t>
  </si>
  <si>
    <t>NW4 2EL</t>
  </si>
  <si>
    <t>TW13 7FA</t>
  </si>
  <si>
    <t>N3 3QJ</t>
  </si>
  <si>
    <t>UB2 5JT</t>
  </si>
  <si>
    <t>N3 2DD</t>
  </si>
  <si>
    <t>N12 0BX</t>
  </si>
  <si>
    <t>N12 0BE</t>
  </si>
  <si>
    <t>WC2R 0DA</t>
  </si>
  <si>
    <t>CR2 8DE</t>
  </si>
  <si>
    <t>UB1 2DL</t>
  </si>
  <si>
    <t>SW11 3NA</t>
  </si>
  <si>
    <t>SW16 5JH</t>
  </si>
  <si>
    <t>RM14 2QB</t>
  </si>
  <si>
    <t>RM2 5HA</t>
  </si>
  <si>
    <t>W13 0JP</t>
  </si>
  <si>
    <t>W7 1BH</t>
  </si>
  <si>
    <t>NW1 5EQ</t>
  </si>
  <si>
    <t>SE19 2AW</t>
  </si>
  <si>
    <t>W4 1HR</t>
  </si>
  <si>
    <t>W6 0PG</t>
  </si>
  <si>
    <t>W4 2PD</t>
  </si>
  <si>
    <t>IG4 5NX</t>
  </si>
  <si>
    <t>N17 7EH</t>
  </si>
  <si>
    <t>E17 3JZ</t>
  </si>
  <si>
    <t>CR0 1AA</t>
  </si>
  <si>
    <t>UB6 0PR</t>
  </si>
  <si>
    <t>EC2R 7AP</t>
  </si>
  <si>
    <t>UB6 9NE</t>
  </si>
  <si>
    <t>UB6 9LA</t>
  </si>
  <si>
    <t>W7</t>
  </si>
  <si>
    <t>UB1 3EP</t>
  </si>
  <si>
    <t>UB6 9DJ</t>
  </si>
  <si>
    <t>UB1 2HR</t>
  </si>
  <si>
    <t>UB5 6AA</t>
  </si>
  <si>
    <t>UB5 4RU</t>
  </si>
  <si>
    <t>UB5 6JT</t>
  </si>
  <si>
    <t>UB5 4EZ</t>
  </si>
  <si>
    <t>SW1W 8EE</t>
  </si>
  <si>
    <t>CR0 2RG</t>
  </si>
  <si>
    <t>E2 7DJ</t>
  </si>
  <si>
    <t>CR0 3LJ</t>
  </si>
  <si>
    <t>CR0 3LE</t>
  </si>
  <si>
    <t>CR0 2RN</t>
  </si>
  <si>
    <t>CR0 2US</t>
  </si>
  <si>
    <t>CR0 2UZ</t>
  </si>
  <si>
    <t>HA0 2PA</t>
  </si>
  <si>
    <t>UB6 8LJ</t>
  </si>
  <si>
    <t>UB1 3LQ</t>
  </si>
  <si>
    <t>HA0 4LW</t>
  </si>
  <si>
    <t>RM14 2DJ</t>
  </si>
  <si>
    <t>N7 0LP</t>
  </si>
  <si>
    <t>CR0 2SQ</t>
  </si>
  <si>
    <t>N1 2QH</t>
  </si>
  <si>
    <t>UB1 3BT</t>
  </si>
  <si>
    <t>UB1 3HJ</t>
  </si>
  <si>
    <t>HA3 9EA</t>
  </si>
  <si>
    <t>HA9 9QL</t>
  </si>
  <si>
    <t>HA9 8NS</t>
  </si>
  <si>
    <t>HA9 8QW</t>
  </si>
  <si>
    <t>NW2 7RX</t>
  </si>
  <si>
    <t>N20 8AE</t>
  </si>
  <si>
    <t>W10 6SU</t>
  </si>
  <si>
    <t>W14 9SX</t>
  </si>
  <si>
    <t>SE9 1QL</t>
  </si>
  <si>
    <t>SW1V 3QW</t>
  </si>
  <si>
    <t>SE13 5ES</t>
  </si>
  <si>
    <t>SW2 4DU</t>
  </si>
  <si>
    <t>CR7 6FA</t>
  </si>
  <si>
    <t>HA4 7ST</t>
  </si>
  <si>
    <t>CR0 3PB</t>
  </si>
  <si>
    <t>TW11 9DY</t>
  </si>
  <si>
    <t>CR0 2XB</t>
  </si>
  <si>
    <t>NW10 5BG</t>
  </si>
  <si>
    <t>KT6 6QZ</t>
  </si>
  <si>
    <t>HA3 8EJ</t>
  </si>
  <si>
    <t>N7 9RE</t>
  </si>
  <si>
    <t>SE16 4NF</t>
  </si>
  <si>
    <t>CR8 4YN</t>
  </si>
  <si>
    <t>E1 4LS</t>
  </si>
  <si>
    <t>DA14 5BP</t>
  </si>
  <si>
    <t>N4 3PR</t>
  </si>
  <si>
    <t>W5</t>
  </si>
  <si>
    <t>W5 3JJ</t>
  </si>
  <si>
    <t>DA15 7AA</t>
  </si>
  <si>
    <t>W1G 0BG</t>
  </si>
  <si>
    <t>BR3 3JL</t>
  </si>
  <si>
    <t>KT4 7RZ</t>
  </si>
  <si>
    <t>SW16</t>
  </si>
  <si>
    <t>TW12 1HP</t>
  </si>
  <si>
    <t>UB3 4RA</t>
  </si>
  <si>
    <t>W1D 4DH</t>
  </si>
  <si>
    <t>HA6 2RF</t>
  </si>
  <si>
    <t>E6 3DH</t>
  </si>
  <si>
    <t>SE23 3HA</t>
  </si>
  <si>
    <t>SE23 3LH</t>
  </si>
  <si>
    <t>SE6 2QP</t>
  </si>
  <si>
    <t>BR1 4AB</t>
  </si>
  <si>
    <t>E10 6EH</t>
  </si>
  <si>
    <t>RM14 1HE</t>
  </si>
  <si>
    <t>SM4 5QT</t>
  </si>
  <si>
    <t>SE19</t>
  </si>
  <si>
    <t>SW15 5BB</t>
  </si>
  <si>
    <t>TW9 2PE</t>
  </si>
  <si>
    <t>TW11 8PS</t>
  </si>
  <si>
    <t>SW8 1HA</t>
  </si>
  <si>
    <t>DA7 6HU</t>
  </si>
  <si>
    <t>SW9 0EP</t>
  </si>
  <si>
    <t>IG1 1WT</t>
  </si>
  <si>
    <t>IG1 2AT</t>
  </si>
  <si>
    <t>SW12 8JL</t>
  </si>
  <si>
    <t>HA9 9BU</t>
  </si>
  <si>
    <t>W4 5EP</t>
  </si>
  <si>
    <t>SW11 2EZ</t>
  </si>
  <si>
    <t>N21 1JA</t>
  </si>
  <si>
    <t>TW11 9AB</t>
  </si>
  <si>
    <t>EN2 6EN</t>
  </si>
  <si>
    <t>W5 3EA</t>
  </si>
  <si>
    <t>W7 1DH</t>
  </si>
  <si>
    <t>UB6 9AH</t>
  </si>
  <si>
    <t>UB5 6AL</t>
  </si>
  <si>
    <t>W13 0TJ</t>
  </si>
  <si>
    <t>W13 0RU</t>
  </si>
  <si>
    <t>SW18 3QE</t>
  </si>
  <si>
    <t>N19 4EB</t>
  </si>
  <si>
    <t>W7 3TU</t>
  </si>
  <si>
    <t>SW2 5SG</t>
  </si>
  <si>
    <t>UB2 4DH</t>
  </si>
  <si>
    <t>UB1 3AW</t>
  </si>
  <si>
    <t>UB2 4DZ</t>
  </si>
  <si>
    <t>UB2 5HE</t>
  </si>
  <si>
    <t>UB2 5AB</t>
  </si>
  <si>
    <t>UB1 2DU</t>
  </si>
  <si>
    <t>SW18 2RS</t>
  </si>
  <si>
    <t>W7 2HN</t>
  </si>
  <si>
    <t>UB1 1NT</t>
  </si>
  <si>
    <t>DA14 6DH</t>
  </si>
  <si>
    <t>SW6 2NU</t>
  </si>
  <si>
    <t>SW11 4LY</t>
  </si>
  <si>
    <t>SE13 6AA</t>
  </si>
  <si>
    <t>N13 4LG</t>
  </si>
  <si>
    <t>UB9 6DU</t>
  </si>
  <si>
    <t>SW11 4PT</t>
  </si>
  <si>
    <t>SW17 0UJ</t>
  </si>
  <si>
    <t>SW9 9AR</t>
  </si>
  <si>
    <t>TW11 0SP</t>
  </si>
  <si>
    <t>NW1 0AD</t>
  </si>
  <si>
    <t>SW18 4JB</t>
  </si>
  <si>
    <t>SW19 2NY</t>
  </si>
  <si>
    <t>SW19 2JY</t>
  </si>
  <si>
    <t>W11 2ES</t>
  </si>
  <si>
    <t>N1 1EE</t>
  </si>
  <si>
    <t>SW20 0DE</t>
  </si>
  <si>
    <t>SW20 0NA</t>
  </si>
  <si>
    <t>SW15 4LA</t>
  </si>
  <si>
    <t>SW14 8AT</t>
  </si>
  <si>
    <t>NW10 2TS</t>
  </si>
  <si>
    <t>TW1 1PB</t>
  </si>
  <si>
    <t>TW2</t>
  </si>
  <si>
    <t>SM1 4NP</t>
  </si>
  <si>
    <t>SW20 8SA</t>
  </si>
  <si>
    <t>SW19 3SH</t>
  </si>
  <si>
    <t>SW19 4NZ</t>
  </si>
  <si>
    <t>SW19 4QN</t>
  </si>
  <si>
    <t>SM6 9RP</t>
  </si>
  <si>
    <t>BR4 0SL</t>
  </si>
  <si>
    <t>DA1 4FG</t>
  </si>
  <si>
    <t>SW6 7JT</t>
  </si>
  <si>
    <t>SW18 5TU</t>
  </si>
  <si>
    <t>SW19 8BZ</t>
  </si>
  <si>
    <t>SW10 9TB</t>
  </si>
  <si>
    <t>SW9 8AJ</t>
  </si>
  <si>
    <t>SW6 3TD</t>
  </si>
  <si>
    <t>NW3 1AB</t>
  </si>
  <si>
    <t>E8 3LP</t>
  </si>
  <si>
    <t>SW16 5XA</t>
  </si>
  <si>
    <t>N6 4QH</t>
  </si>
  <si>
    <t>SW6 4HW</t>
  </si>
  <si>
    <t>SE18 5LP</t>
  </si>
  <si>
    <t>E17 6AR</t>
  </si>
  <si>
    <t>SW19 7ND</t>
  </si>
  <si>
    <t>IG6 2LB</t>
  </si>
  <si>
    <t>HA3 7HX</t>
  </si>
  <si>
    <t>DA6 7EE</t>
  </si>
  <si>
    <t>TW9 1SN</t>
  </si>
  <si>
    <t>E14 0BF</t>
  </si>
  <si>
    <t>W10 4BA</t>
  </si>
  <si>
    <t>N6 5PS</t>
  </si>
  <si>
    <t>SW17 7BA</t>
  </si>
  <si>
    <t>TW9 1AD</t>
  </si>
  <si>
    <t>E14 0FZ</t>
  </si>
  <si>
    <t>SW13 9ER</t>
  </si>
  <si>
    <t>NW5 1PG</t>
  </si>
  <si>
    <t>SE18 1HJ</t>
  </si>
  <si>
    <t>W6 8HJ</t>
  </si>
  <si>
    <t>E17 9DS</t>
  </si>
  <si>
    <t>TW5 0QU</t>
  </si>
  <si>
    <t>TW3 2BN</t>
  </si>
  <si>
    <t>W11 1JQ</t>
  </si>
  <si>
    <t>KT3 4LD</t>
  </si>
  <si>
    <t>SW19 3HJ</t>
  </si>
  <si>
    <t>SW13 9HN</t>
  </si>
  <si>
    <t>SW14 8HD</t>
  </si>
  <si>
    <t>NW3 6DN</t>
  </si>
  <si>
    <t>TW10 7NL</t>
  </si>
  <si>
    <t>N10 1DD</t>
  </si>
  <si>
    <t>SM5 1RS</t>
  </si>
  <si>
    <t>SE10 9NW</t>
  </si>
  <si>
    <t>TW11 9NN</t>
  </si>
  <si>
    <t>TW12 2EA</t>
  </si>
  <si>
    <t>N16 8BX</t>
  </si>
  <si>
    <t>CR4 2DJ</t>
  </si>
  <si>
    <t>CR4 2LF</t>
  </si>
  <si>
    <t>SW19 1BU</t>
  </si>
  <si>
    <t>SE10 8AW</t>
  </si>
  <si>
    <t>N6 5BB</t>
  </si>
  <si>
    <t>SE16 3LA</t>
  </si>
  <si>
    <t>TW10 6AW</t>
  </si>
  <si>
    <t>RM11 2JS</t>
  </si>
  <si>
    <t>N3 1RT</t>
  </si>
  <si>
    <t>N3 1BD</t>
  </si>
  <si>
    <t>N12 7HA</t>
  </si>
  <si>
    <t>N6 4AY</t>
  </si>
  <si>
    <t>DA8 1AY</t>
  </si>
  <si>
    <t>KT8 9BZ</t>
  </si>
  <si>
    <t>SM4 5SQ</t>
  </si>
  <si>
    <t>SM4 6SR</t>
  </si>
  <si>
    <t>SE13 7TT</t>
  </si>
  <si>
    <t>SE4 2SL</t>
  </si>
  <si>
    <t>DA14 6QS</t>
  </si>
  <si>
    <t>SW6 5BW</t>
  </si>
  <si>
    <t>SW1W 9EF</t>
  </si>
  <si>
    <t>RM7 9AT</t>
  </si>
  <si>
    <t>SW1W 8UR</t>
  </si>
  <si>
    <t>IG1 1QW</t>
  </si>
  <si>
    <t>NW6 2BB</t>
  </si>
  <si>
    <t>TW1 2PD</t>
  </si>
  <si>
    <t>SW17 0DR</t>
  </si>
  <si>
    <t>N20 0DY</t>
  </si>
  <si>
    <t>RM12 5LD</t>
  </si>
  <si>
    <t>RM13 7PR</t>
  </si>
  <si>
    <t>RM12 4PY</t>
  </si>
  <si>
    <t>RM13 7XT</t>
  </si>
  <si>
    <t>WC2H 9BF</t>
  </si>
  <si>
    <t>RM14 3YB</t>
  </si>
  <si>
    <t>HA8 5EZ</t>
  </si>
  <si>
    <t>HA8 5AP</t>
  </si>
  <si>
    <t>SW17 0NP</t>
  </si>
  <si>
    <t>NW1 9QB</t>
  </si>
  <si>
    <t>N22 5QP</t>
  </si>
  <si>
    <t>HA9 9EW</t>
  </si>
  <si>
    <t>SW19 6EX</t>
  </si>
  <si>
    <t>SM2 7AA</t>
  </si>
  <si>
    <t>SW8 4JE</t>
  </si>
  <si>
    <t>CR4 3BN</t>
  </si>
  <si>
    <t>SE5 9HQ</t>
  </si>
  <si>
    <t>SE5 9JJ</t>
  </si>
  <si>
    <t>W3 0JE</t>
  </si>
  <si>
    <t>N6 4BD</t>
  </si>
  <si>
    <t>NW1 5QT</t>
  </si>
  <si>
    <t>CR2 6BQ</t>
  </si>
  <si>
    <t>CR2 6EH</t>
  </si>
  <si>
    <t>SE15 1PB</t>
  </si>
  <si>
    <t>TW7 4PP</t>
  </si>
  <si>
    <t>BR6 7NG</t>
  </si>
  <si>
    <t>CR7 8YT</t>
  </si>
  <si>
    <t>CR7 8HU</t>
  </si>
  <si>
    <t>HA5 3EY</t>
  </si>
  <si>
    <t>TW1 3NJ</t>
  </si>
  <si>
    <t>W13 0EY</t>
  </si>
  <si>
    <t>CR8 2DT</t>
  </si>
  <si>
    <t>CR5 3BA</t>
  </si>
  <si>
    <t>W1W 8TD</t>
  </si>
  <si>
    <t>EN1 1XH</t>
  </si>
  <si>
    <t>RM12 4NS</t>
  </si>
  <si>
    <t>UB7 0AJ</t>
  </si>
  <si>
    <t>W3 7AS</t>
  </si>
  <si>
    <t>RM13 7RJ</t>
  </si>
  <si>
    <t>RM1 2RT</t>
  </si>
  <si>
    <t>HA1 1NS</t>
  </si>
  <si>
    <t>RM1 4DD</t>
  </si>
  <si>
    <t>CR8 2DL</t>
  </si>
  <si>
    <t>SW13 9ET</t>
  </si>
  <si>
    <t>RM11 1PX</t>
  </si>
  <si>
    <t>DA17 5JE</t>
  </si>
  <si>
    <t>EC1R 0EQ</t>
  </si>
  <si>
    <t>SW17 9PP</t>
  </si>
  <si>
    <t>SE25 5JJ</t>
  </si>
  <si>
    <t>SW18 2QQ</t>
  </si>
  <si>
    <t>W9 2HQ</t>
  </si>
  <si>
    <t>TW9 2AJ</t>
  </si>
  <si>
    <t>N5 1LQ</t>
  </si>
  <si>
    <t>W10 4NE</t>
  </si>
  <si>
    <t>DA5 3EN</t>
  </si>
  <si>
    <t>DA5 3BP</t>
  </si>
  <si>
    <t>TW13 7EQ</t>
  </si>
  <si>
    <t>TW13 4JX</t>
  </si>
  <si>
    <t>SW18 4SN</t>
  </si>
  <si>
    <t>E7 0NY</t>
  </si>
  <si>
    <t>IG2 7SU</t>
  </si>
  <si>
    <t>RM14 3QA</t>
  </si>
  <si>
    <t>SW19 3QR</t>
  </si>
  <si>
    <t>HA9</t>
  </si>
  <si>
    <t>IG6 2BX</t>
  </si>
  <si>
    <t>RM5 3YR</t>
  </si>
  <si>
    <t>E6 1NS</t>
  </si>
  <si>
    <t>E7 0LJ</t>
  </si>
  <si>
    <t>IG3 9SL</t>
  </si>
  <si>
    <t>IG3 8UP</t>
  </si>
  <si>
    <t>RM3 8HL</t>
  </si>
  <si>
    <t>E13</t>
  </si>
  <si>
    <t>E13 9BQ</t>
  </si>
  <si>
    <t>E16</t>
  </si>
  <si>
    <t>E13 8SR</t>
  </si>
  <si>
    <t>RM12 6BJ</t>
  </si>
  <si>
    <t>W10 5EL</t>
  </si>
  <si>
    <t>HA6 1DD</t>
  </si>
  <si>
    <t>W11 4PF</t>
  </si>
  <si>
    <t>WC1N 3AH</t>
  </si>
  <si>
    <t>SW14 7AN</t>
  </si>
  <si>
    <t>BR6 9EP</t>
  </si>
  <si>
    <t>BR5 4GB</t>
  </si>
  <si>
    <t>BR2 0PU</t>
  </si>
  <si>
    <t>BR7 5JL</t>
  </si>
  <si>
    <t>BR5 2PT</t>
  </si>
  <si>
    <t>SW13 0PU</t>
  </si>
  <si>
    <t>N14 5QP</t>
  </si>
  <si>
    <t>SW13 0NX</t>
  </si>
  <si>
    <t>TW3 3UA</t>
  </si>
  <si>
    <t>Master</t>
  </si>
  <si>
    <t>Osm</t>
  </si>
  <si>
    <t>To convert postcodes to latitude / longitude, I've used https://gridreferencefinder.com/postcodeBatchConverter/</t>
  </si>
  <si>
    <r>
      <rPr>
        <b/>
        <u/>
        <sz val="11"/>
        <color theme="1"/>
        <rFont val="Calibri"/>
        <family val="2"/>
        <scheme val="minor"/>
      </rPr>
      <t>Where to look for information</t>
    </r>
    <r>
      <rPr>
        <sz val="11"/>
        <color theme="1"/>
        <rFont val="Calibri"/>
        <family val="2"/>
        <scheme val="minor"/>
      </rPr>
      <t xml:space="preserve">
To convert postcodes to latitude / longitude, I've used https://gridreferencefinder.com/postcodeBatchConverter/.</t>
    </r>
  </si>
  <si>
    <t>N7 8LT</t>
  </si>
  <si>
    <t>Not found</t>
  </si>
  <si>
    <t>St Dunstan and All Saints Stepney</t>
  </si>
  <si>
    <t>E8 2EA</t>
  </si>
  <si>
    <t>Christ Church and St John w St Luke Isle of Dogs</t>
  </si>
  <si>
    <t>St John the Evangelist Upper Holloway</t>
  </si>
  <si>
    <t>St Mary and Holy Trinity Bow</t>
  </si>
  <si>
    <t>St Mark Tollington Park</t>
  </si>
  <si>
    <t>St Michael and All Angels London Fields</t>
  </si>
  <si>
    <t>St Michael and All Angels Stoke Newington Common</t>
  </si>
  <si>
    <t>St George and All Saints Tufnell Park</t>
  </si>
  <si>
    <t>Trinity Church Islington (meets at St Marks)</t>
  </si>
  <si>
    <t>Hope Church Islington (St Mary Magadelene)</t>
  </si>
  <si>
    <t>WorkingNotes</t>
  </si>
  <si>
    <t>NotesForDisplay</t>
  </si>
  <si>
    <t>Church website mentions a second location at St David's Church, N7 8AB.</t>
  </si>
  <si>
    <t>&lt;div style="text-align:center;text-decoration:underline;padding-bottom:1em"&gt;$Church$&lt;/div&gt;
$NotesForDisplay$
Postcode: $Postcode$
&lt;div style="color:red"&gt;$ResourceChurch$&lt;/div&gt;
Type: $Churchmanship$
GC: $GC$
$IncumbentPosition$ $Incumbent$
Electoral roll: $ElectoralRoll$
Total income: $TotalIncome$
Common fund payment: $CommonFundPayment$
Population: $WikipediaPopulationOfParish$
Benefice: $WikipediaBenefice$
&lt;optional-header&gt;Links&lt;/optional-header&gt;
London directory
Wikipedia page for church
Website for group ministry
Google maps
&lt;br&gt;&lt;div style="text-align:center"&gt;&lt;input type="button" value="LimitToRadius" onclick="limitToRadius($UniqueId$);"&gt;&lt;/div&gt;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</si>
</sst>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White]0"/>
    <numFmt numFmtId="165" formatCode="0000"/>
  </numFmts>
  <fonts count="4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25"/>
      <color theme="1"/>
      <name val="Calibri"/>
      <family val="2"/>
      <scheme val="minor"/>
    </font>
    <font>
      <u/>
      <sz val="11"/>
      <color theme="10"/>
      <name val="Calibri"/>
      <family val="2"/>
      <scheme val="minor"/>
    </font>
    <font>
      <u/>
      <sz val="11"/>
      <color theme="1"/>
      <name val="Calibri"/>
      <family val="2"/>
      <scheme val="minor"/>
    </font>
    <font>
      <b/>
      <sz val="11"/>
      <color rgb="FFFF0000"/>
      <name val="Calibri"/>
      <family val="2"/>
      <scheme val="minor"/>
    </font>
    <font>
      <b/>
      <u/>
      <sz val="11"/>
      <color theme="1"/>
      <name val="Calibri"/>
      <family val="2"/>
      <scheme val="minor"/>
    </font>
    <font>
      <b/>
      <sz val="11"/>
      <color rgb="FFFFFF00"/>
      <name val="Calibri"/>
      <family val="2"/>
      <scheme val="minor"/>
    </font>
    <font>
      <b/>
      <sz val="11"/>
      <color rgb="FF00B0F0"/>
      <name val="Calibri"/>
      <family val="2"/>
      <scheme val="minor"/>
    </font>
    <font>
      <sz val="13"/>
      <color theme="1"/>
      <name val="Calibri"/>
      <family val="2"/>
      <scheme val="minor"/>
    </font>
    <font>
      <b/>
      <sz val="11"/>
      <color rgb="FF7030A0"/>
      <name val="Calibri"/>
      <family val="2"/>
      <scheme val="minor"/>
    </font>
    <font>
      <b/>
      <sz val="11"/>
      <color theme="2" tint="-0.499984740745262"/>
      <name val="Calibri"/>
      <family val="2"/>
      <scheme val="minor"/>
    </font>
    <font>
      <b/>
      <sz val="11"/>
      <color theme="9" tint="-0.249977111117893"/>
      <name val="Calibri"/>
      <family val="2"/>
      <scheme val="minor"/>
    </font>
    <font>
      <b/>
      <sz val="11"/>
      <color rgb="FFFF9966"/>
      <name val="Calibri"/>
      <family val="2"/>
      <scheme val="minor"/>
    </font>
    <font>
      <b/>
      <sz val="11"/>
      <color rgb="FF0070C0"/>
      <name val="Calibri"/>
      <family val="2"/>
      <scheme val="minor"/>
    </font>
    <font>
      <sz val="11"/>
      <name val="Calibri"/>
      <family val="2"/>
      <scheme val="minor"/>
    </font>
    <font>
      <sz val="9"/>
      <color theme="1"/>
      <name val="Calibri"/>
      <family val="2"/>
      <scheme val="minor"/>
    </font>
    <font>
      <u/>
      <sz val="9"/>
      <color theme="1"/>
      <name val="Calibri"/>
      <family val="2"/>
      <scheme val="minor"/>
    </font>
    <font>
      <sz val="10"/>
      <name val="Arial"/>
      <family val="2"/>
    </font>
    <font>
      <sz val="10"/>
      <color rgb="FFFF0000"/>
      <name val="Arial"/>
      <family val="2"/>
    </font>
    <font>
      <b/>
      <sz val="10"/>
      <name val="Arial"/>
      <family val="2"/>
    </font>
    <font>
      <sz val="10"/>
      <color theme="1"/>
      <name val="Arial"/>
      <family val="2"/>
    </font>
    <font>
      <b/>
      <sz val="10"/>
      <color rgb="FFFF0000"/>
      <name val="Arial"/>
      <family val="2"/>
    </font>
    <font>
      <b/>
      <sz val="15"/>
      <color theme="1"/>
      <name val="Calibri"/>
      <family val="2"/>
      <scheme val="minor"/>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1" tint="0.34998626667073579"/>
        <bgColor indexed="64"/>
      </patternFill>
    </fill>
    <fill>
      <patternFill patternType="solid">
        <fgColor rgb="FFD7A8E9"/>
        <bgColor indexed="64"/>
      </patternFill>
    </fill>
    <fill>
      <patternFill patternType="solid">
        <fgColor theme="5" tint="0.39997558519241921"/>
        <bgColor indexed="64"/>
      </patternFill>
    </fill>
    <fill>
      <patternFill patternType="solid">
        <fgColor rgb="FFFF0000"/>
        <bgColor indexed="64"/>
      </patternFill>
    </fill>
    <fill>
      <patternFill patternType="solid">
        <fgColor theme="9" tint="0.39997558519241921"/>
        <bgColor indexed="64"/>
      </patternFill>
    </fill>
    <fill>
      <patternFill patternType="solid">
        <fgColor rgb="FF00B0F0"/>
        <bgColor indexed="64"/>
      </patternFill>
    </fill>
    <fill>
      <patternFill patternType="solid">
        <fgColor rgb="FFFFFF00"/>
        <bgColor indexed="64"/>
      </patternFill>
    </fill>
    <fill>
      <patternFill patternType="solid">
        <fgColor theme="0"/>
        <bgColor indexed="64"/>
      </patternFill>
    </fill>
  </fills>
  <borders count="4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right/>
      <top style="thin">
        <color indexed="64"/>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indexed="64"/>
      </left>
      <right style="thin">
        <color theme="0" tint="-0.24994659260841701"/>
      </right>
      <top style="thin">
        <color theme="0" tint="-0.24994659260841701"/>
      </top>
      <bottom/>
      <diagonal/>
    </border>
    <border>
      <left style="thin">
        <color theme="0" tint="-0.24994659260841701"/>
      </left>
      <right style="thin">
        <color indexed="64"/>
      </right>
      <top style="thin">
        <color theme="0" tint="-0.24994659260841701"/>
      </top>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indexed="64"/>
      </left>
      <right style="thin">
        <color indexed="64"/>
      </right>
      <top style="thin">
        <color theme="0" tint="-0.24994659260841701"/>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cellStyleXfs>
  <cellXfs count="125">
    <xf numFmtId="0" fontId="0" fillId="0" borderId="0" xfId="0"/>
    <xf numFmtId="0" fontId="0" fillId="34" borderId="0" xfId="0" applyFill="1"/>
    <xf numFmtId="0" fontId="0" fillId="35" borderId="0" xfId="0" applyFill="1"/>
    <xf numFmtId="0" fontId="0" fillId="37" borderId="11" xfId="0" applyFill="1" applyBorder="1"/>
    <xf numFmtId="0" fontId="18" fillId="37" borderId="11" xfId="0" applyFont="1" applyFill="1" applyBorder="1" applyAlignment="1">
      <alignment vertical="center"/>
    </xf>
    <xf numFmtId="0" fontId="0" fillId="37" borderId="12" xfId="0" applyFill="1" applyBorder="1"/>
    <xf numFmtId="0" fontId="0" fillId="37" borderId="0" xfId="0" applyFill="1" applyBorder="1"/>
    <xf numFmtId="0" fontId="21" fillId="35" borderId="0" xfId="0" applyFont="1" applyFill="1"/>
    <xf numFmtId="0" fontId="0" fillId="33" borderId="21" xfId="0" applyFill="1" applyBorder="1"/>
    <xf numFmtId="0" fontId="0" fillId="33" borderId="22" xfId="0" applyFill="1" applyBorder="1"/>
    <xf numFmtId="0" fontId="0" fillId="33" borderId="23" xfId="0" applyFill="1" applyBorder="1"/>
    <xf numFmtId="0" fontId="0" fillId="33" borderId="24" xfId="0" applyFill="1" applyBorder="1"/>
    <xf numFmtId="0" fontId="0" fillId="33" borderId="25" xfId="0" applyFill="1" applyBorder="1"/>
    <xf numFmtId="0" fontId="0" fillId="33" borderId="26" xfId="0" applyFill="1" applyBorder="1"/>
    <xf numFmtId="0" fontId="13" fillId="36" borderId="27" xfId="0" applyFont="1" applyFill="1" applyBorder="1"/>
    <xf numFmtId="0" fontId="13" fillId="36" borderId="28" xfId="0" applyFont="1" applyFill="1" applyBorder="1"/>
    <xf numFmtId="0" fontId="16" fillId="35" borderId="0" xfId="0" applyFont="1" applyFill="1" applyAlignment="1">
      <alignment vertical="center"/>
    </xf>
    <xf numFmtId="0" fontId="13" fillId="36" borderId="10" xfId="0" applyFont="1" applyFill="1" applyBorder="1" applyAlignment="1">
      <alignment horizontal="center"/>
    </xf>
    <xf numFmtId="0" fontId="0" fillId="38" borderId="10" xfId="0" applyFill="1" applyBorder="1" applyAlignment="1">
      <alignment wrapText="1"/>
    </xf>
    <xf numFmtId="0" fontId="0" fillId="0" borderId="29" xfId="0" applyBorder="1"/>
    <xf numFmtId="0" fontId="19" fillId="0" borderId="29" xfId="42" applyBorder="1"/>
    <xf numFmtId="0" fontId="16" fillId="34" borderId="29" xfId="0" applyFont="1" applyFill="1" applyBorder="1"/>
    <xf numFmtId="0" fontId="16" fillId="39" borderId="29" xfId="0" applyFont="1" applyFill="1" applyBorder="1"/>
    <xf numFmtId="0" fontId="16" fillId="40" borderId="29" xfId="0" applyFont="1" applyFill="1" applyBorder="1"/>
    <xf numFmtId="164" fontId="16" fillId="39" borderId="30" xfId="0" applyNumberFormat="1" applyFont="1" applyFill="1" applyBorder="1"/>
    <xf numFmtId="164" fontId="0" fillId="0" borderId="29" xfId="0" applyNumberFormat="1" applyBorder="1"/>
    <xf numFmtId="164" fontId="19" fillId="0" borderId="29" xfId="42" applyNumberFormat="1" applyBorder="1"/>
    <xf numFmtId="164" fontId="16" fillId="40" borderId="29" xfId="0" applyNumberFormat="1" applyFont="1" applyFill="1" applyBorder="1"/>
    <xf numFmtId="164" fontId="16" fillId="39" borderId="29" xfId="0" applyNumberFormat="1" applyFont="1" applyFill="1" applyBorder="1"/>
    <xf numFmtId="0" fontId="24" fillId="34" borderId="29" xfId="0" applyFont="1" applyFill="1" applyBorder="1"/>
    <xf numFmtId="164" fontId="24" fillId="34" borderId="29" xfId="0" applyNumberFormat="1" applyFont="1" applyFill="1" applyBorder="1"/>
    <xf numFmtId="0" fontId="0" fillId="33" borderId="31" xfId="0" applyFill="1" applyBorder="1"/>
    <xf numFmtId="0" fontId="0" fillId="33" borderId="32" xfId="0" applyFill="1" applyBorder="1"/>
    <xf numFmtId="0" fontId="25" fillId="37" borderId="11" xfId="0" applyFont="1" applyFill="1" applyBorder="1" applyAlignment="1">
      <alignment horizontal="right" vertical="center"/>
    </xf>
    <xf numFmtId="0" fontId="26" fillId="34" borderId="29" xfId="0" applyFont="1" applyFill="1" applyBorder="1"/>
    <xf numFmtId="0" fontId="16" fillId="0" borderId="29" xfId="0" applyFont="1" applyFill="1" applyBorder="1"/>
    <xf numFmtId="0" fontId="16" fillId="38" borderId="29" xfId="0" applyFont="1" applyFill="1" applyBorder="1"/>
    <xf numFmtId="0" fontId="16" fillId="41" borderId="29" xfId="0" applyFont="1" applyFill="1" applyBorder="1"/>
    <xf numFmtId="164" fontId="16" fillId="41" borderId="29" xfId="0" applyNumberFormat="1" applyFont="1" applyFill="1" applyBorder="1"/>
    <xf numFmtId="164" fontId="16" fillId="41" borderId="30" xfId="0" applyNumberFormat="1" applyFont="1" applyFill="1" applyBorder="1"/>
    <xf numFmtId="0" fontId="32" fillId="37" borderId="12" xfId="0" applyFont="1" applyFill="1" applyBorder="1"/>
    <xf numFmtId="0" fontId="33" fillId="37" borderId="12" xfId="42" applyFont="1" applyFill="1" applyBorder="1"/>
    <xf numFmtId="0" fontId="0" fillId="36" borderId="0" xfId="0" applyFill="1"/>
    <xf numFmtId="0" fontId="21" fillId="36" borderId="0" xfId="0" applyFont="1" applyFill="1"/>
    <xf numFmtId="0" fontId="13" fillId="36" borderId="0" xfId="0" applyFont="1" applyFill="1" applyAlignment="1">
      <alignment vertical="center"/>
    </xf>
    <xf numFmtId="0" fontId="16" fillId="36" borderId="0" xfId="0" applyFont="1" applyFill="1"/>
    <xf numFmtId="0" fontId="0" fillId="35" borderId="12" xfId="0" applyFill="1" applyBorder="1"/>
    <xf numFmtId="0" fontId="21" fillId="35" borderId="12" xfId="0" applyFont="1" applyFill="1" applyBorder="1"/>
    <xf numFmtId="49" fontId="0" fillId="0" borderId="29" xfId="0" applyNumberFormat="1" applyBorder="1" applyAlignment="1">
      <alignment horizontal="right"/>
    </xf>
    <xf numFmtId="49" fontId="26" fillId="34" borderId="29" xfId="0" applyNumberFormat="1" applyFont="1" applyFill="1" applyBorder="1" applyAlignment="1">
      <alignment horizontal="left"/>
    </xf>
    <xf numFmtId="164" fontId="16" fillId="41" borderId="34" xfId="0" applyNumberFormat="1" applyFont="1" applyFill="1" applyBorder="1"/>
    <xf numFmtId="0" fontId="0" fillId="35" borderId="0" xfId="0" applyFill="1" applyAlignment="1">
      <alignment horizontal="right"/>
    </xf>
    <xf numFmtId="0" fontId="0" fillId="33" borderId="35" xfId="0" applyFill="1" applyBorder="1"/>
    <xf numFmtId="0" fontId="0" fillId="33" borderId="36" xfId="0" applyFill="1" applyBorder="1"/>
    <xf numFmtId="0" fontId="16" fillId="42" borderId="29" xfId="0" applyFont="1" applyFill="1" applyBorder="1"/>
    <xf numFmtId="0" fontId="0" fillId="33" borderId="37" xfId="0" applyFill="1" applyBorder="1"/>
    <xf numFmtId="0" fontId="0" fillId="33" borderId="38" xfId="0" applyFill="1" applyBorder="1"/>
    <xf numFmtId="0" fontId="0" fillId="33" borderId="39" xfId="0" applyFill="1" applyBorder="1"/>
    <xf numFmtId="0" fontId="0" fillId="33" borderId="40" xfId="0" applyFill="1" applyBorder="1"/>
    <xf numFmtId="0" fontId="34" fillId="0" borderId="0" xfId="0" applyFont="1"/>
    <xf numFmtId="0" fontId="34" fillId="0" borderId="0" xfId="0" applyFont="1" applyAlignment="1">
      <alignment vertical="top" wrapText="1"/>
    </xf>
    <xf numFmtId="3" fontId="35" fillId="0" borderId="0" xfId="0" applyNumberFormat="1" applyFont="1"/>
    <xf numFmtId="165" fontId="36" fillId="0" borderId="41" xfId="0" applyNumberFormat="1" applyFont="1" applyBorder="1" applyAlignment="1">
      <alignment horizontal="left" vertical="center" wrapText="1"/>
    </xf>
    <xf numFmtId="3" fontId="36" fillId="0" borderId="41" xfId="0" applyNumberFormat="1" applyFont="1" applyBorder="1" applyAlignment="1">
      <alignment vertical="center" wrapText="1"/>
    </xf>
    <xf numFmtId="3" fontId="36" fillId="43" borderId="41" xfId="0" applyNumberFormat="1" applyFont="1" applyFill="1" applyBorder="1" applyAlignment="1">
      <alignment horizontal="center" vertical="center" wrapText="1"/>
    </xf>
    <xf numFmtId="165" fontId="36" fillId="0" borderId="41" xfId="0" applyNumberFormat="1" applyFont="1" applyBorder="1" applyAlignment="1">
      <alignment horizontal="left" vertical="center"/>
    </xf>
    <xf numFmtId="3" fontId="34" fillId="0" borderId="41" xfId="0" applyNumberFormat="1" applyFont="1" applyBorder="1" applyAlignment="1">
      <alignment horizontal="left" vertical="center"/>
    </xf>
    <xf numFmtId="3" fontId="34" fillId="43" borderId="41" xfId="0" applyNumberFormat="1" applyFont="1" applyFill="1" applyBorder="1" applyAlignment="1">
      <alignment horizontal="center" vertical="center"/>
    </xf>
    <xf numFmtId="3" fontId="34" fillId="0" borderId="41" xfId="0" applyNumberFormat="1" applyFont="1" applyFill="1" applyBorder="1" applyAlignment="1">
      <alignment horizontal="center" vertical="center"/>
    </xf>
    <xf numFmtId="3" fontId="34" fillId="43" borderId="41" xfId="0" applyNumberFormat="1" applyFont="1" applyFill="1" applyBorder="1" applyAlignment="1">
      <alignment horizontal="right" vertical="center"/>
    </xf>
    <xf numFmtId="3" fontId="37" fillId="43" borderId="41" xfId="0" applyNumberFormat="1" applyFont="1" applyFill="1" applyBorder="1" applyAlignment="1">
      <alignment horizontal="center" vertical="center"/>
    </xf>
    <xf numFmtId="3" fontId="35" fillId="43" borderId="41" xfId="0" applyNumberFormat="1" applyFont="1" applyFill="1" applyBorder="1" applyAlignment="1">
      <alignment horizontal="right" vertical="center"/>
    </xf>
    <xf numFmtId="3" fontId="38" fillId="43" borderId="41" xfId="0" applyNumberFormat="1" applyFont="1" applyFill="1" applyBorder="1" applyAlignment="1">
      <alignment horizontal="right" vertical="center"/>
    </xf>
    <xf numFmtId="0" fontId="0" fillId="0" borderId="34" xfId="0" applyBorder="1"/>
    <xf numFmtId="0" fontId="0" fillId="42" borderId="29" xfId="0" applyFill="1" applyBorder="1"/>
    <xf numFmtId="0" fontId="0" fillId="0" borderId="29" xfId="0" applyFill="1" applyBorder="1"/>
    <xf numFmtId="3" fontId="36" fillId="43" borderId="0" xfId="0" applyNumberFormat="1" applyFont="1" applyFill="1" applyBorder="1" applyAlignment="1">
      <alignment horizontal="center" vertical="center" wrapText="1"/>
    </xf>
    <xf numFmtId="3" fontId="34" fillId="43" borderId="0" xfId="0" applyNumberFormat="1" applyFont="1" applyFill="1" applyBorder="1" applyAlignment="1">
      <alignment horizontal="right" vertical="center"/>
    </xf>
    <xf numFmtId="3" fontId="35" fillId="43" borderId="0" xfId="0" applyNumberFormat="1" applyFont="1" applyFill="1" applyBorder="1" applyAlignment="1">
      <alignment horizontal="right" vertical="center"/>
    </xf>
    <xf numFmtId="3" fontId="38" fillId="43" borderId="0" xfId="0" applyNumberFormat="1" applyFont="1" applyFill="1" applyBorder="1" applyAlignment="1">
      <alignment horizontal="right" vertical="center"/>
    </xf>
    <xf numFmtId="0" fontId="0" fillId="0" borderId="0" xfId="0" applyBorder="1"/>
    <xf numFmtId="0" fontId="16" fillId="34" borderId="0" xfId="0" applyFont="1" applyFill="1" applyBorder="1"/>
    <xf numFmtId="164" fontId="19" fillId="42" borderId="29" xfId="42" applyNumberFormat="1" applyFill="1" applyBorder="1"/>
    <xf numFmtId="0" fontId="19" fillId="42" borderId="29" xfId="42" applyFill="1" applyBorder="1"/>
    <xf numFmtId="164" fontId="0" fillId="42" borderId="29" xfId="0" applyNumberFormat="1" applyFill="1" applyBorder="1"/>
    <xf numFmtId="0" fontId="16" fillId="0" borderId="29" xfId="0" applyFont="1" applyFill="1" applyBorder="1" applyAlignment="1">
      <alignment horizontal="center"/>
    </xf>
    <xf numFmtId="0" fontId="0" fillId="0" borderId="29" xfId="0" applyBorder="1" applyAlignment="1">
      <alignment horizontal="center"/>
    </xf>
    <xf numFmtId="0" fontId="0" fillId="42" borderId="29" xfId="0" applyFill="1" applyBorder="1" applyAlignment="1">
      <alignment horizontal="center"/>
    </xf>
    <xf numFmtId="3" fontId="34" fillId="42" borderId="41" xfId="0" applyNumberFormat="1" applyFont="1" applyFill="1" applyBorder="1" applyAlignment="1">
      <alignment horizontal="right" vertical="center"/>
    </xf>
    <xf numFmtId="0" fontId="39" fillId="42" borderId="29" xfId="0" applyFont="1" applyFill="1" applyBorder="1"/>
    <xf numFmtId="0" fontId="26" fillId="34" borderId="29" xfId="0" applyFont="1" applyFill="1" applyBorder="1" applyAlignment="1">
      <alignment shrinkToFit="1"/>
    </xf>
    <xf numFmtId="0" fontId="0" fillId="0" borderId="29" xfId="0" applyBorder="1" applyAlignment="1">
      <alignment shrinkToFit="1"/>
    </xf>
    <xf numFmtId="0" fontId="0" fillId="42" borderId="29" xfId="0" applyFill="1" applyBorder="1" applyAlignment="1">
      <alignment shrinkToFit="1"/>
    </xf>
    <xf numFmtId="0" fontId="0" fillId="42" borderId="34" xfId="0" applyFill="1" applyBorder="1"/>
    <xf numFmtId="164" fontId="0" fillId="42" borderId="34" xfId="0" applyNumberFormat="1" applyFill="1" applyBorder="1"/>
    <xf numFmtId="0" fontId="0" fillId="42" borderId="34" xfId="0" applyFill="1" applyBorder="1" applyAlignment="1">
      <alignment horizontal="center"/>
    </xf>
    <xf numFmtId="49" fontId="0" fillId="42" borderId="34" xfId="0" applyNumberFormat="1" applyFill="1" applyBorder="1" applyAlignment="1">
      <alignment horizontal="right"/>
    </xf>
    <xf numFmtId="0" fontId="19" fillId="42" borderId="0" xfId="42" applyFill="1"/>
    <xf numFmtId="0" fontId="0" fillId="42" borderId="34" xfId="0" applyFill="1" applyBorder="1" applyAlignment="1">
      <alignment shrinkToFit="1"/>
    </xf>
    <xf numFmtId="0" fontId="16" fillId="35" borderId="0" xfId="0" applyFont="1" applyFill="1"/>
    <xf numFmtId="0" fontId="0" fillId="42" borderId="29" xfId="0" applyFont="1" applyFill="1" applyBorder="1"/>
    <xf numFmtId="0" fontId="0" fillId="35" borderId="16" xfId="0" applyFill="1" applyBorder="1" applyAlignment="1">
      <alignment horizontal="left" vertical="top" wrapText="1"/>
    </xf>
    <xf numFmtId="0" fontId="0" fillId="35" borderId="17" xfId="0" applyFill="1" applyBorder="1" applyAlignment="1">
      <alignment horizontal="left" vertical="top" wrapText="1"/>
    </xf>
    <xf numFmtId="0" fontId="0" fillId="35" borderId="18" xfId="0" applyFill="1" applyBorder="1" applyAlignment="1">
      <alignment horizontal="left" vertical="top" wrapText="1"/>
    </xf>
    <xf numFmtId="0" fontId="0" fillId="35" borderId="19" xfId="0" applyFill="1" applyBorder="1" applyAlignment="1">
      <alignment horizontal="left" vertical="top" wrapText="1"/>
    </xf>
    <xf numFmtId="0" fontId="0" fillId="35" borderId="0" xfId="0" applyFill="1" applyBorder="1" applyAlignment="1">
      <alignment horizontal="left" vertical="top" wrapText="1"/>
    </xf>
    <xf numFmtId="0" fontId="0" fillId="35" borderId="12" xfId="0" applyFill="1" applyBorder="1" applyAlignment="1">
      <alignment horizontal="left" vertical="top" wrapText="1"/>
    </xf>
    <xf numFmtId="0" fontId="0" fillId="35" borderId="20" xfId="0" applyFill="1" applyBorder="1" applyAlignment="1">
      <alignment horizontal="left" vertical="top" wrapText="1"/>
    </xf>
    <xf numFmtId="0" fontId="0" fillId="35" borderId="11" xfId="0" applyFill="1" applyBorder="1" applyAlignment="1">
      <alignment horizontal="left" vertical="top" wrapText="1"/>
    </xf>
    <xf numFmtId="0" fontId="0" fillId="35" borderId="13" xfId="0" applyFill="1" applyBorder="1" applyAlignment="1">
      <alignment horizontal="left" vertical="top" wrapText="1"/>
    </xf>
    <xf numFmtId="14" fontId="23" fillId="37" borderId="11" xfId="0" applyNumberFormat="1" applyFont="1" applyFill="1" applyBorder="1" applyAlignment="1">
      <alignment horizontal="left" vertical="center"/>
    </xf>
    <xf numFmtId="0" fontId="0" fillId="35" borderId="14" xfId="0" applyFill="1" applyBorder="1" applyAlignment="1">
      <alignment horizontal="left" vertical="top" wrapText="1"/>
    </xf>
    <xf numFmtId="0" fontId="0" fillId="35" borderId="33" xfId="0" applyFill="1" applyBorder="1" applyAlignment="1">
      <alignment horizontal="left" vertical="top"/>
    </xf>
    <xf numFmtId="0" fontId="0" fillId="35" borderId="15" xfId="0" applyFill="1" applyBorder="1" applyAlignment="1">
      <alignment horizontal="left" vertical="top"/>
    </xf>
    <xf numFmtId="0" fontId="0" fillId="35" borderId="17" xfId="0" applyFill="1" applyBorder="1" applyAlignment="1">
      <alignment horizontal="left" vertical="top"/>
    </xf>
    <xf numFmtId="0" fontId="0" fillId="35" borderId="18" xfId="0" applyFill="1" applyBorder="1" applyAlignment="1">
      <alignment horizontal="left" vertical="top"/>
    </xf>
    <xf numFmtId="0" fontId="0" fillId="35" borderId="19" xfId="0" applyFill="1" applyBorder="1" applyAlignment="1">
      <alignment horizontal="left" vertical="top"/>
    </xf>
    <xf numFmtId="0" fontId="0" fillId="35" borderId="0" xfId="0" applyFill="1" applyBorder="1" applyAlignment="1">
      <alignment horizontal="left" vertical="top"/>
    </xf>
    <xf numFmtId="0" fontId="0" fillId="35" borderId="12" xfId="0" applyFill="1" applyBorder="1" applyAlignment="1">
      <alignment horizontal="left" vertical="top"/>
    </xf>
    <xf numFmtId="0" fontId="0" fillId="35" borderId="20" xfId="0" applyFill="1" applyBorder="1" applyAlignment="1">
      <alignment horizontal="left" vertical="top"/>
    </xf>
    <xf numFmtId="0" fontId="0" fillId="35" borderId="11" xfId="0" applyFill="1" applyBorder="1" applyAlignment="1">
      <alignment horizontal="left" vertical="top"/>
    </xf>
    <xf numFmtId="0" fontId="0" fillId="35" borderId="13" xfId="0" applyFill="1" applyBorder="1" applyAlignment="1">
      <alignment horizontal="left" vertical="top"/>
    </xf>
    <xf numFmtId="0" fontId="13" fillId="36" borderId="14" xfId="0" applyFont="1" applyFill="1" applyBorder="1" applyAlignment="1">
      <alignment horizontal="center"/>
    </xf>
    <xf numFmtId="0" fontId="13" fillId="36" borderId="15" xfId="0" applyFont="1" applyFill="1" applyBorder="1" applyAlignment="1">
      <alignment horizontal="center"/>
    </xf>
    <xf numFmtId="0" fontId="0" fillId="0" borderId="10" xfId="0" applyBorder="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9">
    <dxf>
      <font>
        <b val="0"/>
        <i/>
      </font>
    </dxf>
    <dxf>
      <font>
        <b val="0"/>
        <i/>
      </font>
    </dxf>
    <dxf>
      <font>
        <b val="0"/>
        <i/>
      </font>
    </dxf>
    <dxf>
      <font>
        <b val="0"/>
        <i/>
      </font>
    </dxf>
    <dxf>
      <font>
        <b val="0"/>
        <i/>
      </font>
    </dxf>
    <dxf>
      <font>
        <b val="0"/>
        <i/>
      </font>
    </dxf>
    <dxf>
      <font>
        <b val="0"/>
        <i/>
      </font>
    </dxf>
    <dxf>
      <font>
        <b val="0"/>
        <i/>
      </font>
    </dxf>
    <dxf>
      <font>
        <b val="0"/>
        <i/>
      </font>
    </dxf>
  </dxfs>
  <tableStyles count="0" defaultTableStyle="TableStyleMedium2" defaultPivotStyle="PivotStyleLight16"/>
  <colors>
    <mruColors>
      <color rgb="FFD7A8E9"/>
      <color rgb="FFFF9966"/>
      <color rgb="FFDCB5ED"/>
      <color rgb="FFF5EA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123825</xdr:colOff>
      <xdr:row>0</xdr:row>
      <xdr:rowOff>95250</xdr:rowOff>
    </xdr:from>
    <xdr:to>
      <xdr:col>1</xdr:col>
      <xdr:colOff>144948</xdr:colOff>
      <xdr:row>3</xdr:row>
      <xdr:rowOff>123825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95250"/>
          <a:ext cx="1068873" cy="1438275"/>
        </a:xfrm>
        <a:prstGeom prst="rect">
          <a:avLst/>
        </a:prstGeom>
        <a:effectLst>
          <a:outerShdw blurRad="50800" dist="50800" dir="2700000" algn="ctr" rotWithShape="0">
            <a:srgbClr val="000000">
              <a:alpha val="99000"/>
            </a:srgbClr>
          </a:outerShdw>
        </a:effectLst>
      </xdr:spPr>
    </xdr:pic>
    <xdr:clientData/>
  </xdr:twoCellAnchor>
  <mc:AlternateContent xmlns:mc="http://schemas.openxmlformats.org/markup-compatibility/2006">
    <mc:Choice xmlns:a14="http://schemas.microsoft.com/office/drawing/2010/main" Requires="a14">
      <xdr:twoCellAnchor editAs="oneCell">
        <xdr:from>
          <xdr:col>8</xdr:col>
          <xdr:colOff>304800</xdr:colOff>
          <xdr:row>3</xdr:row>
          <xdr:rowOff>152400</xdr:rowOff>
        </xdr:from>
        <xdr:to>
          <xdr:col>13</xdr:col>
          <xdr:colOff>561975</xdr:colOff>
          <xdr:row>5</xdr:row>
          <xdr:rowOff>104775</xdr:rowOff>
        </xdr:to>
        <xdr:sp macro="" textlink="">
          <xdr:nvSpPr>
            <xdr:cNvPr id="2049" name="Btn_GenerateFile"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152400</xdr:rowOff>
        </xdr:from>
        <xdr:to>
          <xdr:col>8</xdr:col>
          <xdr:colOff>266700</xdr:colOff>
          <xdr:row>5</xdr:row>
          <xdr:rowOff>104775</xdr:rowOff>
        </xdr:to>
        <xdr:sp macro="" textlink="">
          <xdr:nvSpPr>
            <xdr:cNvPr id="2050" name="Btn_RefreshData"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5</xdr:col>
      <xdr:colOff>1038225</xdr:colOff>
      <xdr:row>2</xdr:row>
      <xdr:rowOff>1304925</xdr:rowOff>
    </xdr:from>
    <xdr:to>
      <xdr:col>8</xdr:col>
      <xdr:colOff>2852316</xdr:colOff>
      <xdr:row>6</xdr:row>
      <xdr:rowOff>28575</xdr:rowOff>
    </xdr:to>
    <xdr:pic>
      <xdr:nvPicPr>
        <xdr:cNvPr id="5"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7225" y="1924050"/>
          <a:ext cx="4795416" cy="3524250"/>
        </a:xfrm>
        <a:prstGeom prst="rect">
          <a:avLst/>
        </a:prstGeom>
        <a:effectLst>
          <a:outerShdw blurRad="50800" dist="50800" dir="2760000" algn="ctr" rotWithShape="0">
            <a:srgbClr val="000000">
              <a:alpha val="99000"/>
            </a:srgbClr>
          </a:outerShdw>
        </a:effectLst>
      </xdr:spPr>
    </xdr:pic>
    <xdr:clientData/>
  </xdr:twoCellAnchor>
  <xdr:twoCellAnchor editAs="absolute">
    <xdr:from>
      <xdr:col>4</xdr:col>
      <xdr:colOff>2638425</xdr:colOff>
      <xdr:row>2</xdr:row>
      <xdr:rowOff>923925</xdr:rowOff>
    </xdr:from>
    <xdr:to>
      <xdr:col>5</xdr:col>
      <xdr:colOff>1019176</xdr:colOff>
      <xdr:row>2</xdr:row>
      <xdr:rowOff>1877391</xdr:rowOff>
    </xdr:to>
    <xdr:sp macro="" textlink="">
      <xdr:nvSpPr>
        <xdr:cNvPr id="6" name="TextBox 5"/>
        <xdr:cNvSpPr txBox="1"/>
      </xdr:nvSpPr>
      <xdr:spPr>
        <a:xfrm>
          <a:off x="10191750" y="1543050"/>
          <a:ext cx="1876426" cy="953466"/>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r>
            <a:rPr lang="en-GB" sz="1100">
              <a:solidFill>
                <a:schemeClr val="tx1"/>
              </a:solidFill>
              <a:latin typeface="+mn-lt"/>
              <a:ea typeface="+mn-ea"/>
              <a:cs typeface="+mn-cs"/>
            </a:rPr>
            <a:t>Each row here turns</a:t>
          </a:r>
        </a:p>
        <a:p>
          <a:pPr marL="0" indent="0"/>
          <a:r>
            <a:rPr lang="en-GB" sz="1100">
              <a:solidFill>
                <a:schemeClr val="tx1"/>
              </a:solidFill>
              <a:latin typeface="+mn-lt"/>
              <a:ea typeface="+mn-ea"/>
              <a:cs typeface="+mn-cs"/>
            </a:rPr>
            <a:t>up as a row on the pop-up.</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(When typing, to get new</a:t>
          </a:r>
          <a:r>
            <a:rPr lang="en-GB" sz="1100" baseline="0">
              <a:solidFill>
                <a:schemeClr val="tx1"/>
              </a:solidFill>
              <a:latin typeface="+mn-lt"/>
              <a:ea typeface="+mn-ea"/>
              <a:cs typeface="+mn-cs"/>
            </a:rPr>
            <a:t> </a:t>
          </a:r>
          <a:r>
            <a:rPr lang="en-GB" sz="1100">
              <a:solidFill>
                <a:schemeClr val="tx1"/>
              </a:solidFill>
              <a:latin typeface="+mn-lt"/>
              <a:ea typeface="+mn-ea"/>
              <a:cs typeface="+mn-cs"/>
            </a:rPr>
            <a:t>lines</a:t>
          </a:r>
          <a:r>
            <a:rPr lang="en-GB" sz="1100" baseline="0">
              <a:solidFill>
                <a:schemeClr val="tx1"/>
              </a:solidFill>
              <a:latin typeface="+mn-lt"/>
              <a:ea typeface="+mn-ea"/>
              <a:cs typeface="+mn-cs"/>
            </a:rPr>
            <a:t> in a cell, type Alt-Enter.)</a:t>
          </a:r>
          <a:endParaRPr lang="en-GB" sz="1100">
            <a:solidFill>
              <a:schemeClr val="tx1"/>
            </a:solidFill>
            <a:latin typeface="+mn-lt"/>
            <a:ea typeface="+mn-ea"/>
            <a:cs typeface="+mn-cs"/>
          </a:endParaRPr>
        </a:p>
      </xdr:txBody>
    </xdr:sp>
    <xdr:clientData/>
  </xdr:twoCellAnchor>
  <xdr:twoCellAnchor editAs="absolute">
    <xdr:from>
      <xdr:col>5</xdr:col>
      <xdr:colOff>933450</xdr:colOff>
      <xdr:row>2</xdr:row>
      <xdr:rowOff>114299</xdr:rowOff>
    </xdr:from>
    <xdr:to>
      <xdr:col>8</xdr:col>
      <xdr:colOff>342588</xdr:colOff>
      <xdr:row>2</xdr:row>
      <xdr:rowOff>1123950</xdr:rowOff>
    </xdr:to>
    <xdr:sp macro="" textlink="">
      <xdr:nvSpPr>
        <xdr:cNvPr id="7" name="TextBox 6"/>
        <xdr:cNvSpPr txBox="1"/>
      </xdr:nvSpPr>
      <xdr:spPr>
        <a:xfrm>
          <a:off x="11982450" y="733424"/>
          <a:ext cx="2390463" cy="1009651"/>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$thing$ is replaced by the value of</a:t>
          </a:r>
        </a:p>
        <a:p>
          <a:pPr marL="0" indent="0"/>
          <a:r>
            <a:rPr lang="en-GB" sz="1100">
              <a:solidFill>
                <a:schemeClr val="tx1"/>
              </a:solidFill>
              <a:latin typeface="+mn-lt"/>
              <a:ea typeface="+mn-ea"/>
              <a:cs typeface="+mn-cs"/>
            </a:rPr>
            <a:t>the Thing column from the data sheet.</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Anything not inside $...$ is treated as</a:t>
          </a:r>
        </a:p>
        <a:p>
          <a:pPr marL="0" indent="0"/>
          <a:r>
            <a:rPr lang="en-GB" sz="1100">
              <a:solidFill>
                <a:schemeClr val="tx1"/>
              </a:solidFill>
              <a:latin typeface="+mn-lt"/>
              <a:ea typeface="+mn-ea"/>
              <a:cs typeface="+mn-cs"/>
            </a:rPr>
            <a:t>fixed text.</a:t>
          </a:r>
        </a:p>
        <a:p>
          <a:pPr marL="0" indent="0"/>
          <a:endParaRPr lang="en-GB" sz="1100">
            <a:solidFill>
              <a:schemeClr val="tx1"/>
            </a:solidFill>
            <a:latin typeface="+mn-lt"/>
            <a:ea typeface="+mn-ea"/>
            <a:cs typeface="+mn-cs"/>
          </a:endParaRPr>
        </a:p>
      </xdr:txBody>
    </xdr:sp>
    <xdr:clientData/>
  </xdr:twoCellAnchor>
  <xdr:twoCellAnchor editAs="absolute">
    <xdr:from>
      <xdr:col>4</xdr:col>
      <xdr:colOff>561975</xdr:colOff>
      <xdr:row>2</xdr:row>
      <xdr:rowOff>2152647</xdr:rowOff>
    </xdr:from>
    <xdr:to>
      <xdr:col>5</xdr:col>
      <xdr:colOff>790575</xdr:colOff>
      <xdr:row>13</xdr:row>
      <xdr:rowOff>142875</xdr:rowOff>
    </xdr:to>
    <xdr:sp macro="" textlink="">
      <xdr:nvSpPr>
        <xdr:cNvPr id="10" name="TextBox 9"/>
        <xdr:cNvSpPr txBox="1"/>
      </xdr:nvSpPr>
      <xdr:spPr>
        <a:xfrm>
          <a:off x="8115300" y="2771772"/>
          <a:ext cx="3724275" cy="4124328"/>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A row may contain just fixed text, or just $...$, or a combination of the two.</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Both fixed text and $...$ may be associated with a link</a:t>
          </a:r>
          <a:r>
            <a:rPr lang="en-GB" sz="1100" baseline="0">
              <a:solidFill>
                <a:schemeClr val="tx1"/>
              </a:solidFill>
              <a:latin typeface="+mn-lt"/>
              <a:ea typeface="+mn-ea"/>
              <a:cs typeface="+mn-cs"/>
            </a:rPr>
            <a:t> where we have the necessary information, via the LinkFrom/LinkTo table.</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a:t>
          </a:r>
          <a:r>
            <a:rPr lang="en-GB" sz="1100" u="sng" baseline="0">
              <a:solidFill>
                <a:schemeClr val="tx1"/>
              </a:solidFill>
              <a:latin typeface="+mn-lt"/>
              <a:ea typeface="+mn-ea"/>
              <a:cs typeface="+mn-cs"/>
            </a:rPr>
            <a:t>only</a:t>
          </a:r>
          <a:r>
            <a:rPr lang="en-GB" sz="1100" baseline="0">
              <a:solidFill>
                <a:schemeClr val="tx1"/>
              </a:solidFill>
              <a:latin typeface="+mn-lt"/>
              <a:ea typeface="+mn-ea"/>
              <a:cs typeface="+mn-cs"/>
            </a:rPr>
            <a:t> fixed text and which is not associated with a link is always output.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only fixed text and which </a:t>
          </a:r>
          <a:r>
            <a:rPr lang="en-GB" sz="1100" u="sng" baseline="0">
              <a:solidFill>
                <a:schemeClr val="tx1"/>
              </a:solidFill>
              <a:latin typeface="+mn-lt"/>
              <a:ea typeface="+mn-ea"/>
              <a:cs typeface="+mn-cs"/>
            </a:rPr>
            <a:t>does</a:t>
          </a:r>
          <a:r>
            <a:rPr lang="en-GB" sz="1100" baseline="0">
              <a:solidFill>
                <a:schemeClr val="tx1"/>
              </a:solidFill>
              <a:latin typeface="+mn-lt"/>
              <a:ea typeface="+mn-ea"/>
              <a:cs typeface="+mn-cs"/>
            </a:rPr>
            <a:t> have an associated link is output only if the link data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 is suppressed in its entirety unless at least one of the fields identified by $...$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text may contain HTML markup if you wish.</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special tag </a:t>
          </a:r>
          <a:r>
            <a:rPr lang="en-GB" sz="1100" i="0" u="sng" baseline="0">
              <a:solidFill>
                <a:schemeClr val="tx1"/>
              </a:solidFill>
              <a:latin typeface="+mn-lt"/>
              <a:ea typeface="+mn-ea"/>
              <a:cs typeface="+mn-cs"/>
            </a:rPr>
            <a:t>optional-header</a:t>
          </a:r>
          <a:r>
            <a:rPr lang="en-GB" sz="1100" baseline="0">
              <a:solidFill>
                <a:schemeClr val="tx1"/>
              </a:solidFill>
              <a:latin typeface="+mn-lt"/>
              <a:ea typeface="+mn-ea"/>
              <a:cs typeface="+mn-cs"/>
            </a:rPr>
            <a:t> introduces a header which is suppressed if no data follows it.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Each line is terminated with &lt;br&gt;, except for div's and optional-header.</a:t>
          </a:r>
          <a:endParaRPr lang="en-GB" sz="1100">
            <a:solidFill>
              <a:schemeClr val="tx1"/>
            </a:solidFill>
            <a:latin typeface="+mn-lt"/>
            <a:ea typeface="+mn-ea"/>
            <a:cs typeface="+mn-cs"/>
          </a:endParaRPr>
        </a:p>
      </xdr:txBody>
    </xdr:sp>
    <xdr:clientData/>
  </xdr:twoCellAnchor>
  <xdr:twoCellAnchor editAs="absolute">
    <xdr:from>
      <xdr:col>6</xdr:col>
      <xdr:colOff>533400</xdr:colOff>
      <xdr:row>6</xdr:row>
      <xdr:rowOff>114300</xdr:rowOff>
    </xdr:from>
    <xdr:to>
      <xdr:col>8</xdr:col>
      <xdr:colOff>2762250</xdr:colOff>
      <xdr:row>10</xdr:row>
      <xdr:rowOff>171450</xdr:rowOff>
    </xdr:to>
    <xdr:sp macro="" textlink="">
      <xdr:nvSpPr>
        <xdr:cNvPr id="12" name="TextBox 11"/>
        <xdr:cNvSpPr txBox="1"/>
      </xdr:nvSpPr>
      <xdr:spPr>
        <a:xfrm>
          <a:off x="12753975" y="5534025"/>
          <a:ext cx="4038600" cy="819150"/>
        </a:xfrm>
        <a:prstGeom prst="rect">
          <a:avLst/>
        </a:prstGeom>
        <a:solidFill>
          <a:schemeClr val="accent2">
            <a:lumMod val="60000"/>
            <a:lumOff val="4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You</a:t>
          </a:r>
          <a:r>
            <a:rPr lang="en-GB" sz="1100" baseline="0">
              <a:solidFill>
                <a:schemeClr val="tx1"/>
              </a:solidFill>
              <a:latin typeface="+mn-lt"/>
              <a:ea typeface="+mn-ea"/>
              <a:cs typeface="+mn-cs"/>
            </a:rPr>
            <a:t> use this box to associate items from the PopupDetails box with links.  In the example, we are saying that $Church$ should be linked to ChurchWebsite, and the fixed text 'Wikipedia page for church' should be associated with WikipediaPageForChurch.</a:t>
          </a:r>
          <a:endParaRPr lang="en-GB" sz="1100">
            <a:solidFill>
              <a:schemeClr val="tx1"/>
            </a:solidFill>
            <a:latin typeface="+mn-lt"/>
            <a:ea typeface="+mn-ea"/>
            <a:cs typeface="+mn-cs"/>
          </a:endParaRPr>
        </a:p>
      </xdr:txBody>
    </xdr:sp>
    <xdr:clientData/>
  </xdr:twoCellAnchor>
  <xdr:twoCellAnchor editAs="absolute">
    <xdr:from>
      <xdr:col>5</xdr:col>
      <xdr:colOff>257175</xdr:colOff>
      <xdr:row>2</xdr:row>
      <xdr:rowOff>2247900</xdr:rowOff>
    </xdr:from>
    <xdr:to>
      <xdr:col>6</xdr:col>
      <xdr:colOff>64008</xdr:colOff>
      <xdr:row>2</xdr:row>
      <xdr:rowOff>2732532</xdr:rowOff>
    </xdr:to>
    <xdr:sp macro="" textlink="">
      <xdr:nvSpPr>
        <xdr:cNvPr id="2" name="Right Arrow 1"/>
        <xdr:cNvSpPr/>
      </xdr:nvSpPr>
      <xdr:spPr>
        <a:xfrm>
          <a:off x="11306175" y="2867025"/>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6</xdr:col>
      <xdr:colOff>932688</xdr:colOff>
      <xdr:row>2</xdr:row>
      <xdr:rowOff>1047750</xdr:rowOff>
    </xdr:from>
    <xdr:to>
      <xdr:col>6</xdr:col>
      <xdr:colOff>1417320</xdr:colOff>
      <xdr:row>2</xdr:row>
      <xdr:rowOff>1560195</xdr:rowOff>
    </xdr:to>
    <xdr:sp macro="" textlink="">
      <xdr:nvSpPr>
        <xdr:cNvPr id="9" name="Right Arrow 8"/>
        <xdr:cNvSpPr/>
      </xdr:nvSpPr>
      <xdr:spPr>
        <a:xfrm rot="5400000">
          <a:off x="13139356" y="1680782"/>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5</xdr:col>
      <xdr:colOff>937831</xdr:colOff>
      <xdr:row>2</xdr:row>
      <xdr:rowOff>1280733</xdr:rowOff>
    </xdr:from>
    <xdr:to>
      <xdr:col>6</xdr:col>
      <xdr:colOff>278701</xdr:colOff>
      <xdr:row>2</xdr:row>
      <xdr:rowOff>1765365</xdr:rowOff>
    </xdr:to>
    <xdr:sp macro="" textlink="">
      <xdr:nvSpPr>
        <xdr:cNvPr id="13" name="Right Arrow 12"/>
        <xdr:cNvSpPr/>
      </xdr:nvSpPr>
      <xdr:spPr>
        <a:xfrm rot="1232847">
          <a:off x="11986831" y="1899858"/>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8</xdr:col>
      <xdr:colOff>228601</xdr:colOff>
      <xdr:row>4</xdr:row>
      <xdr:rowOff>19049</xdr:rowOff>
    </xdr:from>
    <xdr:to>
      <xdr:col>8</xdr:col>
      <xdr:colOff>713233</xdr:colOff>
      <xdr:row>6</xdr:row>
      <xdr:rowOff>150494</xdr:rowOff>
    </xdr:to>
    <xdr:sp macro="" textlink="">
      <xdr:nvSpPr>
        <xdr:cNvPr id="14" name="Right Arrow 13"/>
        <xdr:cNvSpPr/>
      </xdr:nvSpPr>
      <xdr:spPr>
        <a:xfrm rot="16200000">
          <a:off x="14245019" y="5071681"/>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2</xdr:col>
      <xdr:colOff>2886076</xdr:colOff>
      <xdr:row>0</xdr:row>
      <xdr:rowOff>228602</xdr:rowOff>
    </xdr:from>
    <xdr:to>
      <xdr:col>4</xdr:col>
      <xdr:colOff>206884</xdr:colOff>
      <xdr:row>2</xdr:row>
      <xdr:rowOff>94109</xdr:rowOff>
    </xdr:to>
    <xdr:sp macro="" textlink="">
      <xdr:nvSpPr>
        <xdr:cNvPr id="15" name="Right Arrow 14"/>
        <xdr:cNvSpPr/>
      </xdr:nvSpPr>
      <xdr:spPr>
        <a:xfrm rot="9634576">
          <a:off x="6781801" y="228602"/>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17" Type="http://schemas.openxmlformats.org/officeDocument/2006/relationships/hyperlink" Target="https://en.wikipedia.org/wiki/Clerkenwell" TargetMode="External"/><Relationship Id="rId299" Type="http://schemas.openxmlformats.org/officeDocument/2006/relationships/hyperlink" Target="https://www.google.co.uk/maps/search/?api=1&amp;query=51.507645,-0.023844205" TargetMode="External"/><Relationship Id="rId303" Type="http://schemas.openxmlformats.org/officeDocument/2006/relationships/hyperlink" Target="https://hackney.church/" TargetMode="External"/><Relationship Id="rId21" Type="http://schemas.openxmlformats.org/officeDocument/2006/relationships/hyperlink" Target="https://www.london.anglican.org/directory/st-mary-stoke-newington/" TargetMode="External"/><Relationship Id="rId42" Type="http://schemas.openxmlformats.org/officeDocument/2006/relationships/hyperlink" Target="https://www.london.anglican.org/directory/st-john-the-evangelist-upper-holloway/" TargetMode="External"/><Relationship Id="rId63" Type="http://schemas.openxmlformats.org/officeDocument/2006/relationships/hyperlink" Target="https://www.london.anglican.org/directory/st-barnabas-bethnal-green/" TargetMode="External"/><Relationship Id="rId84" Type="http://schemas.openxmlformats.org/officeDocument/2006/relationships/hyperlink" Target="https://en.wikipedia.org/wiki/Hoxton" TargetMode="External"/><Relationship Id="rId138" Type="http://schemas.openxmlformats.org/officeDocument/2006/relationships/hyperlink" Target="https://en.wikipedia.org/wiki/St_Matthias%27_Church,_Stoke_Newington" TargetMode="External"/><Relationship Id="rId159" Type="http://schemas.openxmlformats.org/officeDocument/2006/relationships/hyperlink" Target="https://www.crockford.org.uk/places/12738/the-benefice-of-hoxton-(st-anne)-(st-columba)" TargetMode="External"/><Relationship Id="rId324" Type="http://schemas.openxmlformats.org/officeDocument/2006/relationships/hyperlink" Target="http://www.christchurchhighbury.com/" TargetMode="External"/><Relationship Id="rId345" Type="http://schemas.openxmlformats.org/officeDocument/2006/relationships/hyperlink" Target="https://www.trinityislington.org/" TargetMode="External"/><Relationship Id="rId366" Type="http://schemas.openxmlformats.org/officeDocument/2006/relationships/hyperlink" Target="http://www.stpeterslondondocks.org.uk/" TargetMode="External"/><Relationship Id="rId170" Type="http://schemas.openxmlformats.org/officeDocument/2006/relationships/hyperlink" Target="https://www.crockford.org.uk/places/12504/the-benefice-of-brownswood-park-(st-john-the-evangelist)" TargetMode="External"/><Relationship Id="rId191" Type="http://schemas.openxmlformats.org/officeDocument/2006/relationships/hyperlink" Target="https://www.crockford.org.uk/places/12752/the-benefice-of-islington-(st-james-the-apostle)-(st-peter)" TargetMode="External"/><Relationship Id="rId205" Type="http://schemas.openxmlformats.org/officeDocument/2006/relationships/hyperlink" Target="https://www.crockford.org.uk/places/13008/the-benefice-of-spitalfields-(christ-church-with-all-saints)" TargetMode="External"/><Relationship Id="rId226" Type="http://schemas.openxmlformats.org/officeDocument/2006/relationships/hyperlink" Target="https://www.google.co.uk/maps/search/?api=1&amp;query=51.504806,0.112953" TargetMode="External"/><Relationship Id="rId247" Type="http://schemas.openxmlformats.org/officeDocument/2006/relationships/hyperlink" Target="https://www.google.co.uk/maps/search/?api=1&amp;query=51.540672,-0.064067" TargetMode="External"/><Relationship Id="rId107" Type="http://schemas.openxmlformats.org/officeDocument/2006/relationships/hyperlink" Target="https://en.wikipedia.org/wiki/Clerkenwell" TargetMode="External"/><Relationship Id="rId268" Type="http://schemas.openxmlformats.org/officeDocument/2006/relationships/hyperlink" Target="https://www.google.co.uk/maps/search/?api=1&amp;query=51.565186,-0.115699" TargetMode="External"/><Relationship Id="rId289" Type="http://schemas.openxmlformats.org/officeDocument/2006/relationships/hyperlink" Target="https://www.google.co.uk/maps/search/?api=1&amp;query=51.511173,-0.05064" TargetMode="External"/><Relationship Id="rId11" Type="http://schemas.openxmlformats.org/officeDocument/2006/relationships/hyperlink" Target="https://www.london.anglican.org/directory/st-barnabas-homerton-hackney-marsh-team-ministry/" TargetMode="External"/><Relationship Id="rId32" Type="http://schemas.openxmlformats.org/officeDocument/2006/relationships/hyperlink" Target="https://www.london.anglican.org/directory/emmanuel-hornsey-road/" TargetMode="External"/><Relationship Id="rId53" Type="http://schemas.openxmlformats.org/officeDocument/2006/relationships/hyperlink" Target="https://www.london.anglican.org/directory/the-church-on-the-corner-the-barnsbury-team/" TargetMode="External"/><Relationship Id="rId74" Type="http://schemas.openxmlformats.org/officeDocument/2006/relationships/hyperlink" Target="https://www.london.anglican.org/directory/st-paul-bow-common/" TargetMode="External"/><Relationship Id="rId128" Type="http://schemas.openxmlformats.org/officeDocument/2006/relationships/hyperlink" Target="https://en.wikipedia.org/wiki/St_George_in_the_East_(parish)" TargetMode="External"/><Relationship Id="rId149" Type="http://schemas.openxmlformats.org/officeDocument/2006/relationships/hyperlink" Target="https://en.wikipedia.org/wiki/St_George_in_the_East,_Stepney" TargetMode="External"/><Relationship Id="rId314" Type="http://schemas.openxmlformats.org/officeDocument/2006/relationships/hyperlink" Target="http://www.stmaryofeton.org.uk/" TargetMode="External"/><Relationship Id="rId335" Type="http://schemas.openxmlformats.org/officeDocument/2006/relationships/hyperlink" Target="http://www.sjsp.org.uk/" TargetMode="External"/><Relationship Id="rId356" Type="http://schemas.openxmlformats.org/officeDocument/2006/relationships/hyperlink" Target="https://www.stjohnonbethnalgreen.org/" TargetMode="External"/><Relationship Id="rId5" Type="http://schemas.openxmlformats.org/officeDocument/2006/relationships/hyperlink" Target="https://www.london.anglican.org/directory/grace-church-hackney/" TargetMode="External"/><Relationship Id="rId95" Type="http://schemas.openxmlformats.org/officeDocument/2006/relationships/hyperlink" Target="https://en.wikipedia.org/wiki/South_Hackney" TargetMode="External"/><Relationship Id="rId160" Type="http://schemas.openxmlformats.org/officeDocument/2006/relationships/hyperlink" Target="https://www.crockford.org.uk/places/12544/the-benefice-of-dalston-(holy-trinity)-with-st-philip-and-haggerston-all-saints" TargetMode="External"/><Relationship Id="rId181" Type="http://schemas.openxmlformats.org/officeDocument/2006/relationships/hyperlink" Target="https://www.crockford.org.uk/places/12547/the-benefice-of-de-beauvoir-town-(st-peter)" TargetMode="External"/><Relationship Id="rId216" Type="http://schemas.openxmlformats.org/officeDocument/2006/relationships/hyperlink" Target="https://www.crockford.org.uk/places/12886/the-benefice-of-old-ford-(st-paul)-(st-mark)" TargetMode="External"/><Relationship Id="rId237" Type="http://schemas.openxmlformats.org/officeDocument/2006/relationships/hyperlink" Target="https://www.google.co.uk/maps/search/?api=1&amp;query=51.549911,-0.061197" TargetMode="External"/><Relationship Id="rId258" Type="http://schemas.openxmlformats.org/officeDocument/2006/relationships/hyperlink" Target="https://www.google.co.uk/maps/search/?api=1&amp;query=51.569478,-0.135682" TargetMode="External"/><Relationship Id="rId279" Type="http://schemas.openxmlformats.org/officeDocument/2006/relationships/hyperlink" Target="https://www.google.co.uk/maps/search/?api=1&amp;query=51.489075,-0.006311" TargetMode="External"/><Relationship Id="rId22" Type="http://schemas.openxmlformats.org/officeDocument/2006/relationships/hyperlink" Target="https://www.london.anglican.org/directory/st-matthew-upper-clapton/" TargetMode="External"/><Relationship Id="rId43" Type="http://schemas.openxmlformats.org/officeDocument/2006/relationships/hyperlink" Target="https://www.london.anglican.org/directory/st-jude-and-st-paul-mildmay-grove/" TargetMode="External"/><Relationship Id="rId64" Type="http://schemas.openxmlformats.org/officeDocument/2006/relationships/hyperlink" Target="https://www.london.anglican.org/directory/st-dunstan-all-saints-stepney/" TargetMode="External"/><Relationship Id="rId118" Type="http://schemas.openxmlformats.org/officeDocument/2006/relationships/hyperlink" Target="https://en.wikipedia.org/wiki/Bromley-by-Bow" TargetMode="External"/><Relationship Id="rId139" Type="http://schemas.openxmlformats.org/officeDocument/2006/relationships/hyperlink" Target="https://en.wikipedia.org/wiki/Christ_Church_Highbury" TargetMode="External"/><Relationship Id="rId290" Type="http://schemas.openxmlformats.org/officeDocument/2006/relationships/hyperlink" Target="https://www.google.co.uk/maps/search/?api=1&amp;query=51.525101,-0.067163" TargetMode="External"/><Relationship Id="rId304" Type="http://schemas.openxmlformats.org/officeDocument/2006/relationships/hyperlink" Target="http://www.standrewsn16.org/" TargetMode="External"/><Relationship Id="rId325" Type="http://schemas.openxmlformats.org/officeDocument/2006/relationships/hyperlink" Target="http://www.hopechurchislington.org/" TargetMode="External"/><Relationship Id="rId346" Type="http://schemas.openxmlformats.org/officeDocument/2006/relationships/hyperlink" Target="http://www.allhallowsbow.org.uk/" TargetMode="External"/><Relationship Id="rId367" Type="http://schemas.openxmlformats.org/officeDocument/2006/relationships/hyperlink" Target="https://www.stpetersbarge.org/" TargetMode="External"/><Relationship Id="rId85" Type="http://schemas.openxmlformats.org/officeDocument/2006/relationships/hyperlink" Target="https://en.wikipedia.org/wiki/Stamford_Hill" TargetMode="External"/><Relationship Id="rId150" Type="http://schemas.openxmlformats.org/officeDocument/2006/relationships/hyperlink" Target="https://en.wikipedia.org/wiki/St_James-the-Less,_Bethnal_Green" TargetMode="External"/><Relationship Id="rId171" Type="http://schemas.openxmlformats.org/officeDocument/2006/relationships/hyperlink" Target="https://www.crockford.org.uk/places/12977/the-benefice-of-shoreditch-(st-leonard)-with-st-michael" TargetMode="External"/><Relationship Id="rId192" Type="http://schemas.openxmlformats.org/officeDocument/2006/relationships/hyperlink" Target="https://www.crockford.org.uk/places/13074/the-benefice-of-holloway,-upper-(st-john-the-evangelist)" TargetMode="External"/><Relationship Id="rId206" Type="http://schemas.openxmlformats.org/officeDocument/2006/relationships/hyperlink" Target="https://www.crockford.org.uk/places/12794/the-benefice-of-limehouse-(st-anne)-(st-peter)" TargetMode="External"/><Relationship Id="rId227" Type="http://schemas.openxmlformats.org/officeDocument/2006/relationships/hyperlink" Target="https://www.google.co.uk/maps/search/?api=1&amp;query=51.533785,-0.082290279" TargetMode="External"/><Relationship Id="rId248" Type="http://schemas.openxmlformats.org/officeDocument/2006/relationships/hyperlink" Target="https://www.google.co.uk/maps/search/?api=1&amp;query=51.562711,-0.066117" TargetMode="External"/><Relationship Id="rId269" Type="http://schemas.openxmlformats.org/officeDocument/2006/relationships/hyperlink" Target="https://www.google.co.uk/maps/search/?api=1&amp;query=51.571335,-0.122738" TargetMode="External"/><Relationship Id="rId12" Type="http://schemas.openxmlformats.org/officeDocument/2006/relationships/hyperlink" Target="https://www.london.anglican.org/directory/st-bartholomew-stamford-hill/" TargetMode="External"/><Relationship Id="rId33" Type="http://schemas.openxmlformats.org/officeDocument/2006/relationships/hyperlink" Target="https://www.london.anglican.org/directory/hope-church-islington/" TargetMode="External"/><Relationship Id="rId108" Type="http://schemas.openxmlformats.org/officeDocument/2006/relationships/hyperlink" Target="https://en.wikipedia.org/wiki/Islington" TargetMode="External"/><Relationship Id="rId129" Type="http://schemas.openxmlformats.org/officeDocument/2006/relationships/hyperlink" Target="https://en.wikipedia.org/wiki/Bethnal_Green" TargetMode="External"/><Relationship Id="rId280" Type="http://schemas.openxmlformats.org/officeDocument/2006/relationships/hyperlink" Target="https://www.google.co.uk/maps/search/?api=1&amp;query=51.519104,-0.074071" TargetMode="External"/><Relationship Id="rId315" Type="http://schemas.openxmlformats.org/officeDocument/2006/relationships/hyperlink" Target="https://www.stmaryn16.org/" TargetMode="External"/><Relationship Id="rId336" Type="http://schemas.openxmlformats.org/officeDocument/2006/relationships/hyperlink" Target="http://www.saintlukeschurch.org.uk/" TargetMode="External"/><Relationship Id="rId357" Type="http://schemas.openxmlformats.org/officeDocument/2006/relationships/hyperlink" Target="http://stlukesmillwall.org/" TargetMode="External"/><Relationship Id="rId54" Type="http://schemas.openxmlformats.org/officeDocument/2006/relationships/hyperlink" Target="https://www.london.anglican.org/directory/trinity-church-islington/" TargetMode="External"/><Relationship Id="rId75" Type="http://schemas.openxmlformats.org/officeDocument/2006/relationships/hyperlink" Target="https://www.london.anglican.org/directory/st-paul-shadwell/" TargetMode="External"/><Relationship Id="rId96" Type="http://schemas.openxmlformats.org/officeDocument/2006/relationships/hyperlink" Target="https://en.wikipedia.org/wiki/Stoke_Newington_Common" TargetMode="External"/><Relationship Id="rId140" Type="http://schemas.openxmlformats.org/officeDocument/2006/relationships/hyperlink" Target="https://en.wikipedia.org/wiki/Our_Most_Holy_Redeemer" TargetMode="External"/><Relationship Id="rId161" Type="http://schemas.openxmlformats.org/officeDocument/2006/relationships/hyperlink" Target="https://www.crockford.org.uk/places/12735/the-benefice-of-hoxton-(holy-trinity)-(st-mary)" TargetMode="External"/><Relationship Id="rId182" Type="http://schemas.openxmlformats.org/officeDocument/2006/relationships/hyperlink" Target="https://www.crockford.org.uk/places/13020/the-benefice-of-stamford-hill-(st-thomas)" TargetMode="External"/><Relationship Id="rId217" Type="http://schemas.openxmlformats.org/officeDocument/2006/relationships/hyperlink" Target="https://www.crockford.org.uk/places/12489/the-benefice-of-bow-common-(st-paul)" TargetMode="External"/><Relationship Id="rId6" Type="http://schemas.openxmlformats.org/officeDocument/2006/relationships/hyperlink" Target="https://www.london.anglican.org/directory/holy-trinity-dalston/" TargetMode="External"/><Relationship Id="rId238" Type="http://schemas.openxmlformats.org/officeDocument/2006/relationships/hyperlink" Target="https://www.google.co.uk/maps/search/?api=1&amp;query=51.540365,-0.046082" TargetMode="External"/><Relationship Id="rId259" Type="http://schemas.openxmlformats.org/officeDocument/2006/relationships/hyperlink" Target="https://www.google.co.uk/maps/search/?api=1&amp;query=51.554687,-0.092225" TargetMode="External"/><Relationship Id="rId23" Type="http://schemas.openxmlformats.org/officeDocument/2006/relationships/hyperlink" Target="https://www.london.anglican.org/directory/st-matthias-stoke-newington/" TargetMode="External"/><Relationship Id="rId119" Type="http://schemas.openxmlformats.org/officeDocument/2006/relationships/hyperlink" Target="https://en.wikipedia.org/wiki/Isle_of_Dogs" TargetMode="External"/><Relationship Id="rId270" Type="http://schemas.openxmlformats.org/officeDocument/2006/relationships/hyperlink" Target="https://www.google.co.uk/maps/search/?api=1&amp;query=51.538358,-0.101831" TargetMode="External"/><Relationship Id="rId291" Type="http://schemas.openxmlformats.org/officeDocument/2006/relationships/hyperlink" Target="https://www.google.co.uk/maps/search/?api=1&amp;query=51.53262,-0.03081" TargetMode="External"/><Relationship Id="rId305" Type="http://schemas.openxmlformats.org/officeDocument/2006/relationships/hyperlink" Target="http://www.hoxtonchurch.org.uk/" TargetMode="External"/><Relationship Id="rId326" Type="http://schemas.openxmlformats.org/officeDocument/2006/relationships/hyperlink" Target="http://www.holyredeemerclerkenwell.com/" TargetMode="External"/><Relationship Id="rId347" Type="http://schemas.openxmlformats.org/officeDocument/2006/relationships/hyperlink" Target="http://www.parishofpoplar.org/" TargetMode="External"/><Relationship Id="rId44" Type="http://schemas.openxmlformats.org/officeDocument/2006/relationships/hyperlink" Target="https://www.london.anglican.org/directory/st-luke-west-holloway/" TargetMode="External"/><Relationship Id="rId65" Type="http://schemas.openxmlformats.org/officeDocument/2006/relationships/hyperlink" Target="https://www.london.anglican.org/directory/st-george-in-the-east/" TargetMode="External"/><Relationship Id="rId86" Type="http://schemas.openxmlformats.org/officeDocument/2006/relationships/hyperlink" Target="https://en.wikipedia.org/wiki/Haggerston" TargetMode="External"/><Relationship Id="rId130" Type="http://schemas.openxmlformats.org/officeDocument/2006/relationships/hyperlink" Target="https://en.wikipedia.org/wiki/Old_Ford" TargetMode="External"/><Relationship Id="rId151" Type="http://schemas.openxmlformats.org/officeDocument/2006/relationships/hyperlink" Target="https://en.wikipedia.org/wiki/St_John_on_Bethnal_Green" TargetMode="External"/><Relationship Id="rId368" Type="http://schemas.openxmlformats.org/officeDocument/2006/relationships/hyperlink" Target="https://en.wikipedia.org/wiki/Dalston" TargetMode="External"/><Relationship Id="rId172" Type="http://schemas.openxmlformats.org/officeDocument/2006/relationships/hyperlink" Target="https://www.crockford.org.uk/places/12545/the-benefice-of-dalston-(st-mark-with-st-bartholomew)" TargetMode="External"/><Relationship Id="rId193" Type="http://schemas.openxmlformats.org/officeDocument/2006/relationships/hyperlink" Target="https://www.crockford.org.uk/places/12834/the-benefice-of-mildmay-grove-(st-jude-and-st-paul)" TargetMode="External"/><Relationship Id="rId207" Type="http://schemas.openxmlformats.org/officeDocument/2006/relationships/hyperlink" Target="https://www.crockford.org.uk/places/12472/the-benefice-of-bethnal-green-(st-barnabas)" TargetMode="External"/><Relationship Id="rId228" Type="http://schemas.openxmlformats.org/officeDocument/2006/relationships/hyperlink" Target="https://www.google.co.uk/maps/search/?api=1&amp;query=51.544907,-0.073299" TargetMode="External"/><Relationship Id="rId249" Type="http://schemas.openxmlformats.org/officeDocument/2006/relationships/hyperlink" Target="https://www.google.co.uk/maps/search/?api=1&amp;query=51.571391,-0.092576" TargetMode="External"/><Relationship Id="rId13" Type="http://schemas.openxmlformats.org/officeDocument/2006/relationships/hyperlink" Target="https://www.london.anglican.org/directory/st-chad-haggerston/" TargetMode="External"/><Relationship Id="rId109" Type="http://schemas.openxmlformats.org/officeDocument/2006/relationships/hyperlink" Target="https://en.wikipedia.org/wiki/Upper_Holloway" TargetMode="External"/><Relationship Id="rId260" Type="http://schemas.openxmlformats.org/officeDocument/2006/relationships/hyperlink" Target="https://www.google.co.uk/maps/search/?api=1&amp;query=51.527725,-0.097732" TargetMode="External"/><Relationship Id="rId281" Type="http://schemas.openxmlformats.org/officeDocument/2006/relationships/hyperlink" Target="https://www.google.co.uk/maps/search/?api=1&amp;query=51.512027,-0.031135" TargetMode="External"/><Relationship Id="rId316" Type="http://schemas.openxmlformats.org/officeDocument/2006/relationships/hyperlink" Target="https://stmatthewse5.wordpress.com/" TargetMode="External"/><Relationship Id="rId337" Type="http://schemas.openxmlformats.org/officeDocument/2006/relationships/hyperlink" Target="https://www.stmarks-clerkenwell.co.uk/" TargetMode="External"/><Relationship Id="rId34" Type="http://schemas.openxmlformats.org/officeDocument/2006/relationships/hyperlink" Target="https://www.london.anglican.org/directory/our-most-holy-redeemer-clerkenwell/" TargetMode="External"/><Relationship Id="rId55" Type="http://schemas.openxmlformats.org/officeDocument/2006/relationships/hyperlink" Target="https://www.london.anglican.org/directory/all-hallows-bromley-by-bow/" TargetMode="External"/><Relationship Id="rId76" Type="http://schemas.openxmlformats.org/officeDocument/2006/relationships/hyperlink" Target="https://www.london.anglican.org/directory/st-peter-bethnal-green/" TargetMode="External"/><Relationship Id="rId97" Type="http://schemas.openxmlformats.org/officeDocument/2006/relationships/hyperlink" Target="https://en.wikipedia.org/wiki/Stoke_Newington" TargetMode="External"/><Relationship Id="rId120" Type="http://schemas.openxmlformats.org/officeDocument/2006/relationships/hyperlink" Target="https://en.wikipedia.org/wiki/Spitalfields" TargetMode="External"/><Relationship Id="rId141" Type="http://schemas.openxmlformats.org/officeDocument/2006/relationships/hyperlink" Target="https://en.wikipedia.org/wiki/St_Clement%27s,_King_Square" TargetMode="External"/><Relationship Id="rId358" Type="http://schemas.openxmlformats.org/officeDocument/2006/relationships/hyperlink" Target="https://www.bowchurch.org.uk/" TargetMode="External"/><Relationship Id="rId7" Type="http://schemas.openxmlformats.org/officeDocument/2006/relationships/hyperlink" Target="https://www.london.anglican.org/directory/holy-trinity-hoxton/" TargetMode="External"/><Relationship Id="rId162" Type="http://schemas.openxmlformats.org/officeDocument/2006/relationships/hyperlink" Target="https://www.crockford.org.uk/places/13028/the-benefice-of-stoke-newington-(st-andrew)" TargetMode="External"/><Relationship Id="rId183" Type="http://schemas.openxmlformats.org/officeDocument/2006/relationships/hyperlink" Target="https://www.crockford.org.uk/places/12696/the-benefice-of-highbury-(christ-church)-(st-john)-(st-saviour)" TargetMode="External"/><Relationship Id="rId218" Type="http://schemas.openxmlformats.org/officeDocument/2006/relationships/hyperlink" Target="https://www.crockford.org.uk/places/12969/the-benefice-of-shadwell-(st-paul)-with-ratcliffe-st-james" TargetMode="External"/><Relationship Id="rId239" Type="http://schemas.openxmlformats.org/officeDocument/2006/relationships/hyperlink" Target="https://www.google.co.uk/maps/search/?api=1&amp;query=51.53046,-0.083416" TargetMode="External"/><Relationship Id="rId250" Type="http://schemas.openxmlformats.org/officeDocument/2006/relationships/hyperlink" Target="https://www.google.co.uk/maps/search/?api=1&amp;query=51.556929,-0.074008" TargetMode="External"/><Relationship Id="rId271" Type="http://schemas.openxmlformats.org/officeDocument/2006/relationships/hyperlink" Target="https://www.google.co.uk/maps/search/?api=1&amp;query=51.533362,-0.111962" TargetMode="External"/><Relationship Id="rId292" Type="http://schemas.openxmlformats.org/officeDocument/2006/relationships/hyperlink" Target="https://www.google.co.uk/maps/search/?api=1&amp;query=51.517783,-0.029182" TargetMode="External"/><Relationship Id="rId306" Type="http://schemas.openxmlformats.org/officeDocument/2006/relationships/hyperlink" Target="https://saintbarnabasdalston.org.uk/" TargetMode="External"/><Relationship Id="rId24" Type="http://schemas.openxmlformats.org/officeDocument/2006/relationships/hyperlink" Target="https://www.london.anglican.org/directory/st-michael-all-angels-london-fields/" TargetMode="External"/><Relationship Id="rId45" Type="http://schemas.openxmlformats.org/officeDocument/2006/relationships/hyperlink" Target="https://www.london.anglican.org/directory/st-mark-clerkenwell/" TargetMode="External"/><Relationship Id="rId66" Type="http://schemas.openxmlformats.org/officeDocument/2006/relationships/hyperlink" Target="https://www.london.anglican.org/directory/st-james-the-less-bethnal-green/" TargetMode="External"/><Relationship Id="rId87" Type="http://schemas.openxmlformats.org/officeDocument/2006/relationships/hyperlink" Target="https://en.wikipedia.org/wiki/Upper_Clapton" TargetMode="External"/><Relationship Id="rId110" Type="http://schemas.openxmlformats.org/officeDocument/2006/relationships/hyperlink" Target="https://en.wikipedia.org/wiki/Tollington_(ward)" TargetMode="External"/><Relationship Id="rId131" Type="http://schemas.openxmlformats.org/officeDocument/2006/relationships/hyperlink" Target="https://en.wikipedia.org/wiki/Bow_Common" TargetMode="External"/><Relationship Id="rId327" Type="http://schemas.openxmlformats.org/officeDocument/2006/relationships/hyperlink" Target="https://www.standrewsislington.com/" TargetMode="External"/><Relationship Id="rId348" Type="http://schemas.openxmlformats.org/officeDocument/2006/relationships/hyperlink" Target="http://www.parishiod.org.uk/" TargetMode="External"/><Relationship Id="rId369" Type="http://schemas.openxmlformats.org/officeDocument/2006/relationships/hyperlink" Target="https://www.crockford.org.uk/places/12544/the-benefice-of-dalston-(holy-trinity)-with-st-philip-and-haggerston-all-saints" TargetMode="External"/><Relationship Id="rId152" Type="http://schemas.openxmlformats.org/officeDocument/2006/relationships/hyperlink" Target="https://en.wikipedia.org/wiki/Bow_Church" TargetMode="External"/><Relationship Id="rId173" Type="http://schemas.openxmlformats.org/officeDocument/2006/relationships/hyperlink" Target="https://www.crockford.org.uk/places/12628/the-benefice-of-hackney-wick-(st-mary-of-eton)" TargetMode="External"/><Relationship Id="rId194" Type="http://schemas.openxmlformats.org/officeDocument/2006/relationships/hyperlink" Target="https://www.crockford.org.uk/places/13108/the-benefice-of-holloway,-west-(st-luke)" TargetMode="External"/><Relationship Id="rId208" Type="http://schemas.openxmlformats.org/officeDocument/2006/relationships/hyperlink" Target="https://www.crockford.org.uk/places/13024/the-benefice-of-stepney-(st-dunstan-and-all-saints)" TargetMode="External"/><Relationship Id="rId229" Type="http://schemas.openxmlformats.org/officeDocument/2006/relationships/hyperlink" Target="https://www.google.co.uk/maps/search/?api=1&amp;query=51.531055,-0.091797" TargetMode="External"/><Relationship Id="rId240" Type="http://schemas.openxmlformats.org/officeDocument/2006/relationships/hyperlink" Target="https://www.google.co.uk/maps/search/?api=1&amp;query=51.565583,-0.10072" TargetMode="External"/><Relationship Id="rId261" Type="http://schemas.openxmlformats.org/officeDocument/2006/relationships/hyperlink" Target="https://www.google.co.uk/maps/search/?api=1&amp;query=51.556822,-0.126171" TargetMode="External"/><Relationship Id="rId14" Type="http://schemas.openxmlformats.org/officeDocument/2006/relationships/hyperlink" Target="https://www.london.anglican.org/directory/st-james-clapton/" TargetMode="External"/><Relationship Id="rId35" Type="http://schemas.openxmlformats.org/officeDocument/2006/relationships/hyperlink" Target="https://www.london.anglican.org/directory/st-andrew-thornhill-square-the-barnsbury-team/" TargetMode="External"/><Relationship Id="rId56" Type="http://schemas.openxmlformats.org/officeDocument/2006/relationships/hyperlink" Target="https://www.london.anglican.org/directory/all-saints-poplar-poplar-team-ministry/" TargetMode="External"/><Relationship Id="rId77" Type="http://schemas.openxmlformats.org/officeDocument/2006/relationships/hyperlink" Target="https://www.london.anglican.org/directory/st-peter-london-docks/" TargetMode="External"/><Relationship Id="rId100" Type="http://schemas.openxmlformats.org/officeDocument/2006/relationships/hyperlink" Target="https://en.wikipedia.org/wiki/Stamford_Hill" TargetMode="External"/><Relationship Id="rId282" Type="http://schemas.openxmlformats.org/officeDocument/2006/relationships/hyperlink" Target="https://www.google.co.uk/maps/search/?api=1&amp;query=51.531134,-0.039997" TargetMode="External"/><Relationship Id="rId317" Type="http://schemas.openxmlformats.org/officeDocument/2006/relationships/hyperlink" Target="https://www.stmchurch.co.uk/" TargetMode="External"/><Relationship Id="rId338" Type="http://schemas.openxmlformats.org/officeDocument/2006/relationships/hyperlink" Target="https://www.tollingtonparish.org.uk/" TargetMode="External"/><Relationship Id="rId359" Type="http://schemas.openxmlformats.org/officeDocument/2006/relationships/hyperlink" Target="http://stmaryscablest.blogspot.com/" TargetMode="External"/><Relationship Id="rId8" Type="http://schemas.openxmlformats.org/officeDocument/2006/relationships/hyperlink" Target="https://www.london.anglican.org/directory/st-andrew-stoke-newington/" TargetMode="External"/><Relationship Id="rId98" Type="http://schemas.openxmlformats.org/officeDocument/2006/relationships/hyperlink" Target="https://en.wikipedia.org/wiki/West_Hackney" TargetMode="External"/><Relationship Id="rId121" Type="http://schemas.openxmlformats.org/officeDocument/2006/relationships/hyperlink" Target="https://en.wikipedia.org/wiki/Limehouse" TargetMode="External"/><Relationship Id="rId142" Type="http://schemas.openxmlformats.org/officeDocument/2006/relationships/hyperlink" Target="https://en.wikipedia.org/wiki/St_Mark%27s_Church,_Myddelton_Square" TargetMode="External"/><Relationship Id="rId163" Type="http://schemas.openxmlformats.org/officeDocument/2006/relationships/hyperlink" Target="https://www.crockford.org.uk/places/12738/the-benefice-of-hoxton-(st-anne)-(st-columba)" TargetMode="External"/><Relationship Id="rId184" Type="http://schemas.openxmlformats.org/officeDocument/2006/relationships/hyperlink" Target="https://www.crockford.org.uk/places/13044/the-benefice-of-tollington-(st-mark)" TargetMode="External"/><Relationship Id="rId219" Type="http://schemas.openxmlformats.org/officeDocument/2006/relationships/hyperlink" Target="https://www.crockford.org.uk/places/12482/the-benefice-of-bethnal-green-(st-peter)-(st-thomas)" TargetMode="External"/><Relationship Id="rId370" Type="http://schemas.openxmlformats.org/officeDocument/2006/relationships/hyperlink" Target="https://www.kxc.org.uk/" TargetMode="External"/><Relationship Id="rId230" Type="http://schemas.openxmlformats.org/officeDocument/2006/relationships/hyperlink" Target="https://www.google.co.uk/maps/search/?api=1&amp;query=51.549724,-0.061133" TargetMode="External"/><Relationship Id="rId251" Type="http://schemas.openxmlformats.org/officeDocument/2006/relationships/hyperlink" Target="https://www.google.co.uk/maps/search/?api=1&amp;query=51.54085,-0.080358" TargetMode="External"/><Relationship Id="rId25" Type="http://schemas.openxmlformats.org/officeDocument/2006/relationships/hyperlink" Target="https://www.london.anglican.org/directory/st-michael-all-angels-stoke-newington-common/" TargetMode="External"/><Relationship Id="rId46" Type="http://schemas.openxmlformats.org/officeDocument/2006/relationships/hyperlink" Target="https://www.london.anglican.org/directory/the-parish-of-tollington-st-mark-emmanuel-st-saviour/" TargetMode="External"/><Relationship Id="rId67" Type="http://schemas.openxmlformats.org/officeDocument/2006/relationships/hyperlink" Target="https://www.london.anglican.org/directory/st-john-on-bethnal-green/" TargetMode="External"/><Relationship Id="rId272" Type="http://schemas.openxmlformats.org/officeDocument/2006/relationships/hyperlink" Target="https://www.google.co.uk/maps/search/?api=1&amp;query=51.540907,-0.097067" TargetMode="External"/><Relationship Id="rId293" Type="http://schemas.openxmlformats.org/officeDocument/2006/relationships/hyperlink" Target="https://www.google.co.uk/maps/search/?api=1&amp;query=51.509422,-0.052067" TargetMode="External"/><Relationship Id="rId307" Type="http://schemas.openxmlformats.org/officeDocument/2006/relationships/hyperlink" Target="https://www.holybart.com/" TargetMode="External"/><Relationship Id="rId328" Type="http://schemas.openxmlformats.org/officeDocument/2006/relationships/hyperlink" Target="http://www.standrewsn19.org/" TargetMode="External"/><Relationship Id="rId349" Type="http://schemas.openxmlformats.org/officeDocument/2006/relationships/hyperlink" Target="https://www.parishiod.org.uk/" TargetMode="External"/><Relationship Id="rId88" Type="http://schemas.openxmlformats.org/officeDocument/2006/relationships/hyperlink" Target="https://en.wikipedia.org/wiki/South_Hackney" TargetMode="External"/><Relationship Id="rId111" Type="http://schemas.openxmlformats.org/officeDocument/2006/relationships/hyperlink" Target="https://en.wikipedia.org/wiki/Hornsey" TargetMode="External"/><Relationship Id="rId132" Type="http://schemas.openxmlformats.org/officeDocument/2006/relationships/hyperlink" Target="https://en.wikipedia.org/wiki/Shadwell" TargetMode="External"/><Relationship Id="rId153" Type="http://schemas.openxmlformats.org/officeDocument/2006/relationships/hyperlink" Target="https://en.wikipedia.org/wiki/St_Matthew%27s,_Bethnal_Green" TargetMode="External"/><Relationship Id="rId174" Type="http://schemas.openxmlformats.org/officeDocument/2006/relationships/hyperlink" Target="https://www.crockford.org.uk/places/13030/the-benefice-of-stoke-newington-(st-mary)-(old-parish-church)" TargetMode="External"/><Relationship Id="rId195" Type="http://schemas.openxmlformats.org/officeDocument/2006/relationships/hyperlink" Target="https://www.crockford.org.uk/places/13044/the-benefice-of-tollington-(st-mark)" TargetMode="External"/><Relationship Id="rId209" Type="http://schemas.openxmlformats.org/officeDocument/2006/relationships/hyperlink" Target="https://www.crockford.org.uk/places/12946/the-benefice-of-st-george-in-the-east-with-st-paul" TargetMode="External"/><Relationship Id="rId360" Type="http://schemas.openxmlformats.org/officeDocument/2006/relationships/hyperlink" Target="https://www.st-matthews.co.uk/" TargetMode="External"/><Relationship Id="rId220" Type="http://schemas.openxmlformats.org/officeDocument/2006/relationships/hyperlink" Target="https://www.crockford.org.uk/places/12828/the-benefice-of-london-docks-(st-peter)-with-wapping-st-john" TargetMode="External"/><Relationship Id="rId241" Type="http://schemas.openxmlformats.org/officeDocument/2006/relationships/hyperlink" Target="https://www.google.co.uk/maps/search/?api=1&amp;query=51.526761,-0.077228" TargetMode="External"/><Relationship Id="rId15" Type="http://schemas.openxmlformats.org/officeDocument/2006/relationships/hyperlink" Target="https://www.london.anglican.org/directory/st-john-of-jerusalem-south-hackney/" TargetMode="External"/><Relationship Id="rId36" Type="http://schemas.openxmlformats.org/officeDocument/2006/relationships/hyperlink" Target="https://www.london.anglican.org/directory/st-andrew-whitehall-park/" TargetMode="External"/><Relationship Id="rId57" Type="http://schemas.openxmlformats.org/officeDocument/2006/relationships/hyperlink" Target="https://www.london.anglican.org/directory/christ-church-and-st-john-w-st-luke-isle-of-dogs/" TargetMode="External"/><Relationship Id="rId262" Type="http://schemas.openxmlformats.org/officeDocument/2006/relationships/hyperlink" Target="https://www.google.co.uk/maps/search/?api=1&amp;query=51.523574,-0.105679" TargetMode="External"/><Relationship Id="rId283" Type="http://schemas.openxmlformats.org/officeDocument/2006/relationships/hyperlink" Target="https://www.google.co.uk/maps/search/?api=1&amp;query=51.516798,-0.041729" TargetMode="External"/><Relationship Id="rId318" Type="http://schemas.openxmlformats.org/officeDocument/2006/relationships/hyperlink" Target="https://www.stmichaelslondonfields.org.uk/" TargetMode="External"/><Relationship Id="rId339" Type="http://schemas.openxmlformats.org/officeDocument/2006/relationships/hyperlink" Target="http://www.stmaryshornseyrise.org.uk/" TargetMode="External"/><Relationship Id="rId10" Type="http://schemas.openxmlformats.org/officeDocument/2006/relationships/hyperlink" Target="https://www.london.anglican.org/directory/st-barnabas-dalston/" TargetMode="External"/><Relationship Id="rId31" Type="http://schemas.openxmlformats.org/officeDocument/2006/relationships/hyperlink" Target="https://www.london.anglican.org/directory/christ-church-highbury/" TargetMode="External"/><Relationship Id="rId52" Type="http://schemas.openxmlformats.org/officeDocument/2006/relationships/hyperlink" Target="https://www.london.anglican.org/directory/st-thomas-finsbury-park/" TargetMode="External"/><Relationship Id="rId73" Type="http://schemas.openxmlformats.org/officeDocument/2006/relationships/hyperlink" Target="https://www.london.anglican.org/directory/st-paul-and-st-mark-old-ford/" TargetMode="External"/><Relationship Id="rId78" Type="http://schemas.openxmlformats.org/officeDocument/2006/relationships/hyperlink" Target="=IFERROR(VLOOKUP($C50,%20DataFromWikipedia!A:T,%2017,%20FALSE),%20%22%22)" TargetMode="External"/><Relationship Id="rId94" Type="http://schemas.openxmlformats.org/officeDocument/2006/relationships/hyperlink" Target="https://en.wikipedia.org/wiki/Upper_Clapton" TargetMode="External"/><Relationship Id="rId99" Type="http://schemas.openxmlformats.org/officeDocument/2006/relationships/hyperlink" Target="https://en.wikipedia.org/wiki/De_Beauvoir_Town" TargetMode="External"/><Relationship Id="rId101" Type="http://schemas.openxmlformats.org/officeDocument/2006/relationships/hyperlink" Target="https://en.wikipedia.org/wiki/Highbury" TargetMode="External"/><Relationship Id="rId122" Type="http://schemas.openxmlformats.org/officeDocument/2006/relationships/hyperlink" Target="https://en.wikipedia.org/wiki/Bethnal_Green" TargetMode="External"/><Relationship Id="rId143" Type="http://schemas.openxmlformats.org/officeDocument/2006/relationships/hyperlink" Target="https://en.wikipedia.org/wiki/St_James%27_Church,_Islington" TargetMode="External"/><Relationship Id="rId148" Type="http://schemas.openxmlformats.org/officeDocument/2006/relationships/hyperlink" Target="https://en.wikipedia.org/wiki/St_Barnabas%27s,_Bethnal_Green" TargetMode="External"/><Relationship Id="rId164" Type="http://schemas.openxmlformats.org/officeDocument/2006/relationships/hyperlink" Target="https://www.crockford.org.uk/places/12627/the-benefice-of-hackney-marsh-(all-souls)" TargetMode="External"/><Relationship Id="rId169" Type="http://schemas.openxmlformats.org/officeDocument/2006/relationships/hyperlink" Target="https://www.crockford.org.uk/places/12741/the-benefice-of-hoxton-(st-john-the-baptist)-with-ch-ch" TargetMode="External"/><Relationship Id="rId185" Type="http://schemas.openxmlformats.org/officeDocument/2006/relationships/hyperlink" Target="https://www.crockford.org.uk/places/12530/the-benefice-of-clerkenwell-(our-most-holy-redeemer)" TargetMode="External"/><Relationship Id="rId334" Type="http://schemas.openxmlformats.org/officeDocument/2006/relationships/hyperlink" Target="http://www.stjohnsupperholloway.church/" TargetMode="External"/><Relationship Id="rId350" Type="http://schemas.openxmlformats.org/officeDocument/2006/relationships/hyperlink" Target="http://www.ccspits.org/" TargetMode="External"/><Relationship Id="rId355" Type="http://schemas.openxmlformats.org/officeDocument/2006/relationships/hyperlink" Target="http://stjamesthelessbg.org.uk/" TargetMode="External"/><Relationship Id="rId371" Type="http://schemas.openxmlformats.org/officeDocument/2006/relationships/hyperlink" Target="https://www.google.co.uk/maps/search/?api=1&amp;query=51.507645,-0.023844205" TargetMode="External"/><Relationship Id="rId4" Type="http://schemas.openxmlformats.org/officeDocument/2006/relationships/hyperlink" Target="https://www.london.anglican.org/directory/christchurch-on-the-mead-hackney-marsh-team-ministry/" TargetMode="External"/><Relationship Id="rId9" Type="http://schemas.openxmlformats.org/officeDocument/2006/relationships/hyperlink" Target="https://www.london.anglican.org/directory/st-anne-hoxton/" TargetMode="External"/><Relationship Id="rId180" Type="http://schemas.openxmlformats.org/officeDocument/2006/relationships/hyperlink" Target="https://www.crockford.org.uk/places/13099/the-benefice-of-hackney,-west-(st-paul)" TargetMode="External"/><Relationship Id="rId210" Type="http://schemas.openxmlformats.org/officeDocument/2006/relationships/hyperlink" Target="https://www.crockford.org.uk/places/12476/the-benefice-of-bethnal-green-(st-james-the-less)" TargetMode="External"/><Relationship Id="rId215" Type="http://schemas.openxmlformats.org/officeDocument/2006/relationships/hyperlink" Target="https://www.crockford.org.uk/places/12481/the-benefice-of-bethnal-green-(st-matthew-with-st-james-the-great)" TargetMode="External"/><Relationship Id="rId236" Type="http://schemas.openxmlformats.org/officeDocument/2006/relationships/hyperlink" Target="https://www.google.co.uk/maps/search/?api=1&amp;query=51.531642,-0.073274" TargetMode="External"/><Relationship Id="rId257" Type="http://schemas.openxmlformats.org/officeDocument/2006/relationships/hyperlink" Target="https://www.google.co.uk/maps/search/?api=1&amp;query=51.541003,-0.115216" TargetMode="External"/><Relationship Id="rId278" Type="http://schemas.openxmlformats.org/officeDocument/2006/relationships/hyperlink" Target="https://www.google.co.uk/maps/search/?api=1&amp;query=51.489075,-0.006311" TargetMode="External"/><Relationship Id="rId26" Type="http://schemas.openxmlformats.org/officeDocument/2006/relationships/hyperlink" Target="https://www.london.anglican.org/directory/st-olave-woodberry-down/" TargetMode="External"/><Relationship Id="rId231" Type="http://schemas.openxmlformats.org/officeDocument/2006/relationships/hyperlink" Target="https://www.google.co.uk/maps/search/?api=1&amp;query=51.570606,-0.080285" TargetMode="External"/><Relationship Id="rId252" Type="http://schemas.openxmlformats.org/officeDocument/2006/relationships/hyperlink" Target="https://www.google.co.uk/maps/search/?api=1&amp;query=51.569841,-0.064587" TargetMode="External"/><Relationship Id="rId273" Type="http://schemas.openxmlformats.org/officeDocument/2006/relationships/hyperlink" Target="https://www.google.co.uk/maps/search/?api=1&amp;query=51.559874,-0.103849" TargetMode="External"/><Relationship Id="rId294" Type="http://schemas.openxmlformats.org/officeDocument/2006/relationships/hyperlink" Target="https://www.google.co.uk/maps/search/?api=1&amp;query=51.530373,-0.064759" TargetMode="External"/><Relationship Id="rId308" Type="http://schemas.openxmlformats.org/officeDocument/2006/relationships/hyperlink" Target="https://www.stjamesclapton.co.uk/" TargetMode="External"/><Relationship Id="rId329" Type="http://schemas.openxmlformats.org/officeDocument/2006/relationships/hyperlink" Target="http://www.staugustine.org.uk/" TargetMode="External"/><Relationship Id="rId47" Type="http://schemas.openxmlformats.org/officeDocument/2006/relationships/hyperlink" Target="https://www.london.anglican.org/directory/st-mary-hornsey-rise/" TargetMode="External"/><Relationship Id="rId68" Type="http://schemas.openxmlformats.org/officeDocument/2006/relationships/hyperlink" Target="https://www.london.anglican.org/directory/st-luke-millwall/" TargetMode="External"/><Relationship Id="rId89" Type="http://schemas.openxmlformats.org/officeDocument/2006/relationships/hyperlink" Target="https://en.wikipedia.org/wiki/Hoxton" TargetMode="External"/><Relationship Id="rId112" Type="http://schemas.openxmlformats.org/officeDocument/2006/relationships/hyperlink" Target="https://en.wikipedia.org/wiki/Islington" TargetMode="External"/><Relationship Id="rId133" Type="http://schemas.openxmlformats.org/officeDocument/2006/relationships/hyperlink" Target="https://en.wikipedia.org/wiki/Bethnal_Green" TargetMode="External"/><Relationship Id="rId154" Type="http://schemas.openxmlformats.org/officeDocument/2006/relationships/hyperlink" Target="https://en.wikipedia.org/wiki/St_Paul_Old_Ford" TargetMode="External"/><Relationship Id="rId175" Type="http://schemas.openxmlformats.org/officeDocument/2006/relationships/hyperlink" Target="https://www.crockford.org.uk/places/13070/the-benefice-of-clapton,-upper-(st-matthew)" TargetMode="External"/><Relationship Id="rId340" Type="http://schemas.openxmlformats.org/officeDocument/2006/relationships/hyperlink" Target="https://www.stmaryislington.org/" TargetMode="External"/><Relationship Id="rId361" Type="http://schemas.openxmlformats.org/officeDocument/2006/relationships/hyperlink" Target="http://stnicholaspoplar.org/" TargetMode="External"/><Relationship Id="rId196" Type="http://schemas.openxmlformats.org/officeDocument/2006/relationships/hyperlink" Target="https://www.crockford.org.uk/places/12728/the-benefice-of-hornsey-rise-(st-mary)" TargetMode="External"/><Relationship Id="rId200" Type="http://schemas.openxmlformats.org/officeDocument/2006/relationships/hyperlink" Target="https://www.crockford.org.uk/places/12509/the-benefice-of-canonbury-(st-stephen)" TargetMode="External"/><Relationship Id="rId16" Type="http://schemas.openxmlformats.org/officeDocument/2006/relationships/hyperlink" Target="https://www.london.anglican.org/directory/st-john-the-baptist-hoxton/" TargetMode="External"/><Relationship Id="rId221" Type="http://schemas.openxmlformats.org/officeDocument/2006/relationships/hyperlink" Target="https://barnsburyparish.com/" TargetMode="External"/><Relationship Id="rId242" Type="http://schemas.openxmlformats.org/officeDocument/2006/relationships/hyperlink" Target="https://www.google.co.uk/maps/search/?api=1&amp;query=51.549436,-0.070424" TargetMode="External"/><Relationship Id="rId263" Type="http://schemas.openxmlformats.org/officeDocument/2006/relationships/hyperlink" Target="https://www.google.co.uk/maps/search/?api=1&amp;query=51.536527,-0.096514" TargetMode="External"/><Relationship Id="rId284" Type="http://schemas.openxmlformats.org/officeDocument/2006/relationships/hyperlink" Target="https://www.google.co.uk/maps/search/?api=1&amp;query=51.509994,-0.059872" TargetMode="External"/><Relationship Id="rId319" Type="http://schemas.openxmlformats.org/officeDocument/2006/relationships/hyperlink" Target="http://www.stolaveschurch.co.uk/" TargetMode="External"/><Relationship Id="rId37" Type="http://schemas.openxmlformats.org/officeDocument/2006/relationships/hyperlink" Target="https://www.london.anglican.org/directory/st-augustine-highbury-new-park/" TargetMode="External"/><Relationship Id="rId58" Type="http://schemas.openxmlformats.org/officeDocument/2006/relationships/hyperlink" Target="https://www.london.anglican.org/directory/christ-church-isle-of-dogs/" TargetMode="External"/><Relationship Id="rId79" Type="http://schemas.openxmlformats.org/officeDocument/2006/relationships/hyperlink" Target="=IFERROR(VLOOKUP($C54,%20DataFromWikipedia!A:T,%2017,%20FALSE),%20%22%22)" TargetMode="External"/><Relationship Id="rId102" Type="http://schemas.openxmlformats.org/officeDocument/2006/relationships/hyperlink" Target="https://en.wikipedia.org/wiki/Tollington_(ward)" TargetMode="External"/><Relationship Id="rId123" Type="http://schemas.openxmlformats.org/officeDocument/2006/relationships/hyperlink" Target="https://en.wikipedia.org/wiki/Stepney" TargetMode="External"/><Relationship Id="rId144" Type="http://schemas.openxmlformats.org/officeDocument/2006/relationships/hyperlink" Target="https://en.wikipedia.org/wiki/St_Mary%27s_Church,_Islington" TargetMode="External"/><Relationship Id="rId330" Type="http://schemas.openxmlformats.org/officeDocument/2006/relationships/hyperlink" Target="https://www.stclementfinsbury.org/" TargetMode="External"/><Relationship Id="rId90" Type="http://schemas.openxmlformats.org/officeDocument/2006/relationships/hyperlink" Target="https://en.wikipedia.org/wiki/Shoreditch" TargetMode="External"/><Relationship Id="rId165" Type="http://schemas.openxmlformats.org/officeDocument/2006/relationships/hyperlink" Target="https://www.crockford.org.uk/places/13018/the-benefice-of-stamford-hill-(st-bartholomew)" TargetMode="External"/><Relationship Id="rId186" Type="http://schemas.openxmlformats.org/officeDocument/2006/relationships/hyperlink" Target="https://www.crockford.org.uk/places/13123/the-benefice-of-whitehall-park-(st-andrew)" TargetMode="External"/><Relationship Id="rId351" Type="http://schemas.openxmlformats.org/officeDocument/2006/relationships/hyperlink" Target="http://www.stanneslimehouse.org/" TargetMode="External"/><Relationship Id="rId372" Type="http://schemas.openxmlformats.org/officeDocument/2006/relationships/printerSettings" Target="../printerSettings/printerSettings2.bin"/><Relationship Id="rId211" Type="http://schemas.openxmlformats.org/officeDocument/2006/relationships/hyperlink" Target="https://www.crockford.org.uk/places/12479/the-benefice-of-st-john-on-bethnal-green" TargetMode="External"/><Relationship Id="rId232" Type="http://schemas.openxmlformats.org/officeDocument/2006/relationships/hyperlink" Target="https://www.google.co.uk/maps/search/?api=1&amp;query=51.534498,-0.081228" TargetMode="External"/><Relationship Id="rId253" Type="http://schemas.openxmlformats.org/officeDocument/2006/relationships/hyperlink" Target="https://www.google.co.uk/maps/search/?api=1&amp;query=51.535258,-0.116601" TargetMode="External"/><Relationship Id="rId274" Type="http://schemas.openxmlformats.org/officeDocument/2006/relationships/hyperlink" Target="https://www.google.co.uk/maps/search/?api=1&amp;query=51.535938,-0.110871" TargetMode="External"/><Relationship Id="rId295" Type="http://schemas.openxmlformats.org/officeDocument/2006/relationships/hyperlink" Target="https://www.google.co.uk/maps/search/?api=1&amp;query=51.506167,-0.058075" TargetMode="External"/><Relationship Id="rId309" Type="http://schemas.openxmlformats.org/officeDocument/2006/relationships/hyperlink" Target="http://www.sjoj.co.uk/" TargetMode="External"/><Relationship Id="rId27" Type="http://schemas.openxmlformats.org/officeDocument/2006/relationships/hyperlink" Target="https://www.london.anglican.org/directory/st-paul-west-hackney/" TargetMode="External"/><Relationship Id="rId48" Type="http://schemas.openxmlformats.org/officeDocument/2006/relationships/hyperlink" Target="https://www.london.anglican.org/directory/st-mary-islington/" TargetMode="External"/><Relationship Id="rId69" Type="http://schemas.openxmlformats.org/officeDocument/2006/relationships/hyperlink" Target="https://www.london.anglican.org/directory/st-mary-and-holy-trinity-bow/" TargetMode="External"/><Relationship Id="rId113" Type="http://schemas.openxmlformats.org/officeDocument/2006/relationships/hyperlink" Target="https://en.wikipedia.org/wiki/Tollington_(ward)" TargetMode="External"/><Relationship Id="rId134" Type="http://schemas.openxmlformats.org/officeDocument/2006/relationships/hyperlink" Target="https://en.wikipedia.org/wiki/London_Docks" TargetMode="External"/><Relationship Id="rId320" Type="http://schemas.openxmlformats.org/officeDocument/2006/relationships/hyperlink" Target="http://stpaulswesthackney.org/" TargetMode="External"/><Relationship Id="rId80" Type="http://schemas.openxmlformats.org/officeDocument/2006/relationships/hyperlink" Target="https://en.wikipedia.org/wiki/Hoxton" TargetMode="External"/><Relationship Id="rId155" Type="http://schemas.openxmlformats.org/officeDocument/2006/relationships/hyperlink" Target="https://en.wikipedia.org/wiki/St_Paul%27s,_Bow_Common" TargetMode="External"/><Relationship Id="rId176" Type="http://schemas.openxmlformats.org/officeDocument/2006/relationships/hyperlink" Target="https://www.crockford.org.uk/places/13029/the-benefice-of-stoke-newington-st-faith-(st-matthias)-and-all-saints" TargetMode="External"/><Relationship Id="rId197" Type="http://schemas.openxmlformats.org/officeDocument/2006/relationships/hyperlink" Target="https://www.crockford.org.uk/places/12755/the-benefice-of-islington-(st-mary)" TargetMode="External"/><Relationship Id="rId341" Type="http://schemas.openxmlformats.org/officeDocument/2006/relationships/hyperlink" Target="https://www.saint-silas.org.uk/" TargetMode="External"/><Relationship Id="rId362" Type="http://schemas.openxmlformats.org/officeDocument/2006/relationships/hyperlink" Target="http://www.stpauloldford.com/" TargetMode="External"/><Relationship Id="rId201" Type="http://schemas.openxmlformats.org/officeDocument/2006/relationships/hyperlink" Target="https://www.crockford.org.uk/places/12593/the-benefice-of-finsbury-park-(st-thomas)" TargetMode="External"/><Relationship Id="rId222" Type="http://schemas.openxmlformats.org/officeDocument/2006/relationships/hyperlink" Target="https://barnsburyparish.com/" TargetMode="External"/><Relationship Id="rId243" Type="http://schemas.openxmlformats.org/officeDocument/2006/relationships/hyperlink" Target="https://www.google.co.uk/maps/search/?api=1&amp;query=51.545324,-0.030726" TargetMode="External"/><Relationship Id="rId264" Type="http://schemas.openxmlformats.org/officeDocument/2006/relationships/hyperlink" Target="https://www.google.co.uk/maps/search/?api=1&amp;query=51.561657,-0.131321" TargetMode="External"/><Relationship Id="rId285" Type="http://schemas.openxmlformats.org/officeDocument/2006/relationships/hyperlink" Target="https://www.google.co.uk/maps/search/?api=1&amp;query=51.531754,-0.048054" TargetMode="External"/><Relationship Id="rId17" Type="http://schemas.openxmlformats.org/officeDocument/2006/relationships/hyperlink" Target="https://www.london.anglican.org/directory/st-john-the-evangelist-brownswood-park/" TargetMode="External"/><Relationship Id="rId38" Type="http://schemas.openxmlformats.org/officeDocument/2006/relationships/hyperlink" Target="https://www.london.anglican.org/directory/st-clement-king-square/" TargetMode="External"/><Relationship Id="rId59" Type="http://schemas.openxmlformats.org/officeDocument/2006/relationships/hyperlink" Target="https://www.london.anglican.org/directory/christ-church-spitalfields/" TargetMode="External"/><Relationship Id="rId103" Type="http://schemas.openxmlformats.org/officeDocument/2006/relationships/hyperlink" Target="https://en.wikipedia.org/wiki/Clerkenwell" TargetMode="External"/><Relationship Id="rId124" Type="http://schemas.openxmlformats.org/officeDocument/2006/relationships/hyperlink" Target="https://en.wikipedia.org/wiki/Bethnal_Green" TargetMode="External"/><Relationship Id="rId310" Type="http://schemas.openxmlformats.org/officeDocument/2006/relationships/hyperlink" Target="https://www.stjohnshoxton.org.uk/" TargetMode="External"/><Relationship Id="rId70" Type="http://schemas.openxmlformats.org/officeDocument/2006/relationships/hyperlink" Target="https://www.london.anglican.org/directory/st-mary-cable-street/" TargetMode="External"/><Relationship Id="rId91" Type="http://schemas.openxmlformats.org/officeDocument/2006/relationships/hyperlink" Target="https://en.wikipedia.org/wiki/Dalston" TargetMode="External"/><Relationship Id="rId145" Type="http://schemas.openxmlformats.org/officeDocument/2006/relationships/hyperlink" Target="https://en.wikipedia.org/wiki/All_Hallows,_Bow" TargetMode="External"/><Relationship Id="rId166" Type="http://schemas.openxmlformats.org/officeDocument/2006/relationships/hyperlink" Target="https://www.crockford.org.uk/places/12633/the-benefice-of-haggerston-(st-chad)" TargetMode="External"/><Relationship Id="rId187" Type="http://schemas.openxmlformats.org/officeDocument/2006/relationships/hyperlink" Target="https://www.crockford.org.uk/places/12698/the-benefice-of-highbury-new-park-(st-augustine)" TargetMode="External"/><Relationship Id="rId331" Type="http://schemas.openxmlformats.org/officeDocument/2006/relationships/hyperlink" Target="http://www.stgeorgestufnellpark.org/" TargetMode="External"/><Relationship Id="rId352" Type="http://schemas.openxmlformats.org/officeDocument/2006/relationships/hyperlink" Target="http://www.stbarnabasbethnalgreen.org/"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s://www.crockford.org.uk/places/12743/the-benefice-of-isle-of-dogs-(christ-church-and-st-john)-(st-luke)" TargetMode="External"/><Relationship Id="rId233" Type="http://schemas.openxmlformats.org/officeDocument/2006/relationships/hyperlink" Target="https://www.google.co.uk/maps/search/?api=1&amp;query=51.548629,-0.043458629" TargetMode="External"/><Relationship Id="rId254" Type="http://schemas.openxmlformats.org/officeDocument/2006/relationships/hyperlink" Target="https://www.google.co.uk/maps/search/?api=1&amp;query=51.552526,-0.098727" TargetMode="External"/><Relationship Id="rId28" Type="http://schemas.openxmlformats.org/officeDocument/2006/relationships/hyperlink" Target="https://www.london.anglican.org/directory/st-peter-de-beauvoir-town/" TargetMode="External"/><Relationship Id="rId49" Type="http://schemas.openxmlformats.org/officeDocument/2006/relationships/hyperlink" Target="https://www.london.anglican.org/directory/st-saviour-hanley-road/" TargetMode="External"/><Relationship Id="rId114" Type="http://schemas.openxmlformats.org/officeDocument/2006/relationships/hyperlink" Target="https://en.wikipedia.org/wiki/Pentonville" TargetMode="External"/><Relationship Id="rId275" Type="http://schemas.openxmlformats.org/officeDocument/2006/relationships/hyperlink" Target="https://www.google.co.uk/maps/search/?api=1&amp;query=51.530245,-0.10960161" TargetMode="External"/><Relationship Id="rId296" Type="http://schemas.openxmlformats.org/officeDocument/2006/relationships/hyperlink" Target="https://www.london.anglican.org/directory/st-peters-barge-canary-wharf/" TargetMode="External"/><Relationship Id="rId300" Type="http://schemas.openxmlformats.org/officeDocument/2006/relationships/hyperlink" Target="https://http/www.hackneymarshteam.org.uk" TargetMode="External"/><Relationship Id="rId60" Type="http://schemas.openxmlformats.org/officeDocument/2006/relationships/hyperlink" Target="https://www.london.anglican.org/directory/poplar-team-ministry/" TargetMode="External"/><Relationship Id="rId81" Type="http://schemas.openxmlformats.org/officeDocument/2006/relationships/hyperlink" Target="https://en.wikipedia.org/wiki/Dalston" TargetMode="External"/><Relationship Id="rId135" Type="http://schemas.openxmlformats.org/officeDocument/2006/relationships/hyperlink" Target="https://en.wikipedia.org/wiki/St_Andrew,_Stoke_Newington" TargetMode="External"/><Relationship Id="rId156" Type="http://schemas.openxmlformats.org/officeDocument/2006/relationships/hyperlink" Target="https://en.wikipedia.org/wiki/St_Paul%27s_Church,_Shadwell" TargetMode="External"/><Relationship Id="rId177" Type="http://schemas.openxmlformats.org/officeDocument/2006/relationships/hyperlink" Target="https://www.crockford.org.uk/places/12984/the-benefice-of-hackney,-south-(st-michael-and-all-angels)-london-fields-with-haggerston-st-paul" TargetMode="External"/><Relationship Id="rId198" Type="http://schemas.openxmlformats.org/officeDocument/2006/relationships/hyperlink" Target="https://www.crockford.org.uk/places/13044/the-benefice-of-tollington-(st-mark)" TargetMode="External"/><Relationship Id="rId321" Type="http://schemas.openxmlformats.org/officeDocument/2006/relationships/hyperlink" Target="http://www.stpeterdebeauvoir.org.uk/" TargetMode="External"/><Relationship Id="rId342" Type="http://schemas.openxmlformats.org/officeDocument/2006/relationships/hyperlink" Target="http://www.ststephenscanonbury.org.uk/" TargetMode="External"/><Relationship Id="rId363" Type="http://schemas.openxmlformats.org/officeDocument/2006/relationships/hyperlink" Target="http://www.stpaulsbowcommon.org.uk/" TargetMode="External"/><Relationship Id="rId202" Type="http://schemas.openxmlformats.org/officeDocument/2006/relationships/hyperlink" Target="https://www.crockford.org.uk/places/12532/the-benefice-of-clerkenwell-(st-mark)" TargetMode="External"/><Relationship Id="rId223" Type="http://schemas.openxmlformats.org/officeDocument/2006/relationships/hyperlink" Target="=IFERROR(VLOOKUP($C50,%20DataFromWikipedia!A:T,%2017,%20FALSE),%20%22%22)" TargetMode="External"/><Relationship Id="rId244" Type="http://schemas.openxmlformats.org/officeDocument/2006/relationships/hyperlink" Target="https://www.google.co.uk/maps/search/?api=1&amp;query=51.560782,-0.08445" TargetMode="External"/><Relationship Id="rId18" Type="http://schemas.openxmlformats.org/officeDocument/2006/relationships/hyperlink" Target="https://www.london.anglican.org/directory/st-leonard-shoreditch/" TargetMode="External"/><Relationship Id="rId39" Type="http://schemas.openxmlformats.org/officeDocument/2006/relationships/hyperlink" Target="https://www.london.anglican.org/directory/st-george-all-saints-tufnell-park/" TargetMode="External"/><Relationship Id="rId265" Type="http://schemas.openxmlformats.org/officeDocument/2006/relationships/hyperlink" Target="https://www.google.co.uk/maps/search/?api=1&amp;query=51.549097,-0.080931" TargetMode="External"/><Relationship Id="rId286" Type="http://schemas.openxmlformats.org/officeDocument/2006/relationships/hyperlink" Target="https://www.google.co.uk/maps/search/?api=1&amp;query=51.527596,-0.055146" TargetMode="External"/><Relationship Id="rId50" Type="http://schemas.openxmlformats.org/officeDocument/2006/relationships/hyperlink" Target="https://www.london.anglican.org/directory/st-silas-pentonville/" TargetMode="External"/><Relationship Id="rId104" Type="http://schemas.openxmlformats.org/officeDocument/2006/relationships/hyperlink" Target="https://en.wikipedia.org/wiki/Highbury_New_Park" TargetMode="External"/><Relationship Id="rId125" Type="http://schemas.openxmlformats.org/officeDocument/2006/relationships/hyperlink" Target="https://en.wikipedia.org/wiki/St_John_on_Bethnal_Green" TargetMode="External"/><Relationship Id="rId146" Type="http://schemas.openxmlformats.org/officeDocument/2006/relationships/hyperlink" Target="https://en.wikipedia.org/wiki/Christ_Church,_Spitalfields" TargetMode="External"/><Relationship Id="rId167" Type="http://schemas.openxmlformats.org/officeDocument/2006/relationships/hyperlink" Target="https://www.crockford.org.uk/places/12523/the-benefice-of-clapton-(st-james)" TargetMode="External"/><Relationship Id="rId188" Type="http://schemas.openxmlformats.org/officeDocument/2006/relationships/hyperlink" Target="https://www.crockford.org.uk/places/12592/the-benefice-of-finsbury-(st-clement)-(st-barnabas)-(st-matthew)" TargetMode="External"/><Relationship Id="rId311" Type="http://schemas.openxmlformats.org/officeDocument/2006/relationships/hyperlink" Target="https://www.sjebp.com/" TargetMode="External"/><Relationship Id="rId332" Type="http://schemas.openxmlformats.org/officeDocument/2006/relationships/hyperlink" Target="http://inspiresaintjames.org/" TargetMode="External"/><Relationship Id="rId353" Type="http://schemas.openxmlformats.org/officeDocument/2006/relationships/hyperlink" Target="http://www.stdunstanstepney.com/" TargetMode="External"/><Relationship Id="rId71" Type="http://schemas.openxmlformats.org/officeDocument/2006/relationships/hyperlink" Target="https://www.london.anglican.org/directory/st-matthew-bethnal-green/" TargetMode="External"/><Relationship Id="rId92" Type="http://schemas.openxmlformats.org/officeDocument/2006/relationships/hyperlink" Target="https://en.wikipedia.org/wiki/Hackney_Wick" TargetMode="External"/><Relationship Id="rId213" Type="http://schemas.openxmlformats.org/officeDocument/2006/relationships/hyperlink" Target="https://www.crockford.org.uk/places/12488/the-benefice-of-bow-(st-mary)-and-holy-trinity-with-bromley-st-leonard" TargetMode="External"/><Relationship Id="rId234" Type="http://schemas.openxmlformats.org/officeDocument/2006/relationships/hyperlink" Target="https://www.google.co.uk/maps/search/?api=1&amp;query=51.548829,-0.042604"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thomas-clapton-common/" TargetMode="External"/><Relationship Id="rId255" Type="http://schemas.openxmlformats.org/officeDocument/2006/relationships/hyperlink" Target="https://www.google.co.uk/maps/search/?api=1&amp;query=51.54787,-0.10632" TargetMode="External"/><Relationship Id="rId276" Type="http://schemas.openxmlformats.org/officeDocument/2006/relationships/hyperlink" Target="https://www.google.co.uk/maps/search/?api=1&amp;query=51.520814,-0.020428" TargetMode="External"/><Relationship Id="rId297" Type="http://schemas.openxmlformats.org/officeDocument/2006/relationships/hyperlink" Target="https://en.wikipedia.org/wiki/Limehouse" TargetMode="External"/><Relationship Id="rId40" Type="http://schemas.openxmlformats.org/officeDocument/2006/relationships/hyperlink" Target="https://www.london.anglican.org/directory/st-james-clerkenwell/" TargetMode="External"/><Relationship Id="rId115" Type="http://schemas.openxmlformats.org/officeDocument/2006/relationships/hyperlink" Target="https://en.wikipedia.org/wiki/Canonbury" TargetMode="External"/><Relationship Id="rId136" Type="http://schemas.openxmlformats.org/officeDocument/2006/relationships/hyperlink" Target="https://en.wikipedia.org/wiki/St_John_the_Baptist,_Hoxton" TargetMode="External"/><Relationship Id="rId157" Type="http://schemas.openxmlformats.org/officeDocument/2006/relationships/hyperlink" Target="https://en.wikipedia.org/wiki/St_Peter%27s,_Bethnal_Green" TargetMode="External"/><Relationship Id="rId178" Type="http://schemas.openxmlformats.org/officeDocument/2006/relationships/hyperlink" Target="https://www.crockford.org.uk/places/13032/the-benefice-of-stoke-newington-common-(st-michael-and-all-angels)" TargetMode="External"/><Relationship Id="rId301" Type="http://schemas.openxmlformats.org/officeDocument/2006/relationships/hyperlink" Target="http://www.hackneymarshteam.org.uk/" TargetMode="External"/><Relationship Id="rId322" Type="http://schemas.openxmlformats.org/officeDocument/2006/relationships/hyperlink" Target="https://www.saintthomasclapton.org/" TargetMode="External"/><Relationship Id="rId343" Type="http://schemas.openxmlformats.org/officeDocument/2006/relationships/hyperlink" Target="https://www.stthomaschurch.co.uk/" TargetMode="External"/><Relationship Id="rId364" Type="http://schemas.openxmlformats.org/officeDocument/2006/relationships/hyperlink" Target="http://sps.church/" TargetMode="External"/><Relationship Id="rId61" Type="http://schemas.openxmlformats.org/officeDocument/2006/relationships/hyperlink" Target="https://www.london.anglican.org/directory/st-anne-w-st-peter-limehouse/" TargetMode="External"/><Relationship Id="rId82" Type="http://schemas.openxmlformats.org/officeDocument/2006/relationships/hyperlink" Target="https://en.wikipedia.org/wiki/Hoxton" TargetMode="External"/><Relationship Id="rId199" Type="http://schemas.openxmlformats.org/officeDocument/2006/relationships/hyperlink" Target="https://www.crockford.org.uk/places/12911/the-benefice-of-pentonville-(st-silas-with-all-saints)-(st-james)" TargetMode="External"/><Relationship Id="rId203" Type="http://schemas.openxmlformats.org/officeDocument/2006/relationships/hyperlink" Target="https://www.crockford.org.uk/places/12496/the-benefice-of-bromley-by-bow-(all-hallows)" TargetMode="External"/><Relationship Id="rId19" Type="http://schemas.openxmlformats.org/officeDocument/2006/relationships/hyperlink" Target="https://www.london.anglican.org/directory/st-mark-dalston/" TargetMode="External"/><Relationship Id="rId224" Type="http://schemas.openxmlformats.org/officeDocument/2006/relationships/hyperlink" Target="https://www.google.co.uk/maps/search/?api=1&amp;query=51.539088,-0.073342" TargetMode="External"/><Relationship Id="rId245" Type="http://schemas.openxmlformats.org/officeDocument/2006/relationships/hyperlink" Target="https://www.google.co.uk/maps/search/?api=1&amp;query=51.563403,-0.058989" TargetMode="External"/><Relationship Id="rId266" Type="http://schemas.openxmlformats.org/officeDocument/2006/relationships/hyperlink" Target="https://www.google.co.uk/maps/search/?api=1&amp;query=51.552457,-0.121323" TargetMode="External"/><Relationship Id="rId287" Type="http://schemas.openxmlformats.org/officeDocument/2006/relationships/hyperlink" Target="https://www.google.co.uk/maps/search/?api=1&amp;query=51.499704,-0.023281" TargetMode="External"/><Relationship Id="rId30" Type="http://schemas.openxmlformats.org/officeDocument/2006/relationships/hyperlink" Target="https://www.london.anglican.org/directory/all-saints-caledonian-road-the-barnsbury-team/" TargetMode="External"/><Relationship Id="rId105" Type="http://schemas.openxmlformats.org/officeDocument/2006/relationships/hyperlink" Target="https://en.wikipedia.org/wiki/Finsbury" TargetMode="External"/><Relationship Id="rId126" Type="http://schemas.openxmlformats.org/officeDocument/2006/relationships/hyperlink" Target="https://en.wikipedia.org/wiki/Isle_of_Dogs" TargetMode="External"/><Relationship Id="rId147" Type="http://schemas.openxmlformats.org/officeDocument/2006/relationships/hyperlink" Target="https://en.wikipedia.org/wiki/St_Anne%27s,_Limehouse" TargetMode="External"/><Relationship Id="rId168" Type="http://schemas.openxmlformats.org/officeDocument/2006/relationships/hyperlink" Target="https://www.crockford.org.uk/places/12982/the-benefice-of-hackney,-south-(st-john-of-jerusalem)-with-christ-church" TargetMode="External"/><Relationship Id="rId312" Type="http://schemas.openxmlformats.org/officeDocument/2006/relationships/hyperlink" Target="http://www.shoreditchchurch.org.uk/" TargetMode="External"/><Relationship Id="rId333" Type="http://schemas.openxmlformats.org/officeDocument/2006/relationships/hyperlink" Target="https://www.stjamesislington.org/" TargetMode="External"/><Relationship Id="rId354" Type="http://schemas.openxmlformats.org/officeDocument/2006/relationships/hyperlink" Target="http://www.stgeorgeintheeast.org/" TargetMode="External"/><Relationship Id="rId51" Type="http://schemas.openxmlformats.org/officeDocument/2006/relationships/hyperlink" Target="https://www.london.anglican.org/directory/st-stephen-canonbury/" TargetMode="External"/><Relationship Id="rId72" Type="http://schemas.openxmlformats.org/officeDocument/2006/relationships/hyperlink" Target="https://www.london.anglican.org/directory/st-nicholas-aberfeldy-poplar-team-ministry/" TargetMode="External"/><Relationship Id="rId93" Type="http://schemas.openxmlformats.org/officeDocument/2006/relationships/hyperlink" Target="https://en.wikipedia.org/wiki/Stoke_Newington" TargetMode="External"/><Relationship Id="rId189" Type="http://schemas.openxmlformats.org/officeDocument/2006/relationships/hyperlink" Target="https://www.crockford.org.uk/places/13058/the-benefice-of-tufnell-park-(st-george-and-all-saints)"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www.crockford.org.uk/places/12947/the-benefice-of-st-george-in-the-east-(st-mary)" TargetMode="External"/><Relationship Id="rId235" Type="http://schemas.openxmlformats.org/officeDocument/2006/relationships/hyperlink" Target="https://www.google.co.uk/maps/search/?api=1&amp;query=51.576473,-0.06956" TargetMode="External"/><Relationship Id="rId256" Type="http://schemas.openxmlformats.org/officeDocument/2006/relationships/hyperlink" Target="https://www.google.co.uk/maps/search/?api=1&amp;query=51.525483,-0.109214" TargetMode="External"/><Relationship Id="rId277" Type="http://schemas.openxmlformats.org/officeDocument/2006/relationships/hyperlink" Target="https://www.google.co.uk/maps/search/?api=1&amp;query=51.510539,-0.011906" TargetMode="External"/><Relationship Id="rId298" Type="http://schemas.openxmlformats.org/officeDocument/2006/relationships/hyperlink" Target="https://www.crockford.org.uk/places/12794/the-benefice-of-limehouse-(st-anne)-(st-peter)" TargetMode="External"/><Relationship Id="rId116" Type="http://schemas.openxmlformats.org/officeDocument/2006/relationships/hyperlink" Target="https://en.wikipedia.org/wiki/Finsbury_Park_(area)" TargetMode="External"/><Relationship Id="rId137" Type="http://schemas.openxmlformats.org/officeDocument/2006/relationships/hyperlink" Target="https://en.wikipedia.org/wiki/St_Leonard%27s,_Shoreditch" TargetMode="External"/><Relationship Id="rId158" Type="http://schemas.openxmlformats.org/officeDocument/2006/relationships/hyperlink" Target="https://en.wikipedia.org/wiki/St_Peter%27s,_London_Docks" TargetMode="External"/><Relationship Id="rId302" Type="http://schemas.openxmlformats.org/officeDocument/2006/relationships/hyperlink" Target="https://www.gracechurchhackney.org.uk/" TargetMode="External"/><Relationship Id="rId323" Type="http://schemas.openxmlformats.org/officeDocument/2006/relationships/hyperlink" Target="http://www.allsaintsislington.org/" TargetMode="External"/><Relationship Id="rId344" Type="http://schemas.openxmlformats.org/officeDocument/2006/relationships/hyperlink" Target="http://www.churchonthecorner.org.uk/" TargetMode="External"/><Relationship Id="rId20" Type="http://schemas.openxmlformats.org/officeDocument/2006/relationships/hyperlink" Target="https://www.london.anglican.org/directory/st-mary-of-eton-hackney/" TargetMode="External"/><Relationship Id="rId41" Type="http://schemas.openxmlformats.org/officeDocument/2006/relationships/hyperlink" Target="https://www.london.anglican.org/directory/st-james-islington/" TargetMode="External"/><Relationship Id="rId62" Type="http://schemas.openxmlformats.org/officeDocument/2006/relationships/hyperlink" Target="https://www.london.anglican.org/directory/st-anne-limehouse/" TargetMode="External"/><Relationship Id="rId83" Type="http://schemas.openxmlformats.org/officeDocument/2006/relationships/hyperlink" Target="https://en.wikipedia.org/wiki/Stoke_Newington" TargetMode="External"/><Relationship Id="rId179" Type="http://schemas.openxmlformats.org/officeDocument/2006/relationships/hyperlink" Target="https://www.crockford.org.uk/places/13031/the-benefice-of-stoke-newington-(st-olave)" TargetMode="External"/><Relationship Id="rId365" Type="http://schemas.openxmlformats.org/officeDocument/2006/relationships/hyperlink" Target="https://www.stpetersbethnalgreen.org/" TargetMode="External"/><Relationship Id="rId190" Type="http://schemas.openxmlformats.org/officeDocument/2006/relationships/hyperlink" Target="https://www.crockford.org.uk/places/12532/the-benefice-of-clerkenwell-(st-mark)" TargetMode="External"/><Relationship Id="rId204" Type="http://schemas.openxmlformats.org/officeDocument/2006/relationships/hyperlink" Target="https://www.crockford.org.uk/places/12743/the-benefice-of-isle-of-dogs-(christ-church-and-st-john)-(st-luke)" TargetMode="External"/><Relationship Id="rId225" Type="http://schemas.openxmlformats.org/officeDocument/2006/relationships/hyperlink" Target="https://www.google.co.uk/maps/search/?api=1&amp;query=51.556048,-0.04167" TargetMode="External"/><Relationship Id="rId246" Type="http://schemas.openxmlformats.org/officeDocument/2006/relationships/hyperlink" Target="https://www.google.co.uk/maps/search/?api=1&amp;query=51.55266,-0.079265" TargetMode="External"/><Relationship Id="rId267" Type="http://schemas.openxmlformats.org/officeDocument/2006/relationships/hyperlink" Target="https://www.google.co.uk/maps/search/?api=1&amp;query=51.530047,-0.108996" TargetMode="External"/><Relationship Id="rId288" Type="http://schemas.openxmlformats.org/officeDocument/2006/relationships/hyperlink" Target="https://www.google.co.uk/maps/search/?api=1&amp;query=51.52861,-0.017306" TargetMode="External"/><Relationship Id="rId106" Type="http://schemas.openxmlformats.org/officeDocument/2006/relationships/hyperlink" Target="https://en.wikipedia.org/wiki/Tufnell_Park" TargetMode="External"/><Relationship Id="rId127" Type="http://schemas.openxmlformats.org/officeDocument/2006/relationships/hyperlink" Target="https://en.wikipedia.org/wiki/Bow,_London" TargetMode="External"/><Relationship Id="rId313" Type="http://schemas.openxmlformats.org/officeDocument/2006/relationships/hyperlink" Target="http://www.stmarkdalston.org.uk/"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17" Type="http://schemas.openxmlformats.org/officeDocument/2006/relationships/hyperlink" Target="https://www.london.anglican.org/directory/st-paul-and-st-mark-old-ford/" TargetMode="External"/><Relationship Id="rId299" Type="http://schemas.openxmlformats.org/officeDocument/2006/relationships/hyperlink" Target="=IFERROR(VLOOKUP($C66,%20DataFromWikipedia!A:T,%2017,%20FALSE),%20%22%22)" TargetMode="External"/><Relationship Id="rId21" Type="http://schemas.openxmlformats.org/officeDocument/2006/relationships/hyperlink" Target="https://www.london.anglican.org/directory/st-john-of-jerusalem-south-hackney/" TargetMode="External"/><Relationship Id="rId63" Type="http://schemas.openxmlformats.org/officeDocument/2006/relationships/hyperlink" Target="https://www.london.anglican.org/directory/st-johns-cofe-primary-school/" TargetMode="External"/><Relationship Id="rId159" Type="http://schemas.openxmlformats.org/officeDocument/2006/relationships/hyperlink" Target="http://stpaulswesthackney.org/" TargetMode="External"/><Relationship Id="rId324" Type="http://schemas.openxmlformats.org/officeDocument/2006/relationships/hyperlink" Target="=IFERROR(VLOOKUP($C92,%20DataFromWikipedia!A:T,%2017,%20FALSE),%20%22%22)" TargetMode="External"/><Relationship Id="rId366" Type="http://schemas.openxmlformats.org/officeDocument/2006/relationships/hyperlink" Target="https://en.wikipedia.org/wiki/Hoxton" TargetMode="External"/><Relationship Id="rId531" Type="http://schemas.openxmlformats.org/officeDocument/2006/relationships/hyperlink" Target="https://www.london.anglican.org/directory/andy-rider/" TargetMode="External"/><Relationship Id="rId573" Type="http://schemas.openxmlformats.org/officeDocument/2006/relationships/hyperlink" Target="https://www.crockford.org.uk/places/12633/the-benefice-of-haggerston-(st-chad)" TargetMode="External"/><Relationship Id="rId629" Type="http://schemas.openxmlformats.org/officeDocument/2006/relationships/hyperlink" Target="https://barnsburyparish.com/" TargetMode="External"/><Relationship Id="rId170" Type="http://schemas.openxmlformats.org/officeDocument/2006/relationships/hyperlink" Target="https://nagsheadcc.com/" TargetMode="External"/><Relationship Id="rId226" Type="http://schemas.openxmlformats.org/officeDocument/2006/relationships/hyperlink" Target="http://sps.church/" TargetMode="External"/><Relationship Id="rId433" Type="http://schemas.openxmlformats.org/officeDocument/2006/relationships/hyperlink" Target="https://en.wikipedia.org/wiki/St_Mark%27s_Church,_Myddelton_Square" TargetMode="External"/><Relationship Id="rId268" Type="http://schemas.openxmlformats.org/officeDocument/2006/relationships/hyperlink" Target="=IFERROR(VLOOKUP($C34,%20DataFromWikipedia!A:T,%2017,%20FALSE),%20%22%22)" TargetMode="External"/><Relationship Id="rId475" Type="http://schemas.openxmlformats.org/officeDocument/2006/relationships/hyperlink" Target="https://www.london.anglican.org/directory/tola-badejo/" TargetMode="External"/><Relationship Id="rId32" Type="http://schemas.openxmlformats.org/officeDocument/2006/relationships/hyperlink" Target="https://www.london.anglican.org/directory/st-matthias-cofe-primary-school/" TargetMode="External"/><Relationship Id="rId74" Type="http://schemas.openxmlformats.org/officeDocument/2006/relationships/hyperlink" Target="https://www.london.anglican.org/directory/st-mary-magdalene-academy/" TargetMode="External"/><Relationship Id="rId128" Type="http://schemas.openxmlformats.org/officeDocument/2006/relationships/hyperlink" Target="https://www.london.anglican.org/directory/the-royal-foundation-of-st-katharine/" TargetMode="External"/><Relationship Id="rId335" Type="http://schemas.openxmlformats.org/officeDocument/2006/relationships/hyperlink" Target="=IFERROR(VLOOKUP($C103,%20DataFromWikipedia!A:T,%2017,%20FALSE),%20%22%22)" TargetMode="External"/><Relationship Id="rId377" Type="http://schemas.openxmlformats.org/officeDocument/2006/relationships/hyperlink" Target="https://en.wikipedia.org/wiki/Shoreditch" TargetMode="External"/><Relationship Id="rId500" Type="http://schemas.openxmlformats.org/officeDocument/2006/relationships/hyperlink" Target="https://www.london.anglican.org/directory/john-burniston/" TargetMode="External"/><Relationship Id="rId542" Type="http://schemas.openxmlformats.org/officeDocument/2006/relationships/hyperlink" Target="https://www.london.anglican.org/directory/alan-green/" TargetMode="External"/><Relationship Id="rId584" Type="http://schemas.openxmlformats.org/officeDocument/2006/relationships/hyperlink" Target="https://www.crockford.org.uk/places/12984/the-benefice-of-hackney,-south-(st-michael-and-all-angels)-london-fields-with-haggerston-st-paul" TargetMode="External"/><Relationship Id="rId5" Type="http://schemas.openxmlformats.org/officeDocument/2006/relationships/hyperlink" Target="https://www.london.anglican.org/directory/grace-church-hackney/" TargetMode="External"/><Relationship Id="rId181" Type="http://schemas.openxmlformats.org/officeDocument/2006/relationships/hyperlink" Target="http://www.st-johns.towerhamlets.sch.uk/" TargetMode="External"/><Relationship Id="rId237" Type="http://schemas.openxmlformats.org/officeDocument/2006/relationships/hyperlink" Target="=IFERROR(VLOOKUP($C3,%20DataFromWikipedia!A:T,%2017,%20FALSE),%20%22%22)" TargetMode="External"/><Relationship Id="rId402" Type="http://schemas.openxmlformats.org/officeDocument/2006/relationships/hyperlink" Target="https://en.wikipedia.org/wiki/Canonbury" TargetMode="External"/><Relationship Id="rId279" Type="http://schemas.openxmlformats.org/officeDocument/2006/relationships/hyperlink" Target="=IFERROR(VLOOKUP($C46,%20DataFromWikipedia!A:T,%2017,%20FALSE),%20%22%22)" TargetMode="External"/><Relationship Id="rId444" Type="http://schemas.openxmlformats.org/officeDocument/2006/relationships/hyperlink" Target="https://en.wikipedia.org/wiki/St_Matthew%27s,_Bethnal_Green" TargetMode="External"/><Relationship Id="rId486" Type="http://schemas.openxmlformats.org/officeDocument/2006/relationships/hyperlink" Target="https://www.london.anglican.org/directory/martin-lawford/" TargetMode="External"/><Relationship Id="rId43" Type="http://schemas.openxmlformats.org/officeDocument/2006/relationships/hyperlink" Target="https://www.london.anglican.org/directory/christ-church-highbury/" TargetMode="External"/><Relationship Id="rId139" Type="http://schemas.openxmlformats.org/officeDocument/2006/relationships/hyperlink" Target="https://saintbarnabasdalston.org.uk/" TargetMode="External"/><Relationship Id="rId290" Type="http://schemas.openxmlformats.org/officeDocument/2006/relationships/hyperlink" Target="=IFERROR(VLOOKUP($C57,%20DataFromWikipedia!A:T,%2017,%20FALSE),%20%22%22)" TargetMode="External"/><Relationship Id="rId304" Type="http://schemas.openxmlformats.org/officeDocument/2006/relationships/hyperlink" Target="=IFERROR(VLOOKUP($C71,%20DataFromWikipedia!A:T,%2017,%20FALSE),%20%22%22)" TargetMode="External"/><Relationship Id="rId346" Type="http://schemas.openxmlformats.org/officeDocument/2006/relationships/hyperlink" Target="=IFERROR(VLOOKUP($C114,%20DataFromWikipedia!A:T,%2017,%20FALSE),%20%22%22)" TargetMode="External"/><Relationship Id="rId388" Type="http://schemas.openxmlformats.org/officeDocument/2006/relationships/hyperlink" Target="https://en.wikipedia.org/wiki/Highbury" TargetMode="External"/><Relationship Id="rId511" Type="http://schemas.openxmlformats.org/officeDocument/2006/relationships/hyperlink" Target="https://www.london.anglican.org/directory/tamsin-merchant/" TargetMode="External"/><Relationship Id="rId553" Type="http://schemas.openxmlformats.org/officeDocument/2006/relationships/hyperlink" Target="https://www.london.anglican.org/directory/bernadette-hegarty/" TargetMode="External"/><Relationship Id="rId609" Type="http://schemas.openxmlformats.org/officeDocument/2006/relationships/hyperlink" Target="https://www.crockford.org.uk/places/12532/the-benefice-of-clerkenwell-(st-mark)" TargetMode="External"/><Relationship Id="rId85" Type="http://schemas.openxmlformats.org/officeDocument/2006/relationships/hyperlink" Target="https://www.london.anglican.org/directory/trinity-church-islington/" TargetMode="External"/><Relationship Id="rId150" Type="http://schemas.openxmlformats.org/officeDocument/2006/relationships/hyperlink" Target="http://www.stmarkdalston.org.uk/" TargetMode="External"/><Relationship Id="rId192" Type="http://schemas.openxmlformats.org/officeDocument/2006/relationships/hyperlink" Target="http://www.smmacademy.org/" TargetMode="External"/><Relationship Id="rId206" Type="http://schemas.openxmlformats.org/officeDocument/2006/relationships/hyperlink" Target="http://www.ccspits.org/" TargetMode="External"/><Relationship Id="rId413" Type="http://schemas.openxmlformats.org/officeDocument/2006/relationships/hyperlink" Target="https://en.wikipedia.org/wiki/Isle_of_Dogs" TargetMode="External"/><Relationship Id="rId595" Type="http://schemas.openxmlformats.org/officeDocument/2006/relationships/hyperlink" Target="https://www.crockford.org.uk/places/12592/the-benefice-of-finsbury-(st-clement)-(st-barnabas)-(st-matthew)" TargetMode="External"/><Relationship Id="rId248" Type="http://schemas.openxmlformats.org/officeDocument/2006/relationships/hyperlink" Target="=IFERROR(VLOOKUP($C14,%20DataFromWikipedia!A:T,%2017,%20FALSE),%20%22%22)" TargetMode="External"/><Relationship Id="rId455" Type="http://schemas.openxmlformats.org/officeDocument/2006/relationships/hyperlink" Target="https://www.london.anglican.org/directory/al-gordon/" TargetMode="External"/><Relationship Id="rId497" Type="http://schemas.openxmlformats.org/officeDocument/2006/relationships/hyperlink" Target="https://www.london.anglican.org/directory/david-allen/" TargetMode="External"/><Relationship Id="rId620" Type="http://schemas.openxmlformats.org/officeDocument/2006/relationships/hyperlink" Target="https://www.crockford.org.uk/places/12488/the-benefice-of-bow-(st-mary)-and-holy-trinity-with-bromley-st-leonard" TargetMode="External"/><Relationship Id="rId12" Type="http://schemas.openxmlformats.org/officeDocument/2006/relationships/hyperlink" Target="https://www.london.anglican.org/directory/st-andrew-stoke-newington/" TargetMode="External"/><Relationship Id="rId108" Type="http://schemas.openxmlformats.org/officeDocument/2006/relationships/hyperlink" Target="https://www.london.anglican.org/directory/st-johns-cofe-primary-school/" TargetMode="External"/><Relationship Id="rId315" Type="http://schemas.openxmlformats.org/officeDocument/2006/relationships/hyperlink" Target="=IFERROR(VLOOKUP($C82,%20DataFromWikipedia!A:T,%2017,%20FALSE),%20%22%22)" TargetMode="External"/><Relationship Id="rId357" Type="http://schemas.openxmlformats.org/officeDocument/2006/relationships/hyperlink" Target="=IFERROR(VLOOKUP($C125,%20DataFromWikipedia!A:T,%2017,%20FALSE),%20%22%22)" TargetMode="External"/><Relationship Id="rId522" Type="http://schemas.openxmlformats.org/officeDocument/2006/relationships/hyperlink" Target="https://www.london.anglican.org/directory/tola-badejo/" TargetMode="External"/><Relationship Id="rId54" Type="http://schemas.openxmlformats.org/officeDocument/2006/relationships/hyperlink" Target="https://www.london.anglican.org/directory/st-andrew-thornhill-square-the-barnsbury-team/" TargetMode="External"/><Relationship Id="rId96" Type="http://schemas.openxmlformats.org/officeDocument/2006/relationships/hyperlink" Target="https://www.london.anglican.org/directory/mile-end-hospital-barts-health-nhs-trust/" TargetMode="External"/><Relationship Id="rId161" Type="http://schemas.openxmlformats.org/officeDocument/2006/relationships/hyperlink" Target="http://www.stpeterdebeauvoir.org.uk/" TargetMode="External"/><Relationship Id="rId217" Type="http://schemas.openxmlformats.org/officeDocument/2006/relationships/hyperlink" Target="http://stlukesmillwall.org/" TargetMode="External"/><Relationship Id="rId399" Type="http://schemas.openxmlformats.org/officeDocument/2006/relationships/hyperlink" Target="https://en.wikipedia.org/wiki/Islington" TargetMode="External"/><Relationship Id="rId564" Type="http://schemas.openxmlformats.org/officeDocument/2006/relationships/hyperlink" Target="https://www.london.anglican.org/directory/nigel-copsey/" TargetMode="External"/><Relationship Id="rId259" Type="http://schemas.openxmlformats.org/officeDocument/2006/relationships/hyperlink" Target="=IFERROR(VLOOKUP($C25,%20DataFromWikipedia!A:T,%2017,%20FALSE),%20%22%22)" TargetMode="External"/><Relationship Id="rId424" Type="http://schemas.openxmlformats.org/officeDocument/2006/relationships/hyperlink" Target="=IFERROR(VLOOKUP(C132,%20DataFromWikipedia!A:T,%2018,%20FALSE),%20%22%22)" TargetMode="External"/><Relationship Id="rId466" Type="http://schemas.openxmlformats.org/officeDocument/2006/relationships/hyperlink" Target="https://www.london.anglican.org/directory/sian-davies-3/" TargetMode="External"/><Relationship Id="rId631" Type="http://schemas.openxmlformats.org/officeDocument/2006/relationships/printerSettings" Target="../printerSettings/printerSettings4.bin"/><Relationship Id="rId23" Type="http://schemas.openxmlformats.org/officeDocument/2006/relationships/hyperlink" Target="https://www.london.anglican.org/directory/st-john-the-baptist-hoxton/" TargetMode="External"/><Relationship Id="rId119" Type="http://schemas.openxmlformats.org/officeDocument/2006/relationships/hyperlink" Target="https://www.london.anglican.org/directory/st-paul-shadwell/" TargetMode="External"/><Relationship Id="rId270" Type="http://schemas.openxmlformats.org/officeDocument/2006/relationships/hyperlink" Target="=IFERROR(VLOOKUP($C36,%20DataFromWikipedia!A:T,%2017,%20FALSE),%20%22%22)" TargetMode="External"/><Relationship Id="rId326" Type="http://schemas.openxmlformats.org/officeDocument/2006/relationships/hyperlink" Target="=IFERROR(VLOOKUP($C94,%20DataFromWikipedia!A:T,%2017,%20FALSE),%20%22%22)" TargetMode="External"/><Relationship Id="rId533" Type="http://schemas.openxmlformats.org/officeDocument/2006/relationships/hyperlink" Target="https://www.london.anglican.org/directory/tasha-critchlow/" TargetMode="External"/><Relationship Id="rId65" Type="http://schemas.openxmlformats.org/officeDocument/2006/relationships/hyperlink" Target="https://www.london.anglican.org/directory/st-jude-st-pauls-cofe-primary-school/" TargetMode="External"/><Relationship Id="rId130" Type="http://schemas.openxmlformats.org/officeDocument/2006/relationships/hyperlink" Target="https://www.london.anglican.org/directory/the-tower-hamlets-centre-for-mental-health/" TargetMode="External"/><Relationship Id="rId368" Type="http://schemas.openxmlformats.org/officeDocument/2006/relationships/hyperlink" Target="https://en.wikipedia.org/wiki/Dalston" TargetMode="External"/><Relationship Id="rId575" Type="http://schemas.openxmlformats.org/officeDocument/2006/relationships/hyperlink" Target="https://www.crockford.org.uk/places/12982/the-benefice-of-hackney,-south-(st-john-of-jerusalem)-with-christ-church" TargetMode="External"/><Relationship Id="rId172" Type="http://schemas.openxmlformats.org/officeDocument/2006/relationships/hyperlink" Target="https://www.standrewsislington.com/" TargetMode="External"/><Relationship Id="rId228" Type="http://schemas.openxmlformats.org/officeDocument/2006/relationships/hyperlink" Target="http://www.st-pauls.towerhamlets.sch.uk/" TargetMode="External"/><Relationship Id="rId435" Type="http://schemas.openxmlformats.org/officeDocument/2006/relationships/hyperlink" Target="https://en.wikipedia.org/wiki/St_Mary%27s_Church,_Islington" TargetMode="External"/><Relationship Id="rId477" Type="http://schemas.openxmlformats.org/officeDocument/2006/relationships/hyperlink" Target="https://www.london.anglican.org/directory/david-lambert/" TargetMode="External"/><Relationship Id="rId600" Type="http://schemas.openxmlformats.org/officeDocument/2006/relationships/hyperlink" Target="https://www.crockford.org.uk/places/12834/the-benefice-of-mildmay-grove-(st-jude-and-st-paul)" TargetMode="External"/><Relationship Id="rId281" Type="http://schemas.openxmlformats.org/officeDocument/2006/relationships/hyperlink" Target="=IFERROR(VLOOKUP($C48,%20DataFromWikipedia!A:T,%2017,%20FALSE),%20%22%22)" TargetMode="External"/><Relationship Id="rId337" Type="http://schemas.openxmlformats.org/officeDocument/2006/relationships/hyperlink" Target="=IFERROR(VLOOKUP($C105,%20DataFromWikipedia!A:T,%2017,%20FALSE),%20%22%22)" TargetMode="External"/><Relationship Id="rId502" Type="http://schemas.openxmlformats.org/officeDocument/2006/relationships/hyperlink" Target="https://www.london.anglican.org/directory/brian-welsh/" TargetMode="External"/><Relationship Id="rId34" Type="http://schemas.openxmlformats.org/officeDocument/2006/relationships/hyperlink" Target="https://www.london.anglican.org/directory/st-michael-all-angels-london-fields/" TargetMode="External"/><Relationship Id="rId76" Type="http://schemas.openxmlformats.org/officeDocument/2006/relationships/hyperlink" Target="https://www.london.anglican.org/directory/st-saviour-hanley-road/" TargetMode="External"/><Relationship Id="rId141" Type="http://schemas.openxmlformats.org/officeDocument/2006/relationships/hyperlink" Target="https://www.stjamesclapton.co.uk/" TargetMode="External"/><Relationship Id="rId379" Type="http://schemas.openxmlformats.org/officeDocument/2006/relationships/hyperlink" Target="https://en.wikipedia.org/wiki/Hackney_Wick" TargetMode="External"/><Relationship Id="rId544" Type="http://schemas.openxmlformats.org/officeDocument/2006/relationships/hyperlink" Target="https://www.london.anglican.org/directory/ed-dix/" TargetMode="External"/><Relationship Id="rId586" Type="http://schemas.openxmlformats.org/officeDocument/2006/relationships/hyperlink" Target="https://www.crockford.org.uk/places/13031/the-benefice-of-stoke-newington-(st-olave)" TargetMode="External"/><Relationship Id="rId7" Type="http://schemas.openxmlformats.org/officeDocument/2006/relationships/hyperlink" Target="https://www.london.anglican.org/directory/holy-trinity-dalston/" TargetMode="External"/><Relationship Id="rId183" Type="http://schemas.openxmlformats.org/officeDocument/2006/relationships/hyperlink" Target="http://stjudestpauls.co.uk/" TargetMode="External"/><Relationship Id="rId239" Type="http://schemas.openxmlformats.org/officeDocument/2006/relationships/hyperlink" Target="=IFERROR(VLOOKUP($C5,%20DataFromWikipedia!A:T,%2017,%20FALSE),%20%22%22)" TargetMode="External"/><Relationship Id="rId390" Type="http://schemas.openxmlformats.org/officeDocument/2006/relationships/hyperlink" Target="https://en.wikipedia.org/wiki/Clerkenwell" TargetMode="External"/><Relationship Id="rId404" Type="http://schemas.openxmlformats.org/officeDocument/2006/relationships/hyperlink" Target="https://en.wikipedia.org/wiki/Clerkenwell" TargetMode="External"/><Relationship Id="rId446" Type="http://schemas.openxmlformats.org/officeDocument/2006/relationships/hyperlink" Target="https://en.wikipedia.org/wiki/St_Paul%27s,_Bow_Common" TargetMode="External"/><Relationship Id="rId611" Type="http://schemas.openxmlformats.org/officeDocument/2006/relationships/hyperlink" Target="https://www.crockford.org.uk/places/12743/the-benefice-of-isle-of-dogs-(christ-church-and-st-john)-(st-luke)" TargetMode="External"/><Relationship Id="rId250" Type="http://schemas.openxmlformats.org/officeDocument/2006/relationships/hyperlink" Target="=IFERROR(VLOOKUP($C16,%20DataFromWikipedia!A:T,%2017,%20FALSE),%20%22%22)" TargetMode="External"/><Relationship Id="rId292" Type="http://schemas.openxmlformats.org/officeDocument/2006/relationships/hyperlink" Target="=IFERROR(VLOOKUP($C59,%20DataFromWikipedia!A:T,%2017,%20FALSE),%20%22%22)" TargetMode="External"/><Relationship Id="rId306" Type="http://schemas.openxmlformats.org/officeDocument/2006/relationships/hyperlink" Target="=IFERROR(VLOOKUP($C73,%20DataFromWikipedia!A:T,%2017,%20FALSE),%20%22%22)" TargetMode="External"/><Relationship Id="rId488" Type="http://schemas.openxmlformats.org/officeDocument/2006/relationships/hyperlink" Target="https://www.london.anglican.org/directory/andrew-baughen/" TargetMode="External"/><Relationship Id="rId45" Type="http://schemas.openxmlformats.org/officeDocument/2006/relationships/hyperlink" Target="https://www.london.anglican.org/directory/city-ymca-london/" TargetMode="External"/><Relationship Id="rId87" Type="http://schemas.openxmlformats.org/officeDocument/2006/relationships/hyperlink" Target="https://www.london.anglican.org/directory/all-saints-poplar-poplar-team-ministry/" TargetMode="External"/><Relationship Id="rId110" Type="http://schemas.openxmlformats.org/officeDocument/2006/relationships/hyperlink" Target="https://www.london.anglican.org/directory/st-lukes-cofe-primary-school/" TargetMode="External"/><Relationship Id="rId348" Type="http://schemas.openxmlformats.org/officeDocument/2006/relationships/hyperlink" Target="=IFERROR(VLOOKUP($C116,%20DataFromWikipedia!A:T,%2017,%20FALSE),%20%22%22)" TargetMode="External"/><Relationship Id="rId513" Type="http://schemas.openxmlformats.org/officeDocument/2006/relationships/hyperlink" Target="https://www.london.anglican.org/directory/victoria-linsley/" TargetMode="External"/><Relationship Id="rId555" Type="http://schemas.openxmlformats.org/officeDocument/2006/relationships/hyperlink" Target="https://www.london.anglican.org/directory/nicola-horton/" TargetMode="External"/><Relationship Id="rId597" Type="http://schemas.openxmlformats.org/officeDocument/2006/relationships/hyperlink" Target="https://www.crockford.org.uk/places/12532/the-benefice-of-clerkenwell-(st-mark)" TargetMode="External"/><Relationship Id="rId152" Type="http://schemas.openxmlformats.org/officeDocument/2006/relationships/hyperlink" Target="https://www.stmaryn16.org/" TargetMode="External"/><Relationship Id="rId194" Type="http://schemas.openxmlformats.org/officeDocument/2006/relationships/hyperlink" Target="https://www.saint-silas.org.uk/" TargetMode="External"/><Relationship Id="rId208" Type="http://schemas.openxmlformats.org/officeDocument/2006/relationships/hyperlink" Target="http://www.rainesfoundation.org.uk/" TargetMode="External"/><Relationship Id="rId415" Type="http://schemas.openxmlformats.org/officeDocument/2006/relationships/hyperlink" Target="https://en.wikipedia.org/wiki/St_George_in_the_East_(parish)" TargetMode="External"/><Relationship Id="rId457" Type="http://schemas.openxmlformats.org/officeDocument/2006/relationships/hyperlink" Target="https://www.london.anglican.org/directory/charis-enga/" TargetMode="External"/><Relationship Id="rId622" Type="http://schemas.openxmlformats.org/officeDocument/2006/relationships/hyperlink" Target="https://www.crockford.org.uk/places/12481/the-benefice-of-bethnal-green-(st-matthew-with-st-james-the-great)" TargetMode="External"/><Relationship Id="rId261" Type="http://schemas.openxmlformats.org/officeDocument/2006/relationships/hyperlink" Target="=IFERROR(VLOOKUP($C27,%20DataFromWikipedia!A:T,%2017,%20FALSE),%20%22%22)" TargetMode="External"/><Relationship Id="rId499" Type="http://schemas.openxmlformats.org/officeDocument/2006/relationships/hyperlink" Target="https://www.london.anglican.org/directory/pete-nicholas/" TargetMode="External"/><Relationship Id="rId14" Type="http://schemas.openxmlformats.org/officeDocument/2006/relationships/hyperlink" Target="https://www.london.anglican.org/directory/st-barnabas-dalston/" TargetMode="External"/><Relationship Id="rId56" Type="http://schemas.openxmlformats.org/officeDocument/2006/relationships/hyperlink" Target="https://www.london.anglican.org/directory/st-andrews-barnsbury-cofe-primary-school/" TargetMode="External"/><Relationship Id="rId317" Type="http://schemas.openxmlformats.org/officeDocument/2006/relationships/hyperlink" Target="=IFERROR(VLOOKUP($C85,%20DataFromWikipedia!A:T,%2017,%20FALSE),%20%22%22)" TargetMode="External"/><Relationship Id="rId359" Type="http://schemas.openxmlformats.org/officeDocument/2006/relationships/hyperlink" Target="=IFERROR(VLOOKUP($C127,%20DataFromWikipedia!A:T,%2017,%20FALSE),%20%22%22)" TargetMode="External"/><Relationship Id="rId524" Type="http://schemas.openxmlformats.org/officeDocument/2006/relationships/hyperlink" Target="https://www.london.anglican.org/directory/cris-rogers/" TargetMode="External"/><Relationship Id="rId566" Type="http://schemas.openxmlformats.org/officeDocument/2006/relationships/hyperlink" Target="https://www.crockford.org.uk/places/12544/the-benefice-of-dalston-(holy-trinity)-with-st-philip-and-haggerston-all-saints" TargetMode="External"/><Relationship Id="rId98" Type="http://schemas.openxmlformats.org/officeDocument/2006/relationships/hyperlink" Target="https://www.london.anglican.org/directory/queen-mary-university-of-london/" TargetMode="External"/><Relationship Id="rId121" Type="http://schemas.openxmlformats.org/officeDocument/2006/relationships/hyperlink" Target="https://www.london.anglican.org/directory/st-pauls-cofe-primary-school/" TargetMode="External"/><Relationship Id="rId163" Type="http://schemas.openxmlformats.org/officeDocument/2006/relationships/hyperlink" Target="http://www.theurswickschool.co.uk/" TargetMode="External"/><Relationship Id="rId219" Type="http://schemas.openxmlformats.org/officeDocument/2006/relationships/hyperlink" Target="https://www.bowchurch.org.uk/" TargetMode="External"/><Relationship Id="rId370" Type="http://schemas.openxmlformats.org/officeDocument/2006/relationships/hyperlink" Target="https://en.wikipedia.org/wiki/Stoke_Newington" TargetMode="External"/><Relationship Id="rId426" Type="http://schemas.openxmlformats.org/officeDocument/2006/relationships/hyperlink" Target="https://en.wikipedia.org/wiki/St_Andrew,_Stoke_Newington" TargetMode="External"/><Relationship Id="rId230" Type="http://schemas.openxmlformats.org/officeDocument/2006/relationships/hyperlink" Target="http://www.stpeterslondondocks.org.uk/" TargetMode="External"/><Relationship Id="rId468" Type="http://schemas.openxmlformats.org/officeDocument/2006/relationships/hyperlink" Target="https://www.london.anglican.org/directory/alice-whalley/" TargetMode="External"/><Relationship Id="rId25" Type="http://schemas.openxmlformats.org/officeDocument/2006/relationships/hyperlink" Target="https://www.london.anglican.org/directory/st-josephs-hospice/" TargetMode="External"/><Relationship Id="rId67" Type="http://schemas.openxmlformats.org/officeDocument/2006/relationships/hyperlink" Target="https://www.london.anglican.org/directory/st-luke-west-holloway/" TargetMode="External"/><Relationship Id="rId272" Type="http://schemas.openxmlformats.org/officeDocument/2006/relationships/hyperlink" Target="=IFERROR(VLOOKUP($C38,%20DataFromWikipedia!A:T,%2017,%20FALSE),%20%22%22)" TargetMode="External"/><Relationship Id="rId328" Type="http://schemas.openxmlformats.org/officeDocument/2006/relationships/hyperlink" Target="=IFERROR(VLOOKUP($C96,%20DataFromWikipedia!A:T,%2017,%20FALSE),%20%22%22)" TargetMode="External"/><Relationship Id="rId535" Type="http://schemas.openxmlformats.org/officeDocument/2006/relationships/hyperlink" Target="https://www.london.anglican.org/directory/chris-newman-day/" TargetMode="External"/><Relationship Id="rId577" Type="http://schemas.openxmlformats.org/officeDocument/2006/relationships/hyperlink" Target="https://www.crockford.org.uk/places/12504/the-benefice-of-brownswood-park-(st-john-the-evangelist)" TargetMode="External"/><Relationship Id="rId132" Type="http://schemas.openxmlformats.org/officeDocument/2006/relationships/hyperlink" Target="http://www.hackneymarshteam.org.uk/" TargetMode="External"/><Relationship Id="rId174" Type="http://schemas.openxmlformats.org/officeDocument/2006/relationships/hyperlink" Target="http://www.standrews.islington.sch.uk/" TargetMode="External"/><Relationship Id="rId381" Type="http://schemas.openxmlformats.org/officeDocument/2006/relationships/hyperlink" Target="https://en.wikipedia.org/wiki/Upper_Clapton" TargetMode="External"/><Relationship Id="rId602" Type="http://schemas.openxmlformats.org/officeDocument/2006/relationships/hyperlink" Target="https://www.crockford.org.uk/places/13044/the-benefice-of-tollington-(st-mark)" TargetMode="External"/><Relationship Id="rId241" Type="http://schemas.openxmlformats.org/officeDocument/2006/relationships/hyperlink" Target="=IFERROR(VLOOKUP($C7,%20DataFromWikipedia!A:T,%2017,%20FALSE),%20%22%22)" TargetMode="External"/><Relationship Id="rId437" Type="http://schemas.openxmlformats.org/officeDocument/2006/relationships/hyperlink" Target="https://en.wikipedia.org/wiki/Christ_Church,_Spitalfields" TargetMode="External"/><Relationship Id="rId479" Type="http://schemas.openxmlformats.org/officeDocument/2006/relationships/hyperlink" Target="https://www.london.anglican.org/directory/steve-gayle/" TargetMode="External"/><Relationship Id="rId36" Type="http://schemas.openxmlformats.org/officeDocument/2006/relationships/hyperlink" Target="https://www.london.anglican.org/directory/st-olave-woodberry-down/" TargetMode="External"/><Relationship Id="rId283" Type="http://schemas.openxmlformats.org/officeDocument/2006/relationships/hyperlink" Target="=IFERROR(VLOOKUP($C50,%20DataFromWikipedia!A:T,%2017,%20FALSE),%20%22%22)" TargetMode="External"/><Relationship Id="rId339" Type="http://schemas.openxmlformats.org/officeDocument/2006/relationships/hyperlink" Target="=IFERROR(VLOOKUP($C107,%20DataFromWikipedia!A:T,%2017,%20FALSE),%20%22%22)" TargetMode="External"/><Relationship Id="rId490" Type="http://schemas.openxmlformats.org/officeDocument/2006/relationships/hyperlink" Target="https://www.london.anglican.org/directory/bola-adamolekun/" TargetMode="External"/><Relationship Id="rId504" Type="http://schemas.openxmlformats.org/officeDocument/2006/relationships/hyperlink" Target="https://www.london.anglican.org/directory/adeola-oladejo/" TargetMode="External"/><Relationship Id="rId546" Type="http://schemas.openxmlformats.org/officeDocument/2006/relationships/hyperlink" Target="https://www.london.anglican.org/directory/brian-ralph/" TargetMode="External"/><Relationship Id="rId78" Type="http://schemas.openxmlformats.org/officeDocument/2006/relationships/hyperlink" Target="https://www.london.anglican.org/directory/st-stephen-canonbury/" TargetMode="External"/><Relationship Id="rId101" Type="http://schemas.openxmlformats.org/officeDocument/2006/relationships/hyperlink" Target="https://www.london.anglican.org/directory/st-anne-w-st-peter-limehouse/" TargetMode="External"/><Relationship Id="rId143" Type="http://schemas.openxmlformats.org/officeDocument/2006/relationships/hyperlink" Target="http://www.st-johnjerusalem.hackney.sch.uk/" TargetMode="External"/><Relationship Id="rId185" Type="http://schemas.openxmlformats.org/officeDocument/2006/relationships/hyperlink" Target="http://www.saintlukeschurch.org.uk/" TargetMode="External"/><Relationship Id="rId350" Type="http://schemas.openxmlformats.org/officeDocument/2006/relationships/hyperlink" Target="=IFERROR(VLOOKUP($C118,%20DataFromWikipedia!A:T,%2017,%20FALSE),%20%22%22)" TargetMode="External"/><Relationship Id="rId406" Type="http://schemas.openxmlformats.org/officeDocument/2006/relationships/hyperlink" Target="https://en.wikipedia.org/wiki/Isle_of_Dogs" TargetMode="External"/><Relationship Id="rId588" Type="http://schemas.openxmlformats.org/officeDocument/2006/relationships/hyperlink" Target="https://www.crockford.org.uk/places/12547/the-benefice-of-de-beauvoir-town-(st-peter)" TargetMode="External"/><Relationship Id="rId9" Type="http://schemas.openxmlformats.org/officeDocument/2006/relationships/hyperlink" Target="https://www.london.anglican.org/directory/holy-trinity-hoxton/" TargetMode="External"/><Relationship Id="rId210" Type="http://schemas.openxmlformats.org/officeDocument/2006/relationships/hyperlink" Target="http://www.stanneslimehouse.org/" TargetMode="External"/><Relationship Id="rId392" Type="http://schemas.openxmlformats.org/officeDocument/2006/relationships/hyperlink" Target="https://en.wikipedia.org/wiki/Finsbury" TargetMode="External"/><Relationship Id="rId448" Type="http://schemas.openxmlformats.org/officeDocument/2006/relationships/hyperlink" Target="https://en.wikipedia.org/wiki/St_Peter%27s,_Bethnal_Green" TargetMode="External"/><Relationship Id="rId613" Type="http://schemas.openxmlformats.org/officeDocument/2006/relationships/hyperlink" Target="https://www.crockford.org.uk/places/12794/the-benefice-of-limehouse-(st-anne)-(st-peter)" TargetMode="External"/><Relationship Id="rId252" Type="http://schemas.openxmlformats.org/officeDocument/2006/relationships/hyperlink" Target="=IFERROR(VLOOKUP($C18,%20DataFromWikipedia!A:T,%2017,%20FALSE),%20%22%22)" TargetMode="External"/><Relationship Id="rId294" Type="http://schemas.openxmlformats.org/officeDocument/2006/relationships/hyperlink" Target="=IFERROR(VLOOKUP($C61,%20DataFromWikipedia!A:T,%2017,%20FALSE),%20%22%22)" TargetMode="External"/><Relationship Id="rId308" Type="http://schemas.openxmlformats.org/officeDocument/2006/relationships/hyperlink" Target="=IFERROR(VLOOKUP($C75,%20DataFromWikipedia!A:T,%2017,%20FALSE),%20%22%22)" TargetMode="External"/><Relationship Id="rId515" Type="http://schemas.openxmlformats.org/officeDocument/2006/relationships/hyperlink" Target="https://www.london.anglican.org/directory/pete-hughes/" TargetMode="External"/><Relationship Id="rId47" Type="http://schemas.openxmlformats.org/officeDocument/2006/relationships/hyperlink" Target="https://www.london.anglican.org/directory/emmanuel-hornsey-road/" TargetMode="External"/><Relationship Id="rId89" Type="http://schemas.openxmlformats.org/officeDocument/2006/relationships/hyperlink" Target="https://www.london.anglican.org/directory/bishops-chaplain-in-docklands/" TargetMode="External"/><Relationship Id="rId112" Type="http://schemas.openxmlformats.org/officeDocument/2006/relationships/hyperlink" Target="https://www.london.anglican.org/directory/st-mary-and-holy-trinity-bow/" TargetMode="External"/><Relationship Id="rId154" Type="http://schemas.openxmlformats.org/officeDocument/2006/relationships/hyperlink" Target="https://stmatthewse5.wordpress.com/" TargetMode="External"/><Relationship Id="rId361" Type="http://schemas.openxmlformats.org/officeDocument/2006/relationships/hyperlink" Target="=IFERROR(VLOOKUP($C129,%20DataFromWikipedia!A:T,%2017,%20FALSE),%20%22%22)" TargetMode="External"/><Relationship Id="rId557" Type="http://schemas.openxmlformats.org/officeDocument/2006/relationships/hyperlink" Target="https://www.london.anglican.org/directory/heather-atkinson/" TargetMode="External"/><Relationship Id="rId599" Type="http://schemas.openxmlformats.org/officeDocument/2006/relationships/hyperlink" Target="https://www.crockford.org.uk/places/13074/the-benefice-of-holloway,-upper-(st-john-the-evangelist)" TargetMode="External"/><Relationship Id="rId196" Type="http://schemas.openxmlformats.org/officeDocument/2006/relationships/hyperlink" Target="https://www.stthomaschurch.co.uk/" TargetMode="External"/><Relationship Id="rId417" Type="http://schemas.openxmlformats.org/officeDocument/2006/relationships/hyperlink" Target="https://en.wikipedia.org/wiki/Old_Ford" TargetMode="External"/><Relationship Id="rId459" Type="http://schemas.openxmlformats.org/officeDocument/2006/relationships/hyperlink" Target="https://www.london.anglican.org/directory/clive-main/" TargetMode="External"/><Relationship Id="rId624" Type="http://schemas.openxmlformats.org/officeDocument/2006/relationships/hyperlink" Target="https://www.crockford.org.uk/places/12489/the-benefice-of-bow-common-(st-paul)" TargetMode="External"/><Relationship Id="rId16" Type="http://schemas.openxmlformats.org/officeDocument/2006/relationships/hyperlink" Target="https://www.london.anglican.org/directory/st-bartholomew-stamford-hill/" TargetMode="External"/><Relationship Id="rId221" Type="http://schemas.openxmlformats.org/officeDocument/2006/relationships/hyperlink" Target="https://www.st-matthews.co.uk/" TargetMode="External"/><Relationship Id="rId263" Type="http://schemas.openxmlformats.org/officeDocument/2006/relationships/hyperlink" Target="=IFERROR(VLOOKUP($C29,%20DataFromWikipedia!A:T,%2017,%20FALSE),%20%22%22)" TargetMode="External"/><Relationship Id="rId319" Type="http://schemas.openxmlformats.org/officeDocument/2006/relationships/hyperlink" Target="=IFERROR(VLOOKUP($C87,%20DataFromWikipedia!A:T,%2017,%20FALSE),%20%22%22)" TargetMode="External"/><Relationship Id="rId470" Type="http://schemas.openxmlformats.org/officeDocument/2006/relationships/hyperlink" Target="https://www.london.anglican.org/directory/liz-adekunle/" TargetMode="External"/><Relationship Id="rId526" Type="http://schemas.openxmlformats.org/officeDocument/2006/relationships/hyperlink" Target="https://www.london.anglican.org/directory/tasha-critchlow/" TargetMode="External"/><Relationship Id="rId58" Type="http://schemas.openxmlformats.org/officeDocument/2006/relationships/hyperlink" Target="https://www.london.anglican.org/directory/st-clement-king-square/" TargetMode="External"/><Relationship Id="rId123" Type="http://schemas.openxmlformats.org/officeDocument/2006/relationships/hyperlink" Target="https://www.london.anglican.org/directory/st-peter-london-docks/" TargetMode="External"/><Relationship Id="rId330" Type="http://schemas.openxmlformats.org/officeDocument/2006/relationships/hyperlink" Target="=IFERROR(VLOOKUP($C98,%20DataFromWikipedia!A:T,%2017,%20FALSE),%20%22%22)" TargetMode="External"/><Relationship Id="rId568" Type="http://schemas.openxmlformats.org/officeDocument/2006/relationships/hyperlink" Target="https://www.crockford.org.uk/places/12735/the-benefice-of-hoxton-(holy-trinity)-(st-mary)" TargetMode="External"/><Relationship Id="rId165" Type="http://schemas.openxmlformats.org/officeDocument/2006/relationships/hyperlink" Target="http://www.christchurchhighbury.com/" TargetMode="External"/><Relationship Id="rId372" Type="http://schemas.openxmlformats.org/officeDocument/2006/relationships/hyperlink" Target="https://en.wikipedia.org/wiki/Stamford_Hill" TargetMode="External"/><Relationship Id="rId428" Type="http://schemas.openxmlformats.org/officeDocument/2006/relationships/hyperlink" Target="https://en.wikipedia.org/wiki/St_Leonard%27s,_Shoreditch" TargetMode="External"/><Relationship Id="rId232" Type="http://schemas.openxmlformats.org/officeDocument/2006/relationships/hyperlink" Target="http://www.stpetersprimary.org.uk/" TargetMode="External"/><Relationship Id="rId274" Type="http://schemas.openxmlformats.org/officeDocument/2006/relationships/hyperlink" Target="=IFERROR(VLOOKUP($C40,%20DataFromWikipedia!A:T,%2017,%20FALSE),%20%22%22)" TargetMode="External"/><Relationship Id="rId481" Type="http://schemas.openxmlformats.org/officeDocument/2006/relationships/hyperlink" Target="https://www.london.anglican.org/directory/niall-weir/" TargetMode="External"/><Relationship Id="rId27" Type="http://schemas.openxmlformats.org/officeDocument/2006/relationships/hyperlink" Target="https://www.london.anglican.org/directory/st-mark-dalston/" TargetMode="External"/><Relationship Id="rId69" Type="http://schemas.openxmlformats.org/officeDocument/2006/relationships/hyperlink" Target="https://www.london.anglican.org/directory/st-mark-clerkenwell/" TargetMode="External"/><Relationship Id="rId134" Type="http://schemas.openxmlformats.org/officeDocument/2006/relationships/hyperlink" Target="http://www.holytrinity.hackney.sch.uk/" TargetMode="External"/><Relationship Id="rId537" Type="http://schemas.openxmlformats.org/officeDocument/2006/relationships/hyperlink" Target="https://www.london.anglican.org/directory/richard-bray/" TargetMode="External"/><Relationship Id="rId579" Type="http://schemas.openxmlformats.org/officeDocument/2006/relationships/hyperlink" Target="https://www.crockford.org.uk/places/12545/the-benefice-of-dalston-(st-mark-with-st-bartholomew)" TargetMode="External"/><Relationship Id="rId80" Type="http://schemas.openxmlformats.org/officeDocument/2006/relationships/hyperlink" Target="https://www.london.anglican.org/directory/the-barnsbury-team/" TargetMode="External"/><Relationship Id="rId176" Type="http://schemas.openxmlformats.org/officeDocument/2006/relationships/hyperlink" Target="https://www.stclementfinsbury.org/" TargetMode="External"/><Relationship Id="rId341" Type="http://schemas.openxmlformats.org/officeDocument/2006/relationships/hyperlink" Target="=IFERROR(VLOOKUP($C109,%20DataFromWikipedia!A:T,%2017,%20FALSE),%20%22%22)" TargetMode="External"/><Relationship Id="rId383" Type="http://schemas.openxmlformats.org/officeDocument/2006/relationships/hyperlink" Target="https://en.wikipedia.org/wiki/Stoke_Newington_Common" TargetMode="External"/><Relationship Id="rId439" Type="http://schemas.openxmlformats.org/officeDocument/2006/relationships/hyperlink" Target="https://en.wikipedia.org/wiki/St_Barnabas%27s,_Bethnal_Green" TargetMode="External"/><Relationship Id="rId590" Type="http://schemas.openxmlformats.org/officeDocument/2006/relationships/hyperlink" Target="https://www.crockford.org.uk/places/12696/the-benefice-of-highbury-(christ-church)-(st-john)-(st-saviour)" TargetMode="External"/><Relationship Id="rId604" Type="http://schemas.openxmlformats.org/officeDocument/2006/relationships/hyperlink" Target="https://www.crockford.org.uk/places/12755/the-benefice-of-islington-(st-mary)" TargetMode="External"/><Relationship Id="rId201" Type="http://schemas.openxmlformats.org/officeDocument/2006/relationships/hyperlink" Target="http://www.parishofpoplar.org/" TargetMode="External"/><Relationship Id="rId243" Type="http://schemas.openxmlformats.org/officeDocument/2006/relationships/hyperlink" Target="=IFERROR(VLOOKUP($C9,%20DataFromWikipedia!A:T,%2017,%20FALSE),%20%22%22)" TargetMode="External"/><Relationship Id="rId285" Type="http://schemas.openxmlformats.org/officeDocument/2006/relationships/hyperlink" Target="=IFERROR(VLOOKUP($C52,%20DataFromWikipedia!A:T,%2017,%20FALSE),%20%22%22)" TargetMode="External"/><Relationship Id="rId450" Type="http://schemas.openxmlformats.org/officeDocument/2006/relationships/hyperlink" Target="https://www.london.anglican.org/directory/roy-tokunbo-olowu/" TargetMode="External"/><Relationship Id="rId506" Type="http://schemas.openxmlformats.org/officeDocument/2006/relationships/hyperlink" Target="https://www.london.anglican.org/directory/john-mackenzie/" TargetMode="External"/><Relationship Id="rId17" Type="http://schemas.openxmlformats.org/officeDocument/2006/relationships/hyperlink" Target="https://www.london.anglican.org/directory/st-chad-haggerston/" TargetMode="External"/><Relationship Id="rId38" Type="http://schemas.openxmlformats.org/officeDocument/2006/relationships/hyperlink" Target="https://www.london.anglican.org/directory/st-pauls-with-st-michaels-cof-e-primary-school/" TargetMode="External"/><Relationship Id="rId59" Type="http://schemas.openxmlformats.org/officeDocument/2006/relationships/hyperlink" Target="https://www.london.anglican.org/directory/st-george-all-saints-tufnell-park/" TargetMode="External"/><Relationship Id="rId103" Type="http://schemas.openxmlformats.org/officeDocument/2006/relationships/hyperlink" Target="https://www.london.anglican.org/directory/st-barnabas-bethnal-green/" TargetMode="External"/><Relationship Id="rId124" Type="http://schemas.openxmlformats.org/officeDocument/2006/relationships/hyperlink" Target="https://www.london.anglican.org/directory/st-peters-barge-canary-wharf/" TargetMode="External"/><Relationship Id="rId310" Type="http://schemas.openxmlformats.org/officeDocument/2006/relationships/hyperlink" Target="=IFERROR(VLOOKUP($C77,%20DataFromWikipedia!A:T,%2017,%20FALSE),%20%22%22)" TargetMode="External"/><Relationship Id="rId492" Type="http://schemas.openxmlformats.org/officeDocument/2006/relationships/hyperlink" Target="https://www.london.anglican.org/directory/christopher-trundle/" TargetMode="External"/><Relationship Id="rId527" Type="http://schemas.openxmlformats.org/officeDocument/2006/relationships/hyperlink" Target="https://www.london.anglican.org/directory/fiona-stewart-darling/" TargetMode="External"/><Relationship Id="rId548" Type="http://schemas.openxmlformats.org/officeDocument/2006/relationships/hyperlink" Target="https://www.london.anglican.org/directory/peter-mcgeary/" TargetMode="External"/><Relationship Id="rId569" Type="http://schemas.openxmlformats.org/officeDocument/2006/relationships/hyperlink" Target="https://www.crockford.org.uk/places/13028/the-benefice-of-stoke-newington-(st-andrew)" TargetMode="External"/><Relationship Id="rId70" Type="http://schemas.openxmlformats.org/officeDocument/2006/relationships/hyperlink" Target="https://www.london.anglican.org/directory/the-parish-of-tollington-st-mark-emmanuel-st-saviour/" TargetMode="External"/><Relationship Id="rId91" Type="http://schemas.openxmlformats.org/officeDocument/2006/relationships/hyperlink" Target="https://www.london.anglican.org/directory/christ-church-cofe-primary-school/" TargetMode="External"/><Relationship Id="rId145" Type="http://schemas.openxmlformats.org/officeDocument/2006/relationships/hyperlink" Target="http://www.st-john.hackney.sch.uk/" TargetMode="External"/><Relationship Id="rId166" Type="http://schemas.openxmlformats.org/officeDocument/2006/relationships/hyperlink" Target="https://www.city.ac.uk/" TargetMode="External"/><Relationship Id="rId187" Type="http://schemas.openxmlformats.org/officeDocument/2006/relationships/hyperlink" Target="https://www.stmarks-clerkenwell.co.uk/" TargetMode="External"/><Relationship Id="rId331" Type="http://schemas.openxmlformats.org/officeDocument/2006/relationships/hyperlink" Target="=IFERROR(VLOOKUP($C99,%20DataFromWikipedia!A:T,%2017,%20FALSE),%20%22%22)" TargetMode="External"/><Relationship Id="rId352" Type="http://schemas.openxmlformats.org/officeDocument/2006/relationships/hyperlink" Target="=IFERROR(VLOOKUP($C120,%20DataFromWikipedia!A:T,%2017,%20FALSE),%20%22%22)" TargetMode="External"/><Relationship Id="rId373" Type="http://schemas.openxmlformats.org/officeDocument/2006/relationships/hyperlink" Target="https://en.wikipedia.org/wiki/Haggerston" TargetMode="External"/><Relationship Id="rId394" Type="http://schemas.openxmlformats.org/officeDocument/2006/relationships/hyperlink" Target="https://en.wikipedia.org/wiki/Clerkenwell" TargetMode="External"/><Relationship Id="rId408" Type="http://schemas.openxmlformats.org/officeDocument/2006/relationships/hyperlink" Target="https://en.wikipedia.org/wiki/Limehouse" TargetMode="External"/><Relationship Id="rId429" Type="http://schemas.openxmlformats.org/officeDocument/2006/relationships/hyperlink" Target="https://en.wikipedia.org/wiki/St_Matthias%27_Church,_Stoke_Newington" TargetMode="External"/><Relationship Id="rId580" Type="http://schemas.openxmlformats.org/officeDocument/2006/relationships/hyperlink" Target="https://www.crockford.org.uk/places/12628/the-benefice-of-hackney-wick-(st-mary-of-eton)" TargetMode="External"/><Relationship Id="rId615" Type="http://schemas.openxmlformats.org/officeDocument/2006/relationships/hyperlink" Target="https://www.crockford.org.uk/places/13024/the-benefice-of-stepney-(st-dunstan-and-all-saints)"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www.stdunstanstepney.com/" TargetMode="External"/><Relationship Id="rId233" Type="http://schemas.openxmlformats.org/officeDocument/2006/relationships/hyperlink" Target="http://www.stsavioursschool.org.uk/" TargetMode="External"/><Relationship Id="rId254" Type="http://schemas.openxmlformats.org/officeDocument/2006/relationships/hyperlink" Target="=IFERROR(VLOOKUP($C20,%20DataFromWikipedia!A:T,%2017,%20FALSE),%20%22%22)" TargetMode="External"/><Relationship Id="rId440" Type="http://schemas.openxmlformats.org/officeDocument/2006/relationships/hyperlink" Target="https://en.wikipedia.org/wiki/St_George_in_the_East,_Stepney" TargetMode="External"/><Relationship Id="rId28" Type="http://schemas.openxmlformats.org/officeDocument/2006/relationships/hyperlink" Target="https://www.london.anglican.org/directory/st-mary-of-eton-hackney/" TargetMode="External"/><Relationship Id="rId49" Type="http://schemas.openxmlformats.org/officeDocument/2006/relationships/hyperlink" Target="https://www.london.anglican.org/directory/hope-church-islington/" TargetMode="External"/><Relationship Id="rId114" Type="http://schemas.openxmlformats.org/officeDocument/2006/relationships/hyperlink" Target="https://www.london.anglican.org/directory/st-matthew-bethnal-green/" TargetMode="External"/><Relationship Id="rId275" Type="http://schemas.openxmlformats.org/officeDocument/2006/relationships/hyperlink" Target="=IFERROR(VLOOKUP($C41,%20DataFromWikipedia!A:T,%2017,%20FALSE),%20%22%22)" TargetMode="External"/><Relationship Id="rId296" Type="http://schemas.openxmlformats.org/officeDocument/2006/relationships/hyperlink" Target="=IFERROR(VLOOKUP($C63,%20DataFromWikipedia!A:T,%2017,%20FALSE),%20%22%22)" TargetMode="External"/><Relationship Id="rId300" Type="http://schemas.openxmlformats.org/officeDocument/2006/relationships/hyperlink" Target="=IFERROR(VLOOKUP($C67,%20DataFromWikipedia!A:T,%2017,%20FALSE),%20%22%22)" TargetMode="External"/><Relationship Id="rId461" Type="http://schemas.openxmlformats.org/officeDocument/2006/relationships/hyperlink" Target="https://www.london.anglican.org/directory/james-westcott/" TargetMode="External"/><Relationship Id="rId482" Type="http://schemas.openxmlformats.org/officeDocument/2006/relationships/hyperlink" Target="https://www.london.anglican.org/directory/kiyeran-lot/" TargetMode="External"/><Relationship Id="rId517" Type="http://schemas.openxmlformats.org/officeDocument/2006/relationships/hyperlink" Target="https://www.london.anglican.org/directory/john-beauchamp/" TargetMode="External"/><Relationship Id="rId538" Type="http://schemas.openxmlformats.org/officeDocument/2006/relationships/hyperlink" Target="https://www.london.anglican.org/directory/brian-ralph/" TargetMode="External"/><Relationship Id="rId559" Type="http://schemas.openxmlformats.org/officeDocument/2006/relationships/hyperlink" Target="https://www.london.anglican.org/directory/marcus-nodder/" TargetMode="External"/><Relationship Id="rId60" Type="http://schemas.openxmlformats.org/officeDocument/2006/relationships/hyperlink" Target="https://www.london.anglican.org/directory/st-james-clerkenwell/" TargetMode="External"/><Relationship Id="rId81" Type="http://schemas.openxmlformats.org/officeDocument/2006/relationships/hyperlink" Target="https://www.london.anglican.org/directory/the-charterhouse/" TargetMode="External"/><Relationship Id="rId135" Type="http://schemas.openxmlformats.org/officeDocument/2006/relationships/hyperlink" Target="https://hackney.church/" TargetMode="External"/><Relationship Id="rId156" Type="http://schemas.openxmlformats.org/officeDocument/2006/relationships/hyperlink" Target="https://www.stmchurch.co.uk/" TargetMode="External"/><Relationship Id="rId177" Type="http://schemas.openxmlformats.org/officeDocument/2006/relationships/hyperlink" Target="http://www.stgeorgestufnellpark.org/" TargetMode="External"/><Relationship Id="rId198" Type="http://schemas.openxmlformats.org/officeDocument/2006/relationships/hyperlink" Target="http://www.churchonthecorner.org.uk/" TargetMode="External"/><Relationship Id="rId321" Type="http://schemas.openxmlformats.org/officeDocument/2006/relationships/hyperlink" Target="=IFERROR(VLOOKUP($C89,%20DataFromWikipedia!A:T,%2017,%20FALSE),%20%22%22)" TargetMode="External"/><Relationship Id="rId342" Type="http://schemas.openxmlformats.org/officeDocument/2006/relationships/hyperlink" Target="=IFERROR(VLOOKUP($C110,%20DataFromWikipedia!A:T,%2017,%20FALSE),%20%22%22)" TargetMode="External"/><Relationship Id="rId363" Type="http://schemas.openxmlformats.org/officeDocument/2006/relationships/hyperlink" Target="=IFERROR(VLOOKUP($C131,%20DataFromWikipedia!A:T,%2017,%20FALSE),%20%22%22)" TargetMode="External"/><Relationship Id="rId384" Type="http://schemas.openxmlformats.org/officeDocument/2006/relationships/hyperlink" Target="https://en.wikipedia.org/wiki/Stoke_Newington" TargetMode="External"/><Relationship Id="rId419" Type="http://schemas.openxmlformats.org/officeDocument/2006/relationships/hyperlink" Target="https://en.wikipedia.org/wiki/Shadwell" TargetMode="External"/><Relationship Id="rId570" Type="http://schemas.openxmlformats.org/officeDocument/2006/relationships/hyperlink" Target="https://www.crockford.org.uk/places/12738/the-benefice-of-hoxton-(st-anne)-(st-columba)" TargetMode="External"/><Relationship Id="rId591" Type="http://schemas.openxmlformats.org/officeDocument/2006/relationships/hyperlink" Target="https://www.crockford.org.uk/places/13044/the-benefice-of-tollington-(st-mark)" TargetMode="External"/><Relationship Id="rId605" Type="http://schemas.openxmlformats.org/officeDocument/2006/relationships/hyperlink" Target="https://www.crockford.org.uk/places/13044/the-benefice-of-tollington-(st-mark)" TargetMode="External"/><Relationship Id="rId626" Type="http://schemas.openxmlformats.org/officeDocument/2006/relationships/hyperlink" Target="https://www.crockford.org.uk/places/12482/the-benefice-of-bethnal-green-(st-peter)-(st-thomas)" TargetMode="External"/><Relationship Id="rId202" Type="http://schemas.openxmlformats.org/officeDocument/2006/relationships/hyperlink" Target="https://www.canarywharfchaplaincy.co.uk/" TargetMode="External"/><Relationship Id="rId223" Type="http://schemas.openxmlformats.org/officeDocument/2006/relationships/hyperlink" Target="http://stnicholaspoplar.org/" TargetMode="External"/><Relationship Id="rId244" Type="http://schemas.openxmlformats.org/officeDocument/2006/relationships/hyperlink" Target="=IFERROR(VLOOKUP($C10,%20DataFromWikipedia!A:T,%2017,%20FALSE),%20%22%22)" TargetMode="External"/><Relationship Id="rId430" Type="http://schemas.openxmlformats.org/officeDocument/2006/relationships/hyperlink" Target="https://en.wikipedia.org/wiki/Christ_Church_Highbury" TargetMode="External"/><Relationship Id="rId18" Type="http://schemas.openxmlformats.org/officeDocument/2006/relationships/hyperlink" Target="https://www.london.anglican.org/directory/st-james-clapton/" TargetMode="External"/><Relationship Id="rId39" Type="http://schemas.openxmlformats.org/officeDocument/2006/relationships/hyperlink" Target="https://www.london.anglican.org/directory/st-peter-de-beauvoir-town/" TargetMode="External"/><Relationship Id="rId265" Type="http://schemas.openxmlformats.org/officeDocument/2006/relationships/hyperlink" Target="=IFERROR(VLOOKUP($C31,%20DataFromWikipedia!A:T,%2017,%20FALSE),%20%22%22)" TargetMode="External"/><Relationship Id="rId286" Type="http://schemas.openxmlformats.org/officeDocument/2006/relationships/hyperlink" Target="=IFERROR(VLOOKUP($C53,%20DataFromWikipedia!A:T,%2017,%20FALSE),%20%22%22)" TargetMode="External"/><Relationship Id="rId451" Type="http://schemas.openxmlformats.org/officeDocument/2006/relationships/hyperlink" Target="https://www.london.anglican.org/directory/andrew-jones/" TargetMode="External"/><Relationship Id="rId472" Type="http://schemas.openxmlformats.org/officeDocument/2006/relationships/hyperlink" Target="https://www.london.anglican.org/directory/sue-makin/" TargetMode="External"/><Relationship Id="rId493" Type="http://schemas.openxmlformats.org/officeDocument/2006/relationships/hyperlink" Target="https://www.london.anglican.org/directory/sarah-wall-2/" TargetMode="External"/><Relationship Id="rId507" Type="http://schemas.openxmlformats.org/officeDocument/2006/relationships/hyperlink" Target="https://www.london.anglican.org/directory/ann-dwulit/" TargetMode="External"/><Relationship Id="rId528" Type="http://schemas.openxmlformats.org/officeDocument/2006/relationships/hyperlink" Target="https://www.london.anglican.org/directory/tom-pyke/" TargetMode="External"/><Relationship Id="rId549" Type="http://schemas.openxmlformats.org/officeDocument/2006/relationships/hyperlink" Target="https://www.london.anglican.org/directory/erin-clark/" TargetMode="External"/><Relationship Id="rId50" Type="http://schemas.openxmlformats.org/officeDocument/2006/relationships/hyperlink" Target="https://www.london.anglican.org/directory/london-metropolitan-university-chaplaincy/" TargetMode="External"/><Relationship Id="rId104" Type="http://schemas.openxmlformats.org/officeDocument/2006/relationships/hyperlink" Target="https://www.london.anglican.org/directory/st-dunstan-all-saints-stepney/" TargetMode="External"/><Relationship Id="rId125" Type="http://schemas.openxmlformats.org/officeDocument/2006/relationships/hyperlink" Target="https://www.london.anglican.org/directory/st-peters-cofe-primary-school/" TargetMode="External"/><Relationship Id="rId146" Type="http://schemas.openxmlformats.org/officeDocument/2006/relationships/hyperlink" Target="https://www.stjohnshoxton.org.uk/" TargetMode="External"/><Relationship Id="rId167" Type="http://schemas.openxmlformats.org/officeDocument/2006/relationships/hyperlink" Target="https://www.cityymca.org/" TargetMode="External"/><Relationship Id="rId188" Type="http://schemas.openxmlformats.org/officeDocument/2006/relationships/hyperlink" Target="https://www.tollingtonparish.org.uk/" TargetMode="External"/><Relationship Id="rId311" Type="http://schemas.openxmlformats.org/officeDocument/2006/relationships/hyperlink" Target="=IFERROR(VLOOKUP($C78,%20DataFromWikipedia!A:T,%2017,%20FALSE),%20%22%22)" TargetMode="External"/><Relationship Id="rId332" Type="http://schemas.openxmlformats.org/officeDocument/2006/relationships/hyperlink" Target="=IFERROR(VLOOKUP($C100,%20DataFromWikipedia!A:T,%2017,%20FALSE),%20%22%22)" TargetMode="External"/><Relationship Id="rId353" Type="http://schemas.openxmlformats.org/officeDocument/2006/relationships/hyperlink" Target="=IFERROR(VLOOKUP($C121,%20DataFromWikipedia!A:T,%2017,%20FALSE),%20%22%22)" TargetMode="External"/><Relationship Id="rId374" Type="http://schemas.openxmlformats.org/officeDocument/2006/relationships/hyperlink" Target="https://en.wikipedia.org/wiki/Upper_Clapton" TargetMode="External"/><Relationship Id="rId395" Type="http://schemas.openxmlformats.org/officeDocument/2006/relationships/hyperlink" Target="https://en.wikipedia.org/wiki/Islington" TargetMode="External"/><Relationship Id="rId409" Type="http://schemas.openxmlformats.org/officeDocument/2006/relationships/hyperlink" Target="https://en.wikipedia.org/wiki/Bethnal_Green" TargetMode="External"/><Relationship Id="rId560" Type="http://schemas.openxmlformats.org/officeDocument/2006/relationships/hyperlink" Target="https://www.london.anglican.org/directory/elizabeth-dickson/" TargetMode="External"/><Relationship Id="rId581" Type="http://schemas.openxmlformats.org/officeDocument/2006/relationships/hyperlink" Target="https://www.crockford.org.uk/places/13030/the-benefice-of-stoke-newington-(st-mary)-(old-parish-church)" TargetMode="External"/><Relationship Id="rId71" Type="http://schemas.openxmlformats.org/officeDocument/2006/relationships/hyperlink" Target="https://www.london.anglican.org/directory/st-marks-cofe-primary-school/" TargetMode="External"/><Relationship Id="rId92" Type="http://schemas.openxmlformats.org/officeDocument/2006/relationships/hyperlink" Target="https://www.london.anglican.org/directory/christ-church-isle-of-dogs/" TargetMode="External"/><Relationship Id="rId213" Type="http://schemas.openxmlformats.org/officeDocument/2006/relationships/hyperlink" Target="http://www.stgeorgeintheeast.org/" TargetMode="External"/><Relationship Id="rId234" Type="http://schemas.openxmlformats.org/officeDocument/2006/relationships/hyperlink" Target="http://www.stepneygreencoat.towerhamlets.sch.uk/" TargetMode="External"/><Relationship Id="rId420" Type="http://schemas.openxmlformats.org/officeDocument/2006/relationships/hyperlink" Target="https://en.wikipedia.org/wiki/Bethnal_Green" TargetMode="External"/><Relationship Id="rId616" Type="http://schemas.openxmlformats.org/officeDocument/2006/relationships/hyperlink" Target="https://www.crockford.org.uk/places/12946/the-benefice-of-st-george-in-the-east-with-st-paul"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mary-stoke-newington/" TargetMode="External"/><Relationship Id="rId255" Type="http://schemas.openxmlformats.org/officeDocument/2006/relationships/hyperlink" Target="=IFERROR(VLOOKUP($C21,%20DataFromWikipedia!A:T,%2017,%20FALSE),%20%22%22)" TargetMode="External"/><Relationship Id="rId276" Type="http://schemas.openxmlformats.org/officeDocument/2006/relationships/hyperlink" Target="=IFERROR(VLOOKUP($C42,%20DataFromWikipedia!A:T,%2017,%20FALSE),%20%22%22)" TargetMode="External"/><Relationship Id="rId297" Type="http://schemas.openxmlformats.org/officeDocument/2006/relationships/hyperlink" Target="=IFERROR(VLOOKUP($C64,%20DataFromWikipedia!A:T,%2017,%20FALSE),%20%22%22)" TargetMode="External"/><Relationship Id="rId441" Type="http://schemas.openxmlformats.org/officeDocument/2006/relationships/hyperlink" Target="https://en.wikipedia.org/wiki/St_James-the-Less,_Bethnal_Green" TargetMode="External"/><Relationship Id="rId462" Type="http://schemas.openxmlformats.org/officeDocument/2006/relationships/hyperlink" Target="https://www.london.anglican.org/directory/rosemia-brown/" TargetMode="External"/><Relationship Id="rId483" Type="http://schemas.openxmlformats.org/officeDocument/2006/relationships/hyperlink" Target="https://www.london.anglican.org/directory/julia-porter-pryce/" TargetMode="External"/><Relationship Id="rId518" Type="http://schemas.openxmlformats.org/officeDocument/2006/relationships/hyperlink" Target="https://www.london.anglican.org/directory/stephen-coles/" TargetMode="External"/><Relationship Id="rId539" Type="http://schemas.openxmlformats.org/officeDocument/2006/relationships/hyperlink" Target="https://www.london.anglican.org/directory/trevor-critchlow/" TargetMode="External"/><Relationship Id="rId40" Type="http://schemas.openxmlformats.org/officeDocument/2006/relationships/hyperlink" Target="https://www.london.anglican.org/directory/st-thomas-clapton-common/" TargetMode="External"/><Relationship Id="rId115" Type="http://schemas.openxmlformats.org/officeDocument/2006/relationships/hyperlink" Target="https://www.london.anglican.org/directory/st-matthias-cofe-primary-school/" TargetMode="External"/><Relationship Id="rId136" Type="http://schemas.openxmlformats.org/officeDocument/2006/relationships/hyperlink" Target="https://www.stsaviourspriory.org.uk/" TargetMode="External"/><Relationship Id="rId157" Type="http://schemas.openxmlformats.org/officeDocument/2006/relationships/hyperlink" Target="https://www.stmichaelslondonfields.org.uk/" TargetMode="External"/><Relationship Id="rId178" Type="http://schemas.openxmlformats.org/officeDocument/2006/relationships/hyperlink" Target="http://inspiresaintjames.org/" TargetMode="External"/><Relationship Id="rId301" Type="http://schemas.openxmlformats.org/officeDocument/2006/relationships/hyperlink" Target="=IFERROR(VLOOKUP($C68,%20DataFromWikipedia!A:T,%2017,%20FALSE),%20%22%22)" TargetMode="External"/><Relationship Id="rId322" Type="http://schemas.openxmlformats.org/officeDocument/2006/relationships/hyperlink" Target="=IFERROR(VLOOKUP($C90,%20DataFromWikipedia!A:T,%2017,%20FALSE),%20%22%22)" TargetMode="External"/><Relationship Id="rId343" Type="http://schemas.openxmlformats.org/officeDocument/2006/relationships/hyperlink" Target="=IFERROR(VLOOKUP($C111,%20DataFromWikipedia!A:T,%2017,%20FALSE),%20%22%22)" TargetMode="External"/><Relationship Id="rId364" Type="http://schemas.openxmlformats.org/officeDocument/2006/relationships/hyperlink" Target="=IFERROR(VLOOKUP($C132,%20DataFromWikipedia!A:T,%2017,%20FALSE),%20%22%22)" TargetMode="External"/><Relationship Id="rId550" Type="http://schemas.openxmlformats.org/officeDocument/2006/relationships/hyperlink" Target="https://www.london.anglican.org/directory/sian-davies-4/" TargetMode="External"/><Relationship Id="rId61" Type="http://schemas.openxmlformats.org/officeDocument/2006/relationships/hyperlink" Target="https://www.london.anglican.org/directory/st-james-islington/" TargetMode="External"/><Relationship Id="rId82" Type="http://schemas.openxmlformats.org/officeDocument/2006/relationships/hyperlink" Target="https://www.london.anglican.org/directory/the-church-on-the-corner-the-barnsbury-team/" TargetMode="External"/><Relationship Id="rId199" Type="http://schemas.openxmlformats.org/officeDocument/2006/relationships/hyperlink" Target="https://www.trinityislington.org/" TargetMode="External"/><Relationship Id="rId203" Type="http://schemas.openxmlformats.org/officeDocument/2006/relationships/hyperlink" Target="http://www.parishiod.org.uk/" TargetMode="External"/><Relationship Id="rId385" Type="http://schemas.openxmlformats.org/officeDocument/2006/relationships/hyperlink" Target="https://en.wikipedia.org/wiki/West_Hackney" TargetMode="External"/><Relationship Id="rId571" Type="http://schemas.openxmlformats.org/officeDocument/2006/relationships/hyperlink" Target="https://www.crockford.org.uk/places/12627/the-benefice-of-hackney-marsh-(all-souls)" TargetMode="External"/><Relationship Id="rId592" Type="http://schemas.openxmlformats.org/officeDocument/2006/relationships/hyperlink" Target="https://www.crockford.org.uk/places/12530/the-benefice-of-clerkenwell-(our-most-holy-redeemer)" TargetMode="External"/><Relationship Id="rId606" Type="http://schemas.openxmlformats.org/officeDocument/2006/relationships/hyperlink" Target="https://www.crockford.org.uk/places/12911/the-benefice-of-pentonville-(st-silas-with-all-saints)-(st-james)" TargetMode="External"/><Relationship Id="rId627" Type="http://schemas.openxmlformats.org/officeDocument/2006/relationships/hyperlink" Target="https://www.crockford.org.uk/places/12828/the-benefice-of-london-docks-(st-peter)-with-wapping-st-john" TargetMode="External"/><Relationship Id="rId19" Type="http://schemas.openxmlformats.org/officeDocument/2006/relationships/hyperlink" Target="https://www.london.anglican.org/directory/st-john-and-st-james-cof-e-primary-school/" TargetMode="External"/><Relationship Id="rId224" Type="http://schemas.openxmlformats.org/officeDocument/2006/relationships/hyperlink" Target="http://www.stpauloldford.com/" TargetMode="External"/><Relationship Id="rId245" Type="http://schemas.openxmlformats.org/officeDocument/2006/relationships/hyperlink" Target="=IFERROR(VLOOKUP($C11,%20DataFromWikipedia!A:T,%2017,%20FALSE),%20%22%22)" TargetMode="External"/><Relationship Id="rId266" Type="http://schemas.openxmlformats.org/officeDocument/2006/relationships/hyperlink" Target="=IFERROR(VLOOKUP($C32,%20DataFromWikipedia!A:T,%2017,%20FALSE),%20%22%22)" TargetMode="External"/><Relationship Id="rId287" Type="http://schemas.openxmlformats.org/officeDocument/2006/relationships/hyperlink" Target="=IFERROR(VLOOKUP($C54,%20DataFromWikipedia!A:T,%2017,%20FALSE),%20%22%22)" TargetMode="External"/><Relationship Id="rId410" Type="http://schemas.openxmlformats.org/officeDocument/2006/relationships/hyperlink" Target="https://en.wikipedia.org/wiki/Stepney" TargetMode="External"/><Relationship Id="rId431" Type="http://schemas.openxmlformats.org/officeDocument/2006/relationships/hyperlink" Target="https://en.wikipedia.org/wiki/Our_Most_Holy_Redeemer" TargetMode="External"/><Relationship Id="rId452" Type="http://schemas.openxmlformats.org/officeDocument/2006/relationships/hyperlink" Target="https://www.london.anglican.org/directory/sian-davies/" TargetMode="External"/><Relationship Id="rId473" Type="http://schemas.openxmlformats.org/officeDocument/2006/relationships/hyperlink" Target="https://www.london.anglican.org/directory/dilly-baker/" TargetMode="External"/><Relationship Id="rId494" Type="http://schemas.openxmlformats.org/officeDocument/2006/relationships/hyperlink" Target="https://www.london.anglican.org/directory/steve-clarke/" TargetMode="External"/><Relationship Id="rId508" Type="http://schemas.openxmlformats.org/officeDocument/2006/relationships/hyperlink" Target="https://www.london.anglican.org/directory/christopher-trundle/" TargetMode="External"/><Relationship Id="rId529" Type="http://schemas.openxmlformats.org/officeDocument/2006/relationships/hyperlink" Target="https://www.london.anglican.org/directory/julian-morant/" TargetMode="External"/><Relationship Id="rId30" Type="http://schemas.openxmlformats.org/officeDocument/2006/relationships/hyperlink" Target="https://www.london.anglican.org/directory/st-marys-cofe-primary-school/" TargetMode="External"/><Relationship Id="rId105" Type="http://schemas.openxmlformats.org/officeDocument/2006/relationships/hyperlink" Target="https://www.london.anglican.org/directory/st-george-in-the-east/" TargetMode="External"/><Relationship Id="rId126" Type="http://schemas.openxmlformats.org/officeDocument/2006/relationships/hyperlink" Target="https://www.london.anglican.org/directory/st-saviours-cofe-primary-school/" TargetMode="External"/><Relationship Id="rId147" Type="http://schemas.openxmlformats.org/officeDocument/2006/relationships/hyperlink" Target="https://www.sjebp.com/" TargetMode="External"/><Relationship Id="rId168" Type="http://schemas.openxmlformats.org/officeDocument/2006/relationships/hyperlink" Target="http://www.clerkenwellprimary.org/" TargetMode="External"/><Relationship Id="rId312" Type="http://schemas.openxmlformats.org/officeDocument/2006/relationships/hyperlink" Target="=IFERROR(VLOOKUP($C79,%20DataFromWikipedia!A:T,%2017,%20FALSE),%20%22%22)" TargetMode="External"/><Relationship Id="rId333" Type="http://schemas.openxmlformats.org/officeDocument/2006/relationships/hyperlink" Target="=IFERROR(VLOOKUP($C101,%20DataFromWikipedia!A:T,%2017,%20FALSE),%20%22%22)" TargetMode="External"/><Relationship Id="rId354" Type="http://schemas.openxmlformats.org/officeDocument/2006/relationships/hyperlink" Target="=IFERROR(VLOOKUP($C122,%20DataFromWikipedia!A:T,%2017,%20FALSE),%20%22%22)" TargetMode="External"/><Relationship Id="rId540" Type="http://schemas.openxmlformats.org/officeDocument/2006/relationships/hyperlink" Target="https://www.london.anglican.org/directory/richard-springer/" TargetMode="External"/><Relationship Id="rId51" Type="http://schemas.openxmlformats.org/officeDocument/2006/relationships/hyperlink" Target="https://www.london.anglican.org/directory/moorfields-eye-hospital/" TargetMode="External"/><Relationship Id="rId72" Type="http://schemas.openxmlformats.org/officeDocument/2006/relationships/hyperlink" Target="https://www.london.anglican.org/directory/st-mary-hornsey-rise/" TargetMode="External"/><Relationship Id="rId93" Type="http://schemas.openxmlformats.org/officeDocument/2006/relationships/hyperlink" Target="https://www.london.anglican.org/directory/christ-church-spitalfields/" TargetMode="External"/><Relationship Id="rId189" Type="http://schemas.openxmlformats.org/officeDocument/2006/relationships/hyperlink" Target="http://www.st-marks.islington.sch.uk/" TargetMode="External"/><Relationship Id="rId375" Type="http://schemas.openxmlformats.org/officeDocument/2006/relationships/hyperlink" Target="https://en.wikipedia.org/wiki/South_Hackney" TargetMode="External"/><Relationship Id="rId396" Type="http://schemas.openxmlformats.org/officeDocument/2006/relationships/hyperlink" Target="https://en.wikipedia.org/wiki/Upper_Holloway" TargetMode="External"/><Relationship Id="rId561" Type="http://schemas.openxmlformats.org/officeDocument/2006/relationships/hyperlink" Target="https://www.london.anglican.org/directory/fanoula-smith/" TargetMode="External"/><Relationship Id="rId582" Type="http://schemas.openxmlformats.org/officeDocument/2006/relationships/hyperlink" Target="https://www.crockford.org.uk/places/13070/the-benefice-of-clapton,-upper-(st-matthew)" TargetMode="External"/><Relationship Id="rId617" Type="http://schemas.openxmlformats.org/officeDocument/2006/relationships/hyperlink" Target="https://www.crockford.org.uk/places/12476/the-benefice-of-bethnal-green-(st-james-the-less)"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tjamesthelessbg.org.uk/" TargetMode="External"/><Relationship Id="rId235" Type="http://schemas.openxmlformats.org/officeDocument/2006/relationships/hyperlink" Target="https://www.rfsk.org.uk/" TargetMode="External"/><Relationship Id="rId256" Type="http://schemas.openxmlformats.org/officeDocument/2006/relationships/hyperlink" Target="=IFERROR(VLOOKUP($C22,%20DataFromWikipedia!A:T,%2017,%20FALSE),%20%22%22)" TargetMode="External"/><Relationship Id="rId277" Type="http://schemas.openxmlformats.org/officeDocument/2006/relationships/hyperlink" Target="=IFERROR(VLOOKUP($C44,%20DataFromWikipedia!A:T,%2017,%20FALSE),%20%22%22)" TargetMode="External"/><Relationship Id="rId298" Type="http://schemas.openxmlformats.org/officeDocument/2006/relationships/hyperlink" Target="=IFERROR(VLOOKUP($C65,%20DataFromWikipedia!A:T,%2017,%20FALSE),%20%22%22)" TargetMode="External"/><Relationship Id="rId400" Type="http://schemas.openxmlformats.org/officeDocument/2006/relationships/hyperlink" Target="https://en.wikipedia.org/wiki/Tollington_(ward)" TargetMode="External"/><Relationship Id="rId421" Type="http://schemas.openxmlformats.org/officeDocument/2006/relationships/hyperlink" Target="https://en.wikipedia.org/wiki/London_Docks" TargetMode="External"/><Relationship Id="rId442" Type="http://schemas.openxmlformats.org/officeDocument/2006/relationships/hyperlink" Target="https://en.wikipedia.org/wiki/St_John_on_Bethnal_Green" TargetMode="External"/><Relationship Id="rId463" Type="http://schemas.openxmlformats.org/officeDocument/2006/relationships/hyperlink" Target="https://www.london.anglican.org/directory/sian-davies-2/" TargetMode="External"/><Relationship Id="rId484" Type="http://schemas.openxmlformats.org/officeDocument/2006/relationships/hyperlink" Target="https://www.london.anglican.org/directory/william-campbell-taylor/" TargetMode="External"/><Relationship Id="rId519" Type="http://schemas.openxmlformats.org/officeDocument/2006/relationships/hyperlink" Target="https://www.london.anglican.org/directory/robin-isherwood/" TargetMode="External"/><Relationship Id="rId116" Type="http://schemas.openxmlformats.org/officeDocument/2006/relationships/hyperlink" Target="https://www.london.anglican.org/directory/st-nicholas-aberfeldy-poplar-team-ministry/" TargetMode="External"/><Relationship Id="rId137" Type="http://schemas.openxmlformats.org/officeDocument/2006/relationships/hyperlink" Target="http://www.standrewsn16.org/" TargetMode="External"/><Relationship Id="rId158" Type="http://schemas.openxmlformats.org/officeDocument/2006/relationships/hyperlink" Target="http://www.stolaveschurch.co.uk/" TargetMode="External"/><Relationship Id="rId302" Type="http://schemas.openxmlformats.org/officeDocument/2006/relationships/hyperlink" Target="=IFERROR(VLOOKUP($C69,%20DataFromWikipedia!A:T,%2017,%20FALSE),%20%22%22)" TargetMode="External"/><Relationship Id="rId323" Type="http://schemas.openxmlformats.org/officeDocument/2006/relationships/hyperlink" Target="=IFERROR(VLOOKUP($C91,%20DataFromWikipedia!A:T,%2017,%20FALSE),%20%22%22)" TargetMode="External"/><Relationship Id="rId344" Type="http://schemas.openxmlformats.org/officeDocument/2006/relationships/hyperlink" Target="=IFERROR(VLOOKUP($C112,%20DataFromWikipedia!A:T,%2017,%20FALSE),%20%22%22)" TargetMode="External"/><Relationship Id="rId530" Type="http://schemas.openxmlformats.org/officeDocument/2006/relationships/hyperlink" Target="https://www.london.anglican.org/directory/tom-pyke/" TargetMode="External"/><Relationship Id="rId20" Type="http://schemas.openxmlformats.org/officeDocument/2006/relationships/hyperlink" Target="https://www.london.anglican.org/directory/st-john-of-jerusalem-cofe-primary-school/" TargetMode="External"/><Relationship Id="rId41" Type="http://schemas.openxmlformats.org/officeDocument/2006/relationships/hyperlink" Target="https://www.london.anglican.org/directory/the-urswick-school-a-church-of-england-secondary-school/" TargetMode="External"/><Relationship Id="rId62" Type="http://schemas.openxmlformats.org/officeDocument/2006/relationships/hyperlink" Target="https://www.london.anglican.org/directory/st-john-the-evangelist-upper-holloway/" TargetMode="External"/><Relationship Id="rId83" Type="http://schemas.openxmlformats.org/officeDocument/2006/relationships/hyperlink" Target="https://www.london.anglican.org/directory/the-priory-church-of-st-john/" TargetMode="External"/><Relationship Id="rId179" Type="http://schemas.openxmlformats.org/officeDocument/2006/relationships/hyperlink" Target="https://www.stjamesislington.org/" TargetMode="External"/><Relationship Id="rId365" Type="http://schemas.openxmlformats.org/officeDocument/2006/relationships/hyperlink" Target="=IFERROR(VLOOKUP($C133,%20DataFromWikipedia!A:T,%2017,%20FALSE),%20%22%22)" TargetMode="External"/><Relationship Id="rId386" Type="http://schemas.openxmlformats.org/officeDocument/2006/relationships/hyperlink" Target="https://en.wikipedia.org/wiki/De_Beauvoir_Town" TargetMode="External"/><Relationship Id="rId551" Type="http://schemas.openxmlformats.org/officeDocument/2006/relationships/hyperlink" Target="https://www.london.anglican.org/directory/matt-wall/" TargetMode="External"/><Relationship Id="rId572" Type="http://schemas.openxmlformats.org/officeDocument/2006/relationships/hyperlink" Target="https://www.crockford.org.uk/places/13018/the-benefice-of-stamford-hill-(st-bartholomew)" TargetMode="External"/><Relationship Id="rId593" Type="http://schemas.openxmlformats.org/officeDocument/2006/relationships/hyperlink" Target="https://www.crockford.org.uk/places/13123/the-benefice-of-whitehall-park-(st-andrew)" TargetMode="External"/><Relationship Id="rId607" Type="http://schemas.openxmlformats.org/officeDocument/2006/relationships/hyperlink" Target="https://www.crockford.org.uk/places/12509/the-benefice-of-canonbury-(st-stephen)" TargetMode="External"/><Relationship Id="rId628" Type="http://schemas.openxmlformats.org/officeDocument/2006/relationships/hyperlink" Target="https://www.crockford.org.uk/places/12794/the-benefice-of-limehouse-(st-anne)-(st-peter)" TargetMode="External"/><Relationship Id="rId190" Type="http://schemas.openxmlformats.org/officeDocument/2006/relationships/hyperlink" Target="http://www.stmaryshornseyrise.org.uk/" TargetMode="External"/><Relationship Id="rId204" Type="http://schemas.openxmlformats.org/officeDocument/2006/relationships/hyperlink" Target="http://www.christchurchprimarybricklane.org/" TargetMode="External"/><Relationship Id="rId225" Type="http://schemas.openxmlformats.org/officeDocument/2006/relationships/hyperlink" Target="http://www.stpaulsbowcommon.org.uk/" TargetMode="External"/><Relationship Id="rId246" Type="http://schemas.openxmlformats.org/officeDocument/2006/relationships/hyperlink" Target="=IFERROR(VLOOKUP($C12,%20DataFromWikipedia!A:T,%2017,%20FALSE),%20%22%22)" TargetMode="External"/><Relationship Id="rId267" Type="http://schemas.openxmlformats.org/officeDocument/2006/relationships/hyperlink" Target="=IFERROR(VLOOKUP($C33,%20DataFromWikipedia!A:T,%2017,%20FALSE),%20%22%22)" TargetMode="External"/><Relationship Id="rId288" Type="http://schemas.openxmlformats.org/officeDocument/2006/relationships/hyperlink" Target="=IFERROR(VLOOKUP($C55,%20DataFromWikipedia!A:T,%2017,%20FALSE),%20%22%22)" TargetMode="External"/><Relationship Id="rId411" Type="http://schemas.openxmlformats.org/officeDocument/2006/relationships/hyperlink" Target="https://en.wikipedia.org/wiki/Bethnal_Green" TargetMode="External"/><Relationship Id="rId432" Type="http://schemas.openxmlformats.org/officeDocument/2006/relationships/hyperlink" Target="https://en.wikipedia.org/wiki/St_Clement%27s,_King_Square" TargetMode="External"/><Relationship Id="rId453" Type="http://schemas.openxmlformats.org/officeDocument/2006/relationships/hyperlink" Target="https://www.london.anglican.org/directory/laura-fawcett/" TargetMode="External"/><Relationship Id="rId474" Type="http://schemas.openxmlformats.org/officeDocument/2006/relationships/hyperlink" Target="https://www.london.anglican.org/directory/jane-obrien/" TargetMode="External"/><Relationship Id="rId509" Type="http://schemas.openxmlformats.org/officeDocument/2006/relationships/hyperlink" Target="https://www.london.anglican.org/directory/trevor-golding/" TargetMode="External"/><Relationship Id="rId106" Type="http://schemas.openxmlformats.org/officeDocument/2006/relationships/hyperlink" Target="https://www.london.anglican.org/directory/st-james-the-less-bethnal-green/" TargetMode="External"/><Relationship Id="rId127" Type="http://schemas.openxmlformats.org/officeDocument/2006/relationships/hyperlink" Target="https://www.london.anglican.org/directory/stepney-greencoat-cofe-primary-school/" TargetMode="External"/><Relationship Id="rId313" Type="http://schemas.openxmlformats.org/officeDocument/2006/relationships/hyperlink" Target="=IFERROR(VLOOKUP($C80,%20DataFromWikipedia!A:T,%2017,%20FALSE),%20%22%22)" TargetMode="External"/><Relationship Id="rId495" Type="http://schemas.openxmlformats.org/officeDocument/2006/relationships/hyperlink" Target="https://www.london.anglican.org/directory/felicity-djerehe/" TargetMode="External"/><Relationship Id="rId10" Type="http://schemas.openxmlformats.org/officeDocument/2006/relationships/hyperlink" Target="https://www.london.anglican.org/directory/homerton-university-hospital-nhs-foundation/" TargetMode="External"/><Relationship Id="rId31" Type="http://schemas.openxmlformats.org/officeDocument/2006/relationships/hyperlink" Target="https://www.london.anglican.org/directory/st-matthew-upper-clapton/" TargetMode="External"/><Relationship Id="rId52" Type="http://schemas.openxmlformats.org/officeDocument/2006/relationships/hyperlink" Target="https://www.london.anglican.org/directory/nags-head-church-community/" TargetMode="External"/><Relationship Id="rId73" Type="http://schemas.openxmlformats.org/officeDocument/2006/relationships/hyperlink" Target="https://www.london.anglican.org/directory/st-mary-islington/" TargetMode="External"/><Relationship Id="rId94" Type="http://schemas.openxmlformats.org/officeDocument/2006/relationships/hyperlink" Target="https://www.london.anglican.org/directory/hms-president/" TargetMode="External"/><Relationship Id="rId148" Type="http://schemas.openxmlformats.org/officeDocument/2006/relationships/hyperlink" Target="https://www.stjh.org.uk/" TargetMode="External"/><Relationship Id="rId169" Type="http://schemas.openxmlformats.org/officeDocument/2006/relationships/hyperlink" Target="http://www.hopechurchislington.org/" TargetMode="External"/><Relationship Id="rId334" Type="http://schemas.openxmlformats.org/officeDocument/2006/relationships/hyperlink" Target="=IFERROR(VLOOKUP($C102,%20DataFromWikipedia!A:T,%2017,%20FALSE),%20%22%22)" TargetMode="External"/><Relationship Id="rId355" Type="http://schemas.openxmlformats.org/officeDocument/2006/relationships/hyperlink" Target="=IFERROR(VLOOKUP($C123,%20DataFromWikipedia!A:T,%2017,%20FALSE),%20%22%22)" TargetMode="External"/><Relationship Id="rId376" Type="http://schemas.openxmlformats.org/officeDocument/2006/relationships/hyperlink" Target="https://en.wikipedia.org/wiki/Hoxton" TargetMode="External"/><Relationship Id="rId397" Type="http://schemas.openxmlformats.org/officeDocument/2006/relationships/hyperlink" Target="https://en.wikipedia.org/wiki/Tollington_(ward)" TargetMode="External"/><Relationship Id="rId520" Type="http://schemas.openxmlformats.org/officeDocument/2006/relationships/hyperlink" Target="https://www.london.anglican.org/directory/mark-fletcher/" TargetMode="External"/><Relationship Id="rId541" Type="http://schemas.openxmlformats.org/officeDocument/2006/relationships/hyperlink" Target="https://www.london.anglican.org/directory/chris-newman-day/" TargetMode="External"/><Relationship Id="rId562" Type="http://schemas.openxmlformats.org/officeDocument/2006/relationships/hyperlink" Target="https://www.london.anglican.org/directory/emily-wright/" TargetMode="External"/><Relationship Id="rId583" Type="http://schemas.openxmlformats.org/officeDocument/2006/relationships/hyperlink" Target="https://www.crockford.org.uk/places/13029/the-benefice-of-stoke-newington-st-faith-(st-matthias)-and-all-saints" TargetMode="External"/><Relationship Id="rId618" Type="http://schemas.openxmlformats.org/officeDocument/2006/relationships/hyperlink" Target="https://www.crockford.org.uk/places/12479/the-benefice-of-st-john-on-bethnal-green" TargetMode="External"/><Relationship Id="rId4" Type="http://schemas.openxmlformats.org/officeDocument/2006/relationships/hyperlink" Target="https://www.london.anglican.org/directory/christchurch-on-the-mead-hackney-marsh-team-ministry/" TargetMode="External"/><Relationship Id="rId180" Type="http://schemas.openxmlformats.org/officeDocument/2006/relationships/hyperlink" Target="http://www.stjohnsupperholloway.church/" TargetMode="External"/><Relationship Id="rId215" Type="http://schemas.openxmlformats.org/officeDocument/2006/relationships/hyperlink" Target="https://www.stjohnonbethnalgreen.org/" TargetMode="External"/><Relationship Id="rId236" Type="http://schemas.openxmlformats.org/officeDocument/2006/relationships/hyperlink" Target="=IFERROR(VLOOKUP($C2,%20DataFromWikipedia!A:T,%2017,%20FALSE),%20%22%22)" TargetMode="External"/><Relationship Id="rId257" Type="http://schemas.openxmlformats.org/officeDocument/2006/relationships/hyperlink" Target="=IFERROR(VLOOKUP($C23,%20DataFromWikipedia!A:T,%2017,%20FALSE),%20%22%22)" TargetMode="External"/><Relationship Id="rId278" Type="http://schemas.openxmlformats.org/officeDocument/2006/relationships/hyperlink" Target="=IFERROR(VLOOKUP($C45,%20DataFromWikipedia!A:T,%2017,%20FALSE),%20%22%22)" TargetMode="External"/><Relationship Id="rId401" Type="http://schemas.openxmlformats.org/officeDocument/2006/relationships/hyperlink" Target="https://en.wikipedia.org/wiki/Pentonville" TargetMode="External"/><Relationship Id="rId422" Type="http://schemas.openxmlformats.org/officeDocument/2006/relationships/hyperlink" Target="https://en.wikipedia.org/wiki/Limehouse" TargetMode="External"/><Relationship Id="rId443" Type="http://schemas.openxmlformats.org/officeDocument/2006/relationships/hyperlink" Target="https://en.wikipedia.org/wiki/Bow_Church" TargetMode="External"/><Relationship Id="rId464" Type="http://schemas.openxmlformats.org/officeDocument/2006/relationships/hyperlink" Target="https://www.london.anglican.org/directory/asarena-simon/" TargetMode="External"/><Relationship Id="rId303" Type="http://schemas.openxmlformats.org/officeDocument/2006/relationships/hyperlink" Target="=IFERROR(VLOOKUP($C70,%20DataFromWikipedia!A:T,%2017,%20FALSE),%20%22%22)" TargetMode="External"/><Relationship Id="rId485" Type="http://schemas.openxmlformats.org/officeDocument/2006/relationships/hyperlink" Target="https://www.london.anglican.org/directory/richard-brown/" TargetMode="External"/><Relationship Id="rId42" Type="http://schemas.openxmlformats.org/officeDocument/2006/relationships/hyperlink" Target="https://www.london.anglican.org/directory/all-saints-caledonian-road-the-barnsbury-team/" TargetMode="External"/><Relationship Id="rId84" Type="http://schemas.openxmlformats.org/officeDocument/2006/relationships/hyperlink" Target="https://www.london.anglican.org/directory/the-whittington-hospital/" TargetMode="External"/><Relationship Id="rId138" Type="http://schemas.openxmlformats.org/officeDocument/2006/relationships/hyperlink" Target="http://www.hoxtonchurch.org.uk/" TargetMode="External"/><Relationship Id="rId345" Type="http://schemas.openxmlformats.org/officeDocument/2006/relationships/hyperlink" Target="=IFERROR(VLOOKUP($C113,%20DataFromWikipedia!A:T,%2017,%20FALSE),%20%22%22)" TargetMode="External"/><Relationship Id="rId387" Type="http://schemas.openxmlformats.org/officeDocument/2006/relationships/hyperlink" Target="https://en.wikipedia.org/wiki/Stamford_Hill" TargetMode="External"/><Relationship Id="rId510" Type="http://schemas.openxmlformats.org/officeDocument/2006/relationships/hyperlink" Target="https://www.london.anglican.org/directory/martha-braithwaite/" TargetMode="External"/><Relationship Id="rId552" Type="http://schemas.openxmlformats.org/officeDocument/2006/relationships/hyperlink" Target="https://www.london.anglican.org/directory/james-hughesdon/" TargetMode="External"/><Relationship Id="rId594" Type="http://schemas.openxmlformats.org/officeDocument/2006/relationships/hyperlink" Target="https://www.crockford.org.uk/places/12698/the-benefice-of-highbury-new-park-(st-augustine)" TargetMode="External"/><Relationship Id="rId608" Type="http://schemas.openxmlformats.org/officeDocument/2006/relationships/hyperlink" Target="https://www.crockford.org.uk/places/12593/the-benefice-of-finsbury-park-(st-thomas)" TargetMode="External"/><Relationship Id="rId191" Type="http://schemas.openxmlformats.org/officeDocument/2006/relationships/hyperlink" Target="https://www.stmaryislington.org/" TargetMode="External"/><Relationship Id="rId205" Type="http://schemas.openxmlformats.org/officeDocument/2006/relationships/hyperlink" Target="https://www.parishiod.org.uk/" TargetMode="External"/><Relationship Id="rId247" Type="http://schemas.openxmlformats.org/officeDocument/2006/relationships/hyperlink" Target="=IFERROR(VLOOKUP($C13,%20DataFromWikipedia!A:T,%2017,%20FALSE),%20%22%22)" TargetMode="External"/><Relationship Id="rId412" Type="http://schemas.openxmlformats.org/officeDocument/2006/relationships/hyperlink" Target="https://en.wikipedia.org/wiki/St_John_on_Bethnal_Green" TargetMode="External"/><Relationship Id="rId107" Type="http://schemas.openxmlformats.org/officeDocument/2006/relationships/hyperlink" Target="https://www.london.anglican.org/directory/st-john-on-bethnal-green/" TargetMode="External"/><Relationship Id="rId289" Type="http://schemas.openxmlformats.org/officeDocument/2006/relationships/hyperlink" Target="=IFERROR(VLOOKUP($C56,%20DataFromWikipedia!A:T,%2017,%20FALSE),%20%22%22)" TargetMode="External"/><Relationship Id="rId454" Type="http://schemas.openxmlformats.org/officeDocument/2006/relationships/hyperlink" Target="https://www.london.anglican.org/directory/andrew-newcombe/" TargetMode="External"/><Relationship Id="rId496" Type="http://schemas.openxmlformats.org/officeDocument/2006/relationships/hyperlink" Target="https://www.london.anglican.org/directory/gabriel-anstis/" TargetMode="External"/><Relationship Id="rId11" Type="http://schemas.openxmlformats.org/officeDocument/2006/relationships/hyperlink" Target="https://www.london.anglican.org/directory/sisters-of-the-society-of-st-margaret/" TargetMode="External"/><Relationship Id="rId53" Type="http://schemas.openxmlformats.org/officeDocument/2006/relationships/hyperlink" Target="https://www.london.anglican.org/directory/our-most-holy-redeemer-clerkenwell/" TargetMode="External"/><Relationship Id="rId149" Type="http://schemas.openxmlformats.org/officeDocument/2006/relationships/hyperlink" Target="http://www.shoreditchchurch.org.uk/" TargetMode="External"/><Relationship Id="rId314" Type="http://schemas.openxmlformats.org/officeDocument/2006/relationships/hyperlink" Target="=IFERROR(VLOOKUP($C81,%20DataFromWikipedia!A:T,%2017,%20FALSE),%20%22%22)" TargetMode="External"/><Relationship Id="rId356" Type="http://schemas.openxmlformats.org/officeDocument/2006/relationships/hyperlink" Target="=IFERROR(VLOOKUP($C124,%20DataFromWikipedia!A:T,%2017,%20FALSE),%20%22%22)" TargetMode="External"/><Relationship Id="rId398" Type="http://schemas.openxmlformats.org/officeDocument/2006/relationships/hyperlink" Target="https://en.wikipedia.org/wiki/Hornsey" TargetMode="External"/><Relationship Id="rId521" Type="http://schemas.openxmlformats.org/officeDocument/2006/relationships/hyperlink" Target="https://www.london.anglican.org/directory/the-dean/" TargetMode="External"/><Relationship Id="rId563" Type="http://schemas.openxmlformats.org/officeDocument/2006/relationships/hyperlink" Target="https://www.london.anglican.org/directory/tasha-critchlow/" TargetMode="External"/><Relationship Id="rId619" Type="http://schemas.openxmlformats.org/officeDocument/2006/relationships/hyperlink" Target="https://www.crockford.org.uk/places/12743/the-benefice-of-isle-of-dogs-(christ-church-and-st-john)-(st-luke)" TargetMode="External"/><Relationship Id="rId95" Type="http://schemas.openxmlformats.org/officeDocument/2006/relationships/hyperlink" Target="https://www.london.anglican.org/directory/london-metropolitan-university/" TargetMode="External"/><Relationship Id="rId160" Type="http://schemas.openxmlformats.org/officeDocument/2006/relationships/hyperlink" Target="http://www.spsm.hackney.sch.uk/" TargetMode="External"/><Relationship Id="rId216" Type="http://schemas.openxmlformats.org/officeDocument/2006/relationships/hyperlink" Target="http://www.st-johns.towerhamlets.sch.uk/" TargetMode="External"/><Relationship Id="rId423" Type="http://schemas.openxmlformats.org/officeDocument/2006/relationships/hyperlink" Target="=IFERROR(VLOOKUP(C131,%20DataFromWikipedia!A:T,%2018,%20FALSE),%20%22%22)" TargetMode="External"/><Relationship Id="rId258" Type="http://schemas.openxmlformats.org/officeDocument/2006/relationships/hyperlink" Target="=IFERROR(VLOOKUP($C24,%20DataFromWikipedia!A:T,%2017,%20FALSE),%20%22%22)" TargetMode="External"/><Relationship Id="rId465" Type="http://schemas.openxmlformats.org/officeDocument/2006/relationships/hyperlink" Target="https://www.london.anglican.org/directory/andrew-wilson/" TargetMode="External"/><Relationship Id="rId630" Type="http://schemas.openxmlformats.org/officeDocument/2006/relationships/hyperlink" Target="https://barnsburyparish.com/" TargetMode="External"/><Relationship Id="rId22" Type="http://schemas.openxmlformats.org/officeDocument/2006/relationships/hyperlink" Target="https://www.london.anglican.org/directory/st-john-the-baptist-cofe-primary-school/" TargetMode="External"/><Relationship Id="rId64" Type="http://schemas.openxmlformats.org/officeDocument/2006/relationships/hyperlink" Target="https://www.london.anglican.org/directory/st-johns-cofe-primary-school/" TargetMode="External"/><Relationship Id="rId118" Type="http://schemas.openxmlformats.org/officeDocument/2006/relationships/hyperlink" Target="https://www.london.anglican.org/directory/st-paul-bow-common/" TargetMode="External"/><Relationship Id="rId325" Type="http://schemas.openxmlformats.org/officeDocument/2006/relationships/hyperlink" Target="=IFERROR(VLOOKUP($C93,%20DataFromWikipedia!A:T,%2017,%20FALSE),%20%22%22)" TargetMode="External"/><Relationship Id="rId367" Type="http://schemas.openxmlformats.org/officeDocument/2006/relationships/hyperlink" Target="https://en.wikipedia.org/wiki/Dalston" TargetMode="External"/><Relationship Id="rId532" Type="http://schemas.openxmlformats.org/officeDocument/2006/relationships/hyperlink" Target="https://www.london.anglican.org/directory/tom-pyke/" TargetMode="External"/><Relationship Id="rId574" Type="http://schemas.openxmlformats.org/officeDocument/2006/relationships/hyperlink" Target="https://www.crockford.org.uk/places/12523/the-benefice-of-clapton-(st-james)" TargetMode="External"/><Relationship Id="rId171" Type="http://schemas.openxmlformats.org/officeDocument/2006/relationships/hyperlink" Target="http://www.holyredeemerclerkenwell.com/" TargetMode="External"/><Relationship Id="rId227" Type="http://schemas.openxmlformats.org/officeDocument/2006/relationships/hyperlink" Target="http://www.spsl.towerhamlets.sch.uk/" TargetMode="External"/><Relationship Id="rId269" Type="http://schemas.openxmlformats.org/officeDocument/2006/relationships/hyperlink" Target="=IFERROR(VLOOKUP($C35,%20DataFromWikipedia!A:T,%2017,%20FALSE),%20%22%22)" TargetMode="External"/><Relationship Id="rId434" Type="http://schemas.openxmlformats.org/officeDocument/2006/relationships/hyperlink" Target="https://en.wikipedia.org/wiki/St_James%27_Church,_Islington" TargetMode="External"/><Relationship Id="rId476" Type="http://schemas.openxmlformats.org/officeDocument/2006/relationships/hyperlink" Target="https://www.london.anglican.org/directory/sian-davies-4/" TargetMode="External"/><Relationship Id="rId33" Type="http://schemas.openxmlformats.org/officeDocument/2006/relationships/hyperlink" Target="https://www.london.anglican.org/directory/st-matthias-stoke-newington/" TargetMode="External"/><Relationship Id="rId129" Type="http://schemas.openxmlformats.org/officeDocument/2006/relationships/hyperlink" Target="https://www.london.anglican.org/directory/the-royal-london-hospital-barts-health-nhs-trust/" TargetMode="External"/><Relationship Id="rId280" Type="http://schemas.openxmlformats.org/officeDocument/2006/relationships/hyperlink" Target="=IFERROR(VLOOKUP($C47,%20DataFromWikipedia!A:T,%2017,%20FALSE),%20%22%22)" TargetMode="External"/><Relationship Id="rId336" Type="http://schemas.openxmlformats.org/officeDocument/2006/relationships/hyperlink" Target="=IFERROR(VLOOKUP($C104,%20DataFromWikipedia!A:T,%2017,%20FALSE),%20%22%22)" TargetMode="External"/><Relationship Id="rId501" Type="http://schemas.openxmlformats.org/officeDocument/2006/relationships/hyperlink" Target="https://www.london.anglican.org/directory/alan-comfort/" TargetMode="External"/><Relationship Id="rId543" Type="http://schemas.openxmlformats.org/officeDocument/2006/relationships/hyperlink" Target="https://www.london.anglican.org/directory/brian-welsh/" TargetMode="External"/><Relationship Id="rId75" Type="http://schemas.openxmlformats.org/officeDocument/2006/relationships/hyperlink" Target="https://www.london.anglican.org/directory/st-marys-cofe-primary-school/" TargetMode="External"/><Relationship Id="rId140" Type="http://schemas.openxmlformats.org/officeDocument/2006/relationships/hyperlink" Target="https://www.holybart.com/" TargetMode="External"/><Relationship Id="rId182" Type="http://schemas.openxmlformats.org/officeDocument/2006/relationships/hyperlink" Target="http://www.st-johns.towerhamlets.sch.uk/" TargetMode="External"/><Relationship Id="rId378" Type="http://schemas.openxmlformats.org/officeDocument/2006/relationships/hyperlink" Target="https://en.wikipedia.org/wiki/Dalston" TargetMode="External"/><Relationship Id="rId403" Type="http://schemas.openxmlformats.org/officeDocument/2006/relationships/hyperlink" Target="https://en.wikipedia.org/wiki/Finsbury_Park_(area)" TargetMode="External"/><Relationship Id="rId585" Type="http://schemas.openxmlformats.org/officeDocument/2006/relationships/hyperlink" Target="https://www.crockford.org.uk/places/13032/the-benefice-of-stoke-newington-common-(st-michael-and-all-angels)" TargetMode="External"/><Relationship Id="rId6" Type="http://schemas.openxmlformats.org/officeDocument/2006/relationships/hyperlink" Target="https://www.london.anglican.org/directory/holy-trinity-cofe-primary-school/" TargetMode="External"/><Relationship Id="rId238" Type="http://schemas.openxmlformats.org/officeDocument/2006/relationships/hyperlink" Target="=IFERROR(VLOOKUP($C4,%20DataFromWikipedia!A:T,%2017,%20FALSE),%20%22%22)" TargetMode="External"/><Relationship Id="rId445" Type="http://schemas.openxmlformats.org/officeDocument/2006/relationships/hyperlink" Target="https://en.wikipedia.org/wiki/St_Paul_Old_Ford" TargetMode="External"/><Relationship Id="rId487" Type="http://schemas.openxmlformats.org/officeDocument/2006/relationships/hyperlink" Target="https://www.london.anglican.org/directory/jules-soanes/" TargetMode="External"/><Relationship Id="rId610" Type="http://schemas.openxmlformats.org/officeDocument/2006/relationships/hyperlink" Target="https://www.crockford.org.uk/places/12496/the-benefice-of-bromley-by-bow-(all-hallows)" TargetMode="External"/><Relationship Id="rId291" Type="http://schemas.openxmlformats.org/officeDocument/2006/relationships/hyperlink" Target="=IFERROR(VLOOKUP($C58,%20DataFromWikipedia!A:T,%2017,%20FALSE),%20%22%22)" TargetMode="External"/><Relationship Id="rId305" Type="http://schemas.openxmlformats.org/officeDocument/2006/relationships/hyperlink" Target="=IFERROR(VLOOKUP($C72,%20DataFromWikipedia!A:T,%2017,%20FALSE),%20%22%22)" TargetMode="External"/><Relationship Id="rId347" Type="http://schemas.openxmlformats.org/officeDocument/2006/relationships/hyperlink" Target="=IFERROR(VLOOKUP($C115,%20DataFromWikipedia!A:T,%2017,%20FALSE),%20%22%22)" TargetMode="External"/><Relationship Id="rId512" Type="http://schemas.openxmlformats.org/officeDocument/2006/relationships/hyperlink" Target="https://www.london.anglican.org/directory/imogen-erskine/" TargetMode="External"/><Relationship Id="rId44" Type="http://schemas.openxmlformats.org/officeDocument/2006/relationships/hyperlink" Target="https://www.london.anglican.org/directory/city-university/" TargetMode="External"/><Relationship Id="rId86" Type="http://schemas.openxmlformats.org/officeDocument/2006/relationships/hyperlink" Target="https://www.london.anglican.org/directory/all-hallows-bromley-by-bow/" TargetMode="External"/><Relationship Id="rId151" Type="http://schemas.openxmlformats.org/officeDocument/2006/relationships/hyperlink" Target="http://www.stmaryofeton.org.uk/" TargetMode="External"/><Relationship Id="rId389" Type="http://schemas.openxmlformats.org/officeDocument/2006/relationships/hyperlink" Target="https://en.wikipedia.org/wiki/Tollington_(ward)" TargetMode="External"/><Relationship Id="rId554" Type="http://schemas.openxmlformats.org/officeDocument/2006/relationships/hyperlink" Target="https://www.london.anglican.org/directory/phil-williams/" TargetMode="External"/><Relationship Id="rId596" Type="http://schemas.openxmlformats.org/officeDocument/2006/relationships/hyperlink" Target="https://www.crockford.org.uk/places/13058/the-benefice-of-tufnell-park-(st-george-and-all-saints)" TargetMode="External"/><Relationship Id="rId193" Type="http://schemas.openxmlformats.org/officeDocument/2006/relationships/hyperlink" Target="http://www.stmarys.islington.sch.uk/" TargetMode="External"/><Relationship Id="rId207" Type="http://schemas.openxmlformats.org/officeDocument/2006/relationships/hyperlink" Target="http://www.faith.qmul.ac.uk/" TargetMode="External"/><Relationship Id="rId249" Type="http://schemas.openxmlformats.org/officeDocument/2006/relationships/hyperlink" Target="=IFERROR(VLOOKUP($C15,%20DataFromWikipedia!A:T,%2017,%20FALSE),%20%22%22)" TargetMode="External"/><Relationship Id="rId414" Type="http://schemas.openxmlformats.org/officeDocument/2006/relationships/hyperlink" Target="https://en.wikipedia.org/wiki/Bow,_London" TargetMode="External"/><Relationship Id="rId456" Type="http://schemas.openxmlformats.org/officeDocument/2006/relationships/hyperlink" Target="https://www.london.anglican.org/directory/judith-blackburn-ssm/" TargetMode="External"/><Relationship Id="rId498" Type="http://schemas.openxmlformats.org/officeDocument/2006/relationships/hyperlink" Target="https://www.london.anglican.org/directory/alexandra-lilley/" TargetMode="External"/><Relationship Id="rId621" Type="http://schemas.openxmlformats.org/officeDocument/2006/relationships/hyperlink" Target="https://www.crockford.org.uk/places/12947/the-benefice-of-st-george-in-the-east-(st-mary)" TargetMode="External"/><Relationship Id="rId13" Type="http://schemas.openxmlformats.org/officeDocument/2006/relationships/hyperlink" Target="https://www.london.anglican.org/directory/st-anne-hoxton/" TargetMode="External"/><Relationship Id="rId109" Type="http://schemas.openxmlformats.org/officeDocument/2006/relationships/hyperlink" Target="https://www.london.anglican.org/directory/st-luke-millwall/" TargetMode="External"/><Relationship Id="rId260" Type="http://schemas.openxmlformats.org/officeDocument/2006/relationships/hyperlink" Target="=IFERROR(VLOOKUP($C26,%20DataFromWikipedia!A:T,%2017,%20FALSE),%20%22%22)" TargetMode="External"/><Relationship Id="rId316" Type="http://schemas.openxmlformats.org/officeDocument/2006/relationships/hyperlink" Target="=IFERROR(VLOOKUP($C84,%20DataFromWikipedia!A:T,%2017,%20FALSE),%20%22%22)" TargetMode="External"/><Relationship Id="rId523" Type="http://schemas.openxmlformats.org/officeDocument/2006/relationships/hyperlink" Target="https://www.london.anglican.org/directory/jeremy-hobson/" TargetMode="External"/><Relationship Id="rId55" Type="http://schemas.openxmlformats.org/officeDocument/2006/relationships/hyperlink" Target="https://www.london.anglican.org/directory/st-andrew-whitehall-park/" TargetMode="External"/><Relationship Id="rId97" Type="http://schemas.openxmlformats.org/officeDocument/2006/relationships/hyperlink" Target="https://www.london.anglican.org/directory/poplar-team-ministry/" TargetMode="External"/><Relationship Id="rId120" Type="http://schemas.openxmlformats.org/officeDocument/2006/relationships/hyperlink" Target="https://www.london.anglican.org/directory/st-paul-with-st-luke-cofe-primary-school/" TargetMode="External"/><Relationship Id="rId358" Type="http://schemas.openxmlformats.org/officeDocument/2006/relationships/hyperlink" Target="=IFERROR(VLOOKUP($C126,%20DataFromWikipedia!A:T,%2017,%20FALSE),%20%22%22)" TargetMode="External"/><Relationship Id="rId565" Type="http://schemas.openxmlformats.org/officeDocument/2006/relationships/hyperlink" Target="https://www.crockford.org.uk/places/12738/the-benefice-of-hoxton-(st-anne)-(st-columba)" TargetMode="External"/><Relationship Id="rId162" Type="http://schemas.openxmlformats.org/officeDocument/2006/relationships/hyperlink" Target="https://www.saintthomasclapton.org/" TargetMode="External"/><Relationship Id="rId218" Type="http://schemas.openxmlformats.org/officeDocument/2006/relationships/hyperlink" Target="http://www.st-lukes.towerhamlets.sch.uk/" TargetMode="External"/><Relationship Id="rId425" Type="http://schemas.openxmlformats.org/officeDocument/2006/relationships/hyperlink" Target="=IFERROR(VLOOKUP(C133,%20DataFromWikipedia!A:T,%2018,%20FALSE),%20%22%22)" TargetMode="External"/><Relationship Id="rId467" Type="http://schemas.openxmlformats.org/officeDocument/2006/relationships/hyperlink" Target="https://www.london.anglican.org/directory/geoffrey-boetang/" TargetMode="External"/><Relationship Id="rId271" Type="http://schemas.openxmlformats.org/officeDocument/2006/relationships/hyperlink" Target="=IFERROR(VLOOKUP($C37,%20DataFromWikipedia!A:T,%2017,%20FALSE),%20%22%22)" TargetMode="External"/><Relationship Id="rId24" Type="http://schemas.openxmlformats.org/officeDocument/2006/relationships/hyperlink" Target="https://www.london.anglican.org/directory/st-john-the-evangelist-brownswood-park/" TargetMode="External"/><Relationship Id="rId66" Type="http://schemas.openxmlformats.org/officeDocument/2006/relationships/hyperlink" Target="https://www.london.anglican.org/directory/st-jude-and-st-paul-mildmay-grove/" TargetMode="External"/><Relationship Id="rId131" Type="http://schemas.openxmlformats.org/officeDocument/2006/relationships/hyperlink" Target="https://http/www.hackneymarshteam.org.uk" TargetMode="External"/><Relationship Id="rId327" Type="http://schemas.openxmlformats.org/officeDocument/2006/relationships/hyperlink" Target="=IFERROR(VLOOKUP($C95,%20DataFromWikipedia!A:T,%2017,%20FALSE),%20%22%22)" TargetMode="External"/><Relationship Id="rId369" Type="http://schemas.openxmlformats.org/officeDocument/2006/relationships/hyperlink" Target="https://en.wikipedia.org/wiki/Hoxton" TargetMode="External"/><Relationship Id="rId534" Type="http://schemas.openxmlformats.org/officeDocument/2006/relationships/hyperlink" Target="https://www.london.anglican.org/directory/ella-sharples/" TargetMode="External"/><Relationship Id="rId576" Type="http://schemas.openxmlformats.org/officeDocument/2006/relationships/hyperlink" Target="https://www.crockford.org.uk/places/12741/the-benefice-of-hoxton-(st-john-the-baptist)-with-ch-ch" TargetMode="External"/><Relationship Id="rId173" Type="http://schemas.openxmlformats.org/officeDocument/2006/relationships/hyperlink" Target="http://www.standrewsn19.org/" TargetMode="External"/><Relationship Id="rId229" Type="http://schemas.openxmlformats.org/officeDocument/2006/relationships/hyperlink" Target="https://www.stpetersbethnalgreen.org/" TargetMode="External"/><Relationship Id="rId380" Type="http://schemas.openxmlformats.org/officeDocument/2006/relationships/hyperlink" Target="https://en.wikipedia.org/wiki/Stoke_Newington" TargetMode="External"/><Relationship Id="rId436" Type="http://schemas.openxmlformats.org/officeDocument/2006/relationships/hyperlink" Target="https://en.wikipedia.org/wiki/All_Hallows,_Bow" TargetMode="External"/><Relationship Id="rId601" Type="http://schemas.openxmlformats.org/officeDocument/2006/relationships/hyperlink" Target="https://www.crockford.org.uk/places/13108/the-benefice-of-holloway,-west-(st-luke)" TargetMode="External"/><Relationship Id="rId240" Type="http://schemas.openxmlformats.org/officeDocument/2006/relationships/hyperlink" Target="=IFERROR(VLOOKUP($C6,%20DataFromWikipedia!A:T,%2017,%20FALSE),%20%22%22)" TargetMode="External"/><Relationship Id="rId478" Type="http://schemas.openxmlformats.org/officeDocument/2006/relationships/hyperlink" Target="https://www.london.anglican.org/directory/daniel-gerrans/" TargetMode="External"/><Relationship Id="rId35" Type="http://schemas.openxmlformats.org/officeDocument/2006/relationships/hyperlink" Target="https://www.london.anglican.org/directory/st-michael-all-angels-stoke-newington-common/" TargetMode="External"/><Relationship Id="rId77" Type="http://schemas.openxmlformats.org/officeDocument/2006/relationships/hyperlink" Target="https://www.london.anglican.org/directory/st-silas-pentonville/" TargetMode="External"/><Relationship Id="rId100" Type="http://schemas.openxmlformats.org/officeDocument/2006/relationships/hyperlink" Target="https://www.london.anglican.org/directory/sir-john-casss-foundation-red-coat-cofe-secondary-school/" TargetMode="External"/><Relationship Id="rId282" Type="http://schemas.openxmlformats.org/officeDocument/2006/relationships/hyperlink" Target="=IFERROR(VLOOKUP($C49,%20DataFromWikipedia!A:T,%2017,%20FALSE),%20%22%22)" TargetMode="External"/><Relationship Id="rId338" Type="http://schemas.openxmlformats.org/officeDocument/2006/relationships/hyperlink" Target="=IFERROR(VLOOKUP($C106,%20DataFromWikipedia!A:T,%2017,%20FALSE),%20%22%22)" TargetMode="External"/><Relationship Id="rId503" Type="http://schemas.openxmlformats.org/officeDocument/2006/relationships/hyperlink" Target="https://www.london.anglican.org/directory/brian-welsh/" TargetMode="External"/><Relationship Id="rId545" Type="http://schemas.openxmlformats.org/officeDocument/2006/relationships/hyperlink" Target="https://www.london.anglican.org/directory/ann-dwulit/" TargetMode="External"/><Relationship Id="rId587" Type="http://schemas.openxmlformats.org/officeDocument/2006/relationships/hyperlink" Target="https://www.crockford.org.uk/places/13099/the-benefice-of-hackney,-west-(st-paul)" TargetMode="External"/><Relationship Id="rId8" Type="http://schemas.openxmlformats.org/officeDocument/2006/relationships/hyperlink" Target="https://www.london.anglican.org/directory/holy-trinity-dalston-with-all-saints-haggerston/" TargetMode="External"/><Relationship Id="rId142" Type="http://schemas.openxmlformats.org/officeDocument/2006/relationships/hyperlink" Target="http://www.johnjames.hackney.sch.uk/" TargetMode="External"/><Relationship Id="rId184" Type="http://schemas.openxmlformats.org/officeDocument/2006/relationships/hyperlink" Target="http://www.sjsp.org.uk/" TargetMode="External"/><Relationship Id="rId391" Type="http://schemas.openxmlformats.org/officeDocument/2006/relationships/hyperlink" Target="https://en.wikipedia.org/wiki/Highbury_New_Park" TargetMode="External"/><Relationship Id="rId405" Type="http://schemas.openxmlformats.org/officeDocument/2006/relationships/hyperlink" Target="https://en.wikipedia.org/wiki/Bromley-by-Bow" TargetMode="External"/><Relationship Id="rId447" Type="http://schemas.openxmlformats.org/officeDocument/2006/relationships/hyperlink" Target="https://en.wikipedia.org/wiki/St_Paul%27s_Church,_Shadwell" TargetMode="External"/><Relationship Id="rId612" Type="http://schemas.openxmlformats.org/officeDocument/2006/relationships/hyperlink" Target="https://www.crockford.org.uk/places/13008/the-benefice-of-spitalfields-(christ-church-with-all-saints)" TargetMode="External"/><Relationship Id="rId251" Type="http://schemas.openxmlformats.org/officeDocument/2006/relationships/hyperlink" Target="=IFERROR(VLOOKUP($C17,%20DataFromWikipedia!A:T,%2017,%20FALSE),%20%22%22)" TargetMode="External"/><Relationship Id="rId489" Type="http://schemas.openxmlformats.org/officeDocument/2006/relationships/hyperlink" Target="https://www.london.anglican.org/directory/amanda-szewczyk-radley/" TargetMode="External"/><Relationship Id="rId46" Type="http://schemas.openxmlformats.org/officeDocument/2006/relationships/hyperlink" Target="https://www.london.anglican.org/directory/clerkenwell-parochial-cofe-primary-school/" TargetMode="External"/><Relationship Id="rId293" Type="http://schemas.openxmlformats.org/officeDocument/2006/relationships/hyperlink" Target="=IFERROR(VLOOKUP($C60,%20DataFromWikipedia!A:T,%2017,%20FALSE),%20%22%22)" TargetMode="External"/><Relationship Id="rId307" Type="http://schemas.openxmlformats.org/officeDocument/2006/relationships/hyperlink" Target="=IFERROR(VLOOKUP($C74,%20DataFromWikipedia!A:T,%2017,%20FALSE),%20%22%22)" TargetMode="External"/><Relationship Id="rId349" Type="http://schemas.openxmlformats.org/officeDocument/2006/relationships/hyperlink" Target="=IFERROR(VLOOKUP($C117,%20DataFromWikipedia!A:T,%2017,%20FALSE),%20%22%22)" TargetMode="External"/><Relationship Id="rId514" Type="http://schemas.openxmlformats.org/officeDocument/2006/relationships/hyperlink" Target="https://www.london.anglican.org/directory/jane-obrien/" TargetMode="External"/><Relationship Id="rId556" Type="http://schemas.openxmlformats.org/officeDocument/2006/relationships/hyperlink" Target="https://www.london.anglican.org/directory/terry-bennett-2/" TargetMode="External"/><Relationship Id="rId88" Type="http://schemas.openxmlformats.org/officeDocument/2006/relationships/hyperlink" Target="https://www.london.anglican.org/directory/barts-the-london-school-of-medicine-dentistry/" TargetMode="External"/><Relationship Id="rId111" Type="http://schemas.openxmlformats.org/officeDocument/2006/relationships/hyperlink" Target="https://www.london.anglican.org/directory/st-margarets-house/" TargetMode="External"/><Relationship Id="rId153" Type="http://schemas.openxmlformats.org/officeDocument/2006/relationships/hyperlink" Target="http://www.stmarys.islington.sch.uk/" TargetMode="External"/><Relationship Id="rId195" Type="http://schemas.openxmlformats.org/officeDocument/2006/relationships/hyperlink" Target="http://www.ststephenscanonbury.org.uk/" TargetMode="External"/><Relationship Id="rId209" Type="http://schemas.openxmlformats.org/officeDocument/2006/relationships/hyperlink" Target="http://www.sjcr.net/" TargetMode="External"/><Relationship Id="rId360" Type="http://schemas.openxmlformats.org/officeDocument/2006/relationships/hyperlink" Target="=IFERROR(VLOOKUP($C128,%20DataFromWikipedia!A:T,%2017,%20FALSE),%20%22%22)" TargetMode="External"/><Relationship Id="rId416" Type="http://schemas.openxmlformats.org/officeDocument/2006/relationships/hyperlink" Target="https://en.wikipedia.org/wiki/Bethnal_Green" TargetMode="External"/><Relationship Id="rId598" Type="http://schemas.openxmlformats.org/officeDocument/2006/relationships/hyperlink" Target="https://www.crockford.org.uk/places/12752/the-benefice-of-islington-(st-james-the-apostle)-(st-peter)" TargetMode="External"/><Relationship Id="rId220" Type="http://schemas.openxmlformats.org/officeDocument/2006/relationships/hyperlink" Target="http://stmaryscablest.blogspot.com/" TargetMode="External"/><Relationship Id="rId458" Type="http://schemas.openxmlformats.org/officeDocument/2006/relationships/hyperlink" Target="https://www.london.anglican.org/directory/ben-bell/" TargetMode="External"/><Relationship Id="rId623" Type="http://schemas.openxmlformats.org/officeDocument/2006/relationships/hyperlink" Target="https://www.crockford.org.uk/places/12886/the-benefice-of-old-ford-(st-paul)-(st-mark)" TargetMode="External"/><Relationship Id="rId15" Type="http://schemas.openxmlformats.org/officeDocument/2006/relationships/hyperlink" Target="https://www.london.anglican.org/directory/st-barnabas-homerton-hackney-marsh-team-ministry/" TargetMode="External"/><Relationship Id="rId57" Type="http://schemas.openxmlformats.org/officeDocument/2006/relationships/hyperlink" Target="https://www.london.anglican.org/directory/st-augustine-highbury-new-park/" TargetMode="External"/><Relationship Id="rId262" Type="http://schemas.openxmlformats.org/officeDocument/2006/relationships/hyperlink" Target="=IFERROR(VLOOKUP($C28,%20DataFromWikipedia!A:T,%2017,%20FALSE),%20%22%22)" TargetMode="External"/><Relationship Id="rId318" Type="http://schemas.openxmlformats.org/officeDocument/2006/relationships/hyperlink" Target="=IFERROR(VLOOKUP($C86,%20DataFromWikipedia!A:T,%2017,%20FALSE),%20%22%22)" TargetMode="External"/><Relationship Id="rId525" Type="http://schemas.openxmlformats.org/officeDocument/2006/relationships/hyperlink" Target="https://www.london.anglican.org/directory/laura-penney/" TargetMode="External"/><Relationship Id="rId567" Type="http://schemas.openxmlformats.org/officeDocument/2006/relationships/hyperlink" Target="https://www.crockford.org.uk/places/12544/the-benefice-of-dalston-(holy-trinity)-with-st-philip-and-haggerston-all-saints" TargetMode="External"/><Relationship Id="rId99" Type="http://schemas.openxmlformats.org/officeDocument/2006/relationships/hyperlink" Target="https://www.london.anglican.org/directory/raines-foundation-cofe-secondary-school/" TargetMode="External"/><Relationship Id="rId122" Type="http://schemas.openxmlformats.org/officeDocument/2006/relationships/hyperlink" Target="https://www.london.anglican.org/directory/st-peter-bethnal-green/" TargetMode="External"/><Relationship Id="rId164" Type="http://schemas.openxmlformats.org/officeDocument/2006/relationships/hyperlink" Target="http://www.allsaintsislington.org/" TargetMode="External"/><Relationship Id="rId371" Type="http://schemas.openxmlformats.org/officeDocument/2006/relationships/hyperlink" Target="https://en.wikipedia.org/wiki/Hoxton" TargetMode="External"/><Relationship Id="rId427" Type="http://schemas.openxmlformats.org/officeDocument/2006/relationships/hyperlink" Target="https://en.wikipedia.org/wiki/St_John_the_Baptist,_Hoxton" TargetMode="External"/><Relationship Id="rId469" Type="http://schemas.openxmlformats.org/officeDocument/2006/relationships/hyperlink" Target="https://www.london.anglican.org/directory/jane-alty/" TargetMode="External"/><Relationship Id="rId26" Type="http://schemas.openxmlformats.org/officeDocument/2006/relationships/hyperlink" Target="https://www.london.anglican.org/directory/st-leonard-shoreditch/" TargetMode="External"/><Relationship Id="rId231" Type="http://schemas.openxmlformats.org/officeDocument/2006/relationships/hyperlink" Target="https://www.stpetersbarge.org/" TargetMode="External"/><Relationship Id="rId273" Type="http://schemas.openxmlformats.org/officeDocument/2006/relationships/hyperlink" Target="=IFERROR(VLOOKUP($C39,%20DataFromWikipedia!A:T,%2017,%20FALSE),%20%22%22)" TargetMode="External"/><Relationship Id="rId329" Type="http://schemas.openxmlformats.org/officeDocument/2006/relationships/hyperlink" Target="=IFERROR(VLOOKUP($C97,%20DataFromWikipedia!A:T,%2017,%20FALSE),%20%22%22)" TargetMode="External"/><Relationship Id="rId480" Type="http://schemas.openxmlformats.org/officeDocument/2006/relationships/hyperlink" Target="https://www.london.anglican.org/directory/tunde-roberts/" TargetMode="External"/><Relationship Id="rId536" Type="http://schemas.openxmlformats.org/officeDocument/2006/relationships/hyperlink" Target="https://www.london.anglican.org/directory/paul-woods/" TargetMode="External"/><Relationship Id="rId68" Type="http://schemas.openxmlformats.org/officeDocument/2006/relationships/hyperlink" Target="https://www.london.anglican.org/directory/st-lukes-cofe-primary-school/" TargetMode="External"/><Relationship Id="rId133" Type="http://schemas.openxmlformats.org/officeDocument/2006/relationships/hyperlink" Target="https://www.gracechurchhackney.org.uk/" TargetMode="External"/><Relationship Id="rId175" Type="http://schemas.openxmlformats.org/officeDocument/2006/relationships/hyperlink" Target="http://www.staugustine.org.uk/" TargetMode="External"/><Relationship Id="rId340" Type="http://schemas.openxmlformats.org/officeDocument/2006/relationships/hyperlink" Target="=IFERROR(VLOOKUP($C108,%20DataFromWikipedia!A:T,%2017,%20FALSE),%20%22%22)" TargetMode="External"/><Relationship Id="rId578" Type="http://schemas.openxmlformats.org/officeDocument/2006/relationships/hyperlink" Target="https://www.crockford.org.uk/places/12977/the-benefice-of-shoreditch-(st-leonard)-with-st-michael" TargetMode="External"/><Relationship Id="rId200" Type="http://schemas.openxmlformats.org/officeDocument/2006/relationships/hyperlink" Target="http://www.allhallowsbow.org.uk/" TargetMode="External"/><Relationship Id="rId382" Type="http://schemas.openxmlformats.org/officeDocument/2006/relationships/hyperlink" Target="https://en.wikipedia.org/wiki/South_Hackney" TargetMode="External"/><Relationship Id="rId438" Type="http://schemas.openxmlformats.org/officeDocument/2006/relationships/hyperlink" Target="https://en.wikipedia.org/wiki/St_Anne%27s,_Limehouse" TargetMode="External"/><Relationship Id="rId603" Type="http://schemas.openxmlformats.org/officeDocument/2006/relationships/hyperlink" Target="https://www.crockford.org.uk/places/12728/the-benefice-of-hornsey-rise-(st-mary)" TargetMode="External"/><Relationship Id="rId242" Type="http://schemas.openxmlformats.org/officeDocument/2006/relationships/hyperlink" Target="=IFERROR(VLOOKUP($C8,%20DataFromWikipedia!A:T,%2017,%20FALSE),%20%22%22)" TargetMode="External"/><Relationship Id="rId284" Type="http://schemas.openxmlformats.org/officeDocument/2006/relationships/hyperlink" Target="=IFERROR(VLOOKUP($C51,%20DataFromWikipedia!A:T,%2017,%20FALSE),%20%22%22)" TargetMode="External"/><Relationship Id="rId491" Type="http://schemas.openxmlformats.org/officeDocument/2006/relationships/hyperlink" Target="https://www.london.anglican.org/directory/paul-zaphiriou/" TargetMode="External"/><Relationship Id="rId505" Type="http://schemas.openxmlformats.org/officeDocument/2006/relationships/hyperlink" Target="https://www.london.anglican.org/directory/james-hill/" TargetMode="External"/><Relationship Id="rId37" Type="http://schemas.openxmlformats.org/officeDocument/2006/relationships/hyperlink" Target="https://www.london.anglican.org/directory/st-paul-west-hackney/" TargetMode="External"/><Relationship Id="rId79" Type="http://schemas.openxmlformats.org/officeDocument/2006/relationships/hyperlink" Target="https://www.london.anglican.org/directory/st-thomas-finsbury-park/" TargetMode="External"/><Relationship Id="rId102" Type="http://schemas.openxmlformats.org/officeDocument/2006/relationships/hyperlink" Target="https://www.london.anglican.org/directory/st-anne-limehouse/" TargetMode="External"/><Relationship Id="rId144" Type="http://schemas.openxmlformats.org/officeDocument/2006/relationships/hyperlink" Target="http://www.sjoj.co.uk/" TargetMode="External"/><Relationship Id="rId547" Type="http://schemas.openxmlformats.org/officeDocument/2006/relationships/hyperlink" Target="https://www.london.anglican.org/directory/tim-may/" TargetMode="External"/><Relationship Id="rId589" Type="http://schemas.openxmlformats.org/officeDocument/2006/relationships/hyperlink" Target="https://www.crockford.org.uk/places/13020/the-benefice-of-stamford-hill-(st-thomas)" TargetMode="External"/><Relationship Id="rId90" Type="http://schemas.openxmlformats.org/officeDocument/2006/relationships/hyperlink" Target="https://www.london.anglican.org/directory/christ-church-and-st-john-w-st-luke-isle-of-dogs/" TargetMode="External"/><Relationship Id="rId186" Type="http://schemas.openxmlformats.org/officeDocument/2006/relationships/hyperlink" Target="http://www.st-lukes.towerhamlets.sch.uk/" TargetMode="External"/><Relationship Id="rId351" Type="http://schemas.openxmlformats.org/officeDocument/2006/relationships/hyperlink" Target="=IFERROR(VLOOKUP($C119,%20DataFromWikipedia!A:T,%2017,%20FALSE),%20%22%22)" TargetMode="External"/><Relationship Id="rId393" Type="http://schemas.openxmlformats.org/officeDocument/2006/relationships/hyperlink" Target="https://en.wikipedia.org/wiki/Tufnell_Park" TargetMode="External"/><Relationship Id="rId407" Type="http://schemas.openxmlformats.org/officeDocument/2006/relationships/hyperlink" Target="https://en.wikipedia.org/wiki/Spitalfields" TargetMode="External"/><Relationship Id="rId449" Type="http://schemas.openxmlformats.org/officeDocument/2006/relationships/hyperlink" Target="https://en.wikipedia.org/wiki/St_Peter%27s,_London_Docks" TargetMode="External"/><Relationship Id="rId614" Type="http://schemas.openxmlformats.org/officeDocument/2006/relationships/hyperlink" Target="https://www.crockford.org.uk/places/12472/the-benefice-of-bethnal-green-(st-barnabas)" TargetMode="External"/><Relationship Id="rId211" Type="http://schemas.openxmlformats.org/officeDocument/2006/relationships/hyperlink" Target="http://www.stbarnabasbethnalgreen.org/" TargetMode="External"/><Relationship Id="rId253" Type="http://schemas.openxmlformats.org/officeDocument/2006/relationships/hyperlink" Target="=IFERROR(VLOOKUP($C19,%20DataFromWikipedia!A:T,%2017,%20FALSE),%20%22%22)" TargetMode="External"/><Relationship Id="rId295" Type="http://schemas.openxmlformats.org/officeDocument/2006/relationships/hyperlink" Target="=IFERROR(VLOOKUP($C62,%20DataFromWikipedia!A:T,%2017,%20FALSE),%20%22%22)" TargetMode="External"/><Relationship Id="rId309" Type="http://schemas.openxmlformats.org/officeDocument/2006/relationships/hyperlink" Target="=IFERROR(VLOOKUP($C76,%20DataFromWikipedia!A:T,%2017,%20FALSE),%20%22%22)" TargetMode="External"/><Relationship Id="rId460" Type="http://schemas.openxmlformats.org/officeDocument/2006/relationships/hyperlink" Target="https://www.london.anglican.org/directory/charles-card-reynolds/" TargetMode="External"/><Relationship Id="rId516" Type="http://schemas.openxmlformats.org/officeDocument/2006/relationships/hyperlink" Target="https://www.london.anglican.org/directory/rayner-wakeling/" TargetMode="External"/><Relationship Id="rId48" Type="http://schemas.openxmlformats.org/officeDocument/2006/relationships/hyperlink" Target="https://www.london.anglican.org/directory/hm-prison-pentonville/" TargetMode="External"/><Relationship Id="rId113" Type="http://schemas.openxmlformats.org/officeDocument/2006/relationships/hyperlink" Target="https://www.london.anglican.org/directory/st-mary-cable-street/" TargetMode="External"/><Relationship Id="rId320" Type="http://schemas.openxmlformats.org/officeDocument/2006/relationships/hyperlink" Target="=IFERROR(VLOOKUP($C88,%20DataFromWikipedia!A:T,%2017,%20FALSE),%20%22%22)" TargetMode="External"/><Relationship Id="rId558" Type="http://schemas.openxmlformats.org/officeDocument/2006/relationships/hyperlink" Target="https://www.london.anglican.org/directory/jonathan-beswick/" TargetMode="External"/><Relationship Id="rId155" Type="http://schemas.openxmlformats.org/officeDocument/2006/relationships/hyperlink" Target="http://www.stmatthiasschool.org.uk/" TargetMode="External"/><Relationship Id="rId197" Type="http://schemas.openxmlformats.org/officeDocument/2006/relationships/hyperlink" Target="http://www.thecharterhouse.org/" TargetMode="External"/><Relationship Id="rId362" Type="http://schemas.openxmlformats.org/officeDocument/2006/relationships/hyperlink" Target="=IFERROR(VLOOKUP($C130,%20DataFromWikipedia!A:T,%2017,%20FALSE),%20%22%22)" TargetMode="External"/><Relationship Id="rId418" Type="http://schemas.openxmlformats.org/officeDocument/2006/relationships/hyperlink" Target="https://en.wikipedia.org/wiki/Bow_Common" TargetMode="External"/><Relationship Id="rId625" Type="http://schemas.openxmlformats.org/officeDocument/2006/relationships/hyperlink" Target="https://www.crockford.org.uk/places/12969/the-benefice-of-shadwell-(st-paul)-with-ratcliffe-st-james" TargetMode="External"/><Relationship Id="rId222" Type="http://schemas.openxmlformats.org/officeDocument/2006/relationships/hyperlink" Target="http://www.stmatthiasschool.org.uk/" TargetMode="External"/><Relationship Id="rId264" Type="http://schemas.openxmlformats.org/officeDocument/2006/relationships/hyperlink" Target="=IFERROR(VLOOKUP($C30,%20DataFromWikipedia!A:T,%2017,%20FALSE),%20%22%22)" TargetMode="External"/><Relationship Id="rId471" Type="http://schemas.openxmlformats.org/officeDocument/2006/relationships/hyperlink" Target="https://www.london.anglican.org/directory/josh-zvimba/"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P86"/>
  <sheetViews>
    <sheetView showGridLines="0" tabSelected="1" workbookViewId="0">
      <selection activeCell="O1" sqref="O1:P1"/>
    </sheetView>
  </sheetViews>
  <sheetFormatPr defaultRowHeight="15" x14ac:dyDescent="0.25"/>
  <cols>
    <col min="1" max="1" width="15.7109375" style="5" customWidth="1"/>
    <col min="2" max="14" width="9.140625" style="1"/>
    <col min="15" max="15" width="5" style="1" customWidth="1"/>
    <col min="16" max="16" width="105.42578125" style="1" customWidth="1"/>
    <col min="17" max="16384" width="9.140625" style="1"/>
  </cols>
  <sheetData>
    <row r="1" spans="1:16" s="3" customFormat="1" ht="81" customHeight="1" x14ac:dyDescent="0.25">
      <c r="A1" s="6"/>
      <c r="C1" s="4" t="s">
        <v>75</v>
      </c>
      <c r="N1" s="33" t="s">
        <v>1109</v>
      </c>
      <c r="O1" s="110">
        <v>43980</v>
      </c>
      <c r="P1" s="110"/>
    </row>
    <row r="8" spans="1:16" x14ac:dyDescent="0.25">
      <c r="D8" s="111" t="s">
        <v>1116</v>
      </c>
      <c r="E8" s="112"/>
      <c r="F8" s="112"/>
      <c r="G8" s="112"/>
      <c r="H8" s="112"/>
      <c r="I8" s="112"/>
      <c r="J8" s="112"/>
      <c r="K8" s="112"/>
      <c r="L8" s="112"/>
      <c r="M8" s="112"/>
      <c r="N8" s="113"/>
    </row>
    <row r="9" spans="1:16" x14ac:dyDescent="0.25">
      <c r="A9" s="40"/>
    </row>
    <row r="10" spans="1:16" x14ac:dyDescent="0.25">
      <c r="A10" s="41"/>
      <c r="D10" s="101" t="s">
        <v>1113</v>
      </c>
      <c r="E10" s="114"/>
      <c r="F10" s="114"/>
      <c r="G10" s="114"/>
      <c r="H10" s="114"/>
      <c r="I10" s="114"/>
      <c r="J10" s="114"/>
      <c r="K10" s="114"/>
      <c r="L10" s="114"/>
      <c r="M10" s="114"/>
      <c r="N10" s="115"/>
      <c r="P10" s="101" t="s">
        <v>3558</v>
      </c>
    </row>
    <row r="11" spans="1:16" x14ac:dyDescent="0.25">
      <c r="D11" s="116"/>
      <c r="E11" s="117"/>
      <c r="F11" s="117"/>
      <c r="G11" s="117"/>
      <c r="H11" s="117"/>
      <c r="I11" s="117"/>
      <c r="J11" s="117"/>
      <c r="K11" s="117"/>
      <c r="L11" s="117"/>
      <c r="M11" s="117"/>
      <c r="N11" s="118"/>
      <c r="P11" s="116"/>
    </row>
    <row r="12" spans="1:16" x14ac:dyDescent="0.25">
      <c r="D12" s="116"/>
      <c r="E12" s="117"/>
      <c r="F12" s="117"/>
      <c r="G12" s="117"/>
      <c r="H12" s="117"/>
      <c r="I12" s="117"/>
      <c r="J12" s="117"/>
      <c r="K12" s="117"/>
      <c r="L12" s="117"/>
      <c r="M12" s="117"/>
      <c r="N12" s="118"/>
      <c r="P12" s="116" t="s">
        <v>3557</v>
      </c>
    </row>
    <row r="13" spans="1:16" x14ac:dyDescent="0.25">
      <c r="D13" s="116"/>
      <c r="E13" s="117"/>
      <c r="F13" s="117"/>
      <c r="G13" s="117"/>
      <c r="H13" s="117"/>
      <c r="I13" s="117"/>
      <c r="J13" s="117"/>
      <c r="K13" s="117"/>
      <c r="L13" s="117"/>
      <c r="M13" s="117"/>
      <c r="N13" s="118"/>
      <c r="P13" s="116"/>
    </row>
    <row r="14" spans="1:16" x14ac:dyDescent="0.25">
      <c r="D14" s="116"/>
      <c r="E14" s="117"/>
      <c r="F14" s="117"/>
      <c r="G14" s="117"/>
      <c r="H14" s="117"/>
      <c r="I14" s="117"/>
      <c r="J14" s="117"/>
      <c r="K14" s="117"/>
      <c r="L14" s="117"/>
      <c r="M14" s="117"/>
      <c r="N14" s="118"/>
      <c r="P14" s="116"/>
    </row>
    <row r="15" spans="1:16" x14ac:dyDescent="0.25">
      <c r="D15" s="116"/>
      <c r="E15" s="117"/>
      <c r="F15" s="117"/>
      <c r="G15" s="117"/>
      <c r="H15" s="117"/>
      <c r="I15" s="117"/>
      <c r="J15" s="117"/>
      <c r="K15" s="117"/>
      <c r="L15" s="117"/>
      <c r="M15" s="117"/>
      <c r="N15" s="118"/>
      <c r="P15" s="116"/>
    </row>
    <row r="16" spans="1:16" x14ac:dyDescent="0.25">
      <c r="D16" s="116"/>
      <c r="E16" s="117"/>
      <c r="F16" s="117"/>
      <c r="G16" s="117"/>
      <c r="H16" s="117"/>
      <c r="I16" s="117"/>
      <c r="J16" s="117"/>
      <c r="K16" s="117"/>
      <c r="L16" s="117"/>
      <c r="M16" s="117"/>
      <c r="N16" s="118"/>
      <c r="P16" s="116"/>
    </row>
    <row r="17" spans="4:16" x14ac:dyDescent="0.25">
      <c r="D17" s="116"/>
      <c r="E17" s="117"/>
      <c r="F17" s="117"/>
      <c r="G17" s="117"/>
      <c r="H17" s="117"/>
      <c r="I17" s="117"/>
      <c r="J17" s="117"/>
      <c r="K17" s="117"/>
      <c r="L17" s="117"/>
      <c r="M17" s="117"/>
      <c r="N17" s="118"/>
      <c r="P17" s="116"/>
    </row>
    <row r="18" spans="4:16" x14ac:dyDescent="0.25">
      <c r="D18" s="116"/>
      <c r="E18" s="117"/>
      <c r="F18" s="117"/>
      <c r="G18" s="117"/>
      <c r="H18" s="117"/>
      <c r="I18" s="117"/>
      <c r="J18" s="117"/>
      <c r="K18" s="117"/>
      <c r="L18" s="117"/>
      <c r="M18" s="117"/>
      <c r="N18" s="118"/>
      <c r="P18" s="116"/>
    </row>
    <row r="19" spans="4:16" x14ac:dyDescent="0.25">
      <c r="D19" s="116"/>
      <c r="E19" s="117"/>
      <c r="F19" s="117"/>
      <c r="G19" s="117"/>
      <c r="H19" s="117"/>
      <c r="I19" s="117"/>
      <c r="J19" s="117"/>
      <c r="K19" s="117"/>
      <c r="L19" s="117"/>
      <c r="M19" s="117"/>
      <c r="N19" s="118"/>
      <c r="P19" s="116"/>
    </row>
    <row r="20" spans="4:16" x14ac:dyDescent="0.25">
      <c r="D20" s="116"/>
      <c r="E20" s="117"/>
      <c r="F20" s="117"/>
      <c r="G20" s="117"/>
      <c r="H20" s="117"/>
      <c r="I20" s="117"/>
      <c r="J20" s="117"/>
      <c r="K20" s="117"/>
      <c r="L20" s="117"/>
      <c r="M20" s="117"/>
      <c r="N20" s="118"/>
      <c r="P20" s="116"/>
    </row>
    <row r="21" spans="4:16" x14ac:dyDescent="0.25">
      <c r="D21" s="116"/>
      <c r="E21" s="117"/>
      <c r="F21" s="117"/>
      <c r="G21" s="117"/>
      <c r="H21" s="117"/>
      <c r="I21" s="117"/>
      <c r="J21" s="117"/>
      <c r="K21" s="117"/>
      <c r="L21" s="117"/>
      <c r="M21" s="117"/>
      <c r="N21" s="118"/>
      <c r="P21" s="116"/>
    </row>
    <row r="22" spans="4:16" x14ac:dyDescent="0.25">
      <c r="D22" s="116"/>
      <c r="E22" s="117"/>
      <c r="F22" s="117"/>
      <c r="G22" s="117"/>
      <c r="H22" s="117"/>
      <c r="I22" s="117"/>
      <c r="J22" s="117"/>
      <c r="K22" s="117"/>
      <c r="L22" s="117"/>
      <c r="M22" s="117"/>
      <c r="N22" s="118"/>
      <c r="P22" s="116"/>
    </row>
    <row r="23" spans="4:16" x14ac:dyDescent="0.25">
      <c r="D23" s="116"/>
      <c r="E23" s="117"/>
      <c r="F23" s="117"/>
      <c r="G23" s="117"/>
      <c r="H23" s="117"/>
      <c r="I23" s="117"/>
      <c r="J23" s="117"/>
      <c r="K23" s="117"/>
      <c r="L23" s="117"/>
      <c r="M23" s="117"/>
      <c r="N23" s="118"/>
      <c r="P23" s="116"/>
    </row>
    <row r="24" spans="4:16" x14ac:dyDescent="0.25">
      <c r="D24" s="119"/>
      <c r="E24" s="120"/>
      <c r="F24" s="120"/>
      <c r="G24" s="120"/>
      <c r="H24" s="120"/>
      <c r="I24" s="120"/>
      <c r="J24" s="120"/>
      <c r="K24" s="120"/>
      <c r="L24" s="120"/>
      <c r="M24" s="120"/>
      <c r="N24" s="121"/>
      <c r="P24" s="119"/>
    </row>
    <row r="26" spans="4:16" ht="15" customHeight="1" x14ac:dyDescent="0.25">
      <c r="D26" s="101" t="s">
        <v>1124</v>
      </c>
      <c r="E26" s="102"/>
      <c r="F26" s="102"/>
      <c r="G26" s="102"/>
      <c r="H26" s="102"/>
      <c r="I26" s="102"/>
      <c r="J26" s="102"/>
      <c r="K26" s="102"/>
      <c r="L26" s="102"/>
      <c r="M26" s="102"/>
      <c r="N26" s="103"/>
    </row>
    <row r="27" spans="4:16" x14ac:dyDescent="0.25">
      <c r="D27" s="104"/>
      <c r="E27" s="105"/>
      <c r="F27" s="105"/>
      <c r="G27" s="105"/>
      <c r="H27" s="105"/>
      <c r="I27" s="105"/>
      <c r="J27" s="105"/>
      <c r="K27" s="105"/>
      <c r="L27" s="105"/>
      <c r="M27" s="105"/>
      <c r="N27" s="106"/>
    </row>
    <row r="28" spans="4:16" x14ac:dyDescent="0.25">
      <c r="D28" s="104"/>
      <c r="E28" s="105"/>
      <c r="F28" s="105"/>
      <c r="G28" s="105"/>
      <c r="H28" s="105"/>
      <c r="I28" s="105"/>
      <c r="J28" s="105"/>
      <c r="K28" s="105"/>
      <c r="L28" s="105"/>
      <c r="M28" s="105"/>
      <c r="N28" s="106"/>
    </row>
    <row r="29" spans="4:16" x14ac:dyDescent="0.25">
      <c r="D29" s="104"/>
      <c r="E29" s="105"/>
      <c r="F29" s="105"/>
      <c r="G29" s="105"/>
      <c r="H29" s="105"/>
      <c r="I29" s="105"/>
      <c r="J29" s="105"/>
      <c r="K29" s="105"/>
      <c r="L29" s="105"/>
      <c r="M29" s="105"/>
      <c r="N29" s="106"/>
    </row>
    <row r="30" spans="4:16" x14ac:dyDescent="0.25">
      <c r="D30" s="104"/>
      <c r="E30" s="105"/>
      <c r="F30" s="105"/>
      <c r="G30" s="105"/>
      <c r="H30" s="105"/>
      <c r="I30" s="105"/>
      <c r="J30" s="105"/>
      <c r="K30" s="105"/>
      <c r="L30" s="105"/>
      <c r="M30" s="105"/>
      <c r="N30" s="106"/>
    </row>
    <row r="31" spans="4:16" x14ac:dyDescent="0.25">
      <c r="D31" s="104"/>
      <c r="E31" s="105"/>
      <c r="F31" s="105"/>
      <c r="G31" s="105"/>
      <c r="H31" s="105"/>
      <c r="I31" s="105"/>
      <c r="J31" s="105"/>
      <c r="K31" s="105"/>
      <c r="L31" s="105"/>
      <c r="M31" s="105"/>
      <c r="N31" s="106"/>
    </row>
    <row r="32" spans="4:16" x14ac:dyDescent="0.25">
      <c r="D32" s="104"/>
      <c r="E32" s="105"/>
      <c r="F32" s="105"/>
      <c r="G32" s="105"/>
      <c r="H32" s="105"/>
      <c r="I32" s="105"/>
      <c r="J32" s="105"/>
      <c r="K32" s="105"/>
      <c r="L32" s="105"/>
      <c r="M32" s="105"/>
      <c r="N32" s="106"/>
    </row>
    <row r="33" spans="4:14" x14ac:dyDescent="0.25">
      <c r="D33" s="104"/>
      <c r="E33" s="105"/>
      <c r="F33" s="105"/>
      <c r="G33" s="105"/>
      <c r="H33" s="105"/>
      <c r="I33" s="105"/>
      <c r="J33" s="105"/>
      <c r="K33" s="105"/>
      <c r="L33" s="105"/>
      <c r="M33" s="105"/>
      <c r="N33" s="106"/>
    </row>
    <row r="34" spans="4:14" x14ac:dyDescent="0.25">
      <c r="D34" s="104"/>
      <c r="E34" s="105"/>
      <c r="F34" s="105"/>
      <c r="G34" s="105"/>
      <c r="H34" s="105"/>
      <c r="I34" s="105"/>
      <c r="J34" s="105"/>
      <c r="K34" s="105"/>
      <c r="L34" s="105"/>
      <c r="M34" s="105"/>
      <c r="N34" s="106"/>
    </row>
    <row r="35" spans="4:14" x14ac:dyDescent="0.25">
      <c r="D35" s="104"/>
      <c r="E35" s="105"/>
      <c r="F35" s="105"/>
      <c r="G35" s="105"/>
      <c r="H35" s="105"/>
      <c r="I35" s="105"/>
      <c r="J35" s="105"/>
      <c r="K35" s="105"/>
      <c r="L35" s="105"/>
      <c r="M35" s="105"/>
      <c r="N35" s="106"/>
    </row>
    <row r="36" spans="4:14" x14ac:dyDescent="0.25">
      <c r="D36" s="104"/>
      <c r="E36" s="105"/>
      <c r="F36" s="105"/>
      <c r="G36" s="105"/>
      <c r="H36" s="105"/>
      <c r="I36" s="105"/>
      <c r="J36" s="105"/>
      <c r="K36" s="105"/>
      <c r="L36" s="105"/>
      <c r="M36" s="105"/>
      <c r="N36" s="106"/>
    </row>
    <row r="37" spans="4:14" x14ac:dyDescent="0.25">
      <c r="D37" s="104"/>
      <c r="E37" s="105"/>
      <c r="F37" s="105"/>
      <c r="G37" s="105"/>
      <c r="H37" s="105"/>
      <c r="I37" s="105"/>
      <c r="J37" s="105"/>
      <c r="K37" s="105"/>
      <c r="L37" s="105"/>
      <c r="M37" s="105"/>
      <c r="N37" s="106"/>
    </row>
    <row r="38" spans="4:14" x14ac:dyDescent="0.25">
      <c r="D38" s="104"/>
      <c r="E38" s="105"/>
      <c r="F38" s="105"/>
      <c r="G38" s="105"/>
      <c r="H38" s="105"/>
      <c r="I38" s="105"/>
      <c r="J38" s="105"/>
      <c r="K38" s="105"/>
      <c r="L38" s="105"/>
      <c r="M38" s="105"/>
      <c r="N38" s="106"/>
    </row>
    <row r="39" spans="4:14" x14ac:dyDescent="0.25">
      <c r="D39" s="104"/>
      <c r="E39" s="105"/>
      <c r="F39" s="105"/>
      <c r="G39" s="105"/>
      <c r="H39" s="105"/>
      <c r="I39" s="105"/>
      <c r="J39" s="105"/>
      <c r="K39" s="105"/>
      <c r="L39" s="105"/>
      <c r="M39" s="105"/>
      <c r="N39" s="106"/>
    </row>
    <row r="40" spans="4:14" x14ac:dyDescent="0.25">
      <c r="D40" s="104"/>
      <c r="E40" s="105"/>
      <c r="F40" s="105"/>
      <c r="G40" s="105"/>
      <c r="H40" s="105"/>
      <c r="I40" s="105"/>
      <c r="J40" s="105"/>
      <c r="K40" s="105"/>
      <c r="L40" s="105"/>
      <c r="M40" s="105"/>
      <c r="N40" s="106"/>
    </row>
    <row r="41" spans="4:14" x14ac:dyDescent="0.25">
      <c r="D41" s="104"/>
      <c r="E41" s="105"/>
      <c r="F41" s="105"/>
      <c r="G41" s="105"/>
      <c r="H41" s="105"/>
      <c r="I41" s="105"/>
      <c r="J41" s="105"/>
      <c r="K41" s="105"/>
      <c r="L41" s="105"/>
      <c r="M41" s="105"/>
      <c r="N41" s="106"/>
    </row>
    <row r="42" spans="4:14" x14ac:dyDescent="0.25">
      <c r="D42" s="104"/>
      <c r="E42" s="105"/>
      <c r="F42" s="105"/>
      <c r="G42" s="105"/>
      <c r="H42" s="105"/>
      <c r="I42" s="105"/>
      <c r="J42" s="105"/>
      <c r="K42" s="105"/>
      <c r="L42" s="105"/>
      <c r="M42" s="105"/>
      <c r="N42" s="106"/>
    </row>
    <row r="43" spans="4:14" x14ac:dyDescent="0.25">
      <c r="D43" s="104"/>
      <c r="E43" s="105"/>
      <c r="F43" s="105"/>
      <c r="G43" s="105"/>
      <c r="H43" s="105"/>
      <c r="I43" s="105"/>
      <c r="J43" s="105"/>
      <c r="K43" s="105"/>
      <c r="L43" s="105"/>
      <c r="M43" s="105"/>
      <c r="N43" s="106"/>
    </row>
    <row r="44" spans="4:14" x14ac:dyDescent="0.25">
      <c r="D44" s="104"/>
      <c r="E44" s="105"/>
      <c r="F44" s="105"/>
      <c r="G44" s="105"/>
      <c r="H44" s="105"/>
      <c r="I44" s="105"/>
      <c r="J44" s="105"/>
      <c r="K44" s="105"/>
      <c r="L44" s="105"/>
      <c r="M44" s="105"/>
      <c r="N44" s="106"/>
    </row>
    <row r="45" spans="4:14" x14ac:dyDescent="0.25">
      <c r="D45" s="104"/>
      <c r="E45" s="105"/>
      <c r="F45" s="105"/>
      <c r="G45" s="105"/>
      <c r="H45" s="105"/>
      <c r="I45" s="105"/>
      <c r="J45" s="105"/>
      <c r="K45" s="105"/>
      <c r="L45" s="105"/>
      <c r="M45" s="105"/>
      <c r="N45" s="106"/>
    </row>
    <row r="46" spans="4:14" x14ac:dyDescent="0.25">
      <c r="D46" s="104"/>
      <c r="E46" s="105"/>
      <c r="F46" s="105"/>
      <c r="G46" s="105"/>
      <c r="H46" s="105"/>
      <c r="I46" s="105"/>
      <c r="J46" s="105"/>
      <c r="K46" s="105"/>
      <c r="L46" s="105"/>
      <c r="M46" s="105"/>
      <c r="N46" s="106"/>
    </row>
    <row r="47" spans="4:14" x14ac:dyDescent="0.25">
      <c r="D47" s="104"/>
      <c r="E47" s="105"/>
      <c r="F47" s="105"/>
      <c r="G47" s="105"/>
      <c r="H47" s="105"/>
      <c r="I47" s="105"/>
      <c r="J47" s="105"/>
      <c r="K47" s="105"/>
      <c r="L47" s="105"/>
      <c r="M47" s="105"/>
      <c r="N47" s="106"/>
    </row>
    <row r="48" spans="4:14" x14ac:dyDescent="0.25">
      <c r="D48" s="104"/>
      <c r="E48" s="105"/>
      <c r="F48" s="105"/>
      <c r="G48" s="105"/>
      <c r="H48" s="105"/>
      <c r="I48" s="105"/>
      <c r="J48" s="105"/>
      <c r="K48" s="105"/>
      <c r="L48" s="105"/>
      <c r="M48" s="105"/>
      <c r="N48" s="106"/>
    </row>
    <row r="49" spans="4:14" x14ac:dyDescent="0.25">
      <c r="D49" s="104"/>
      <c r="E49" s="105"/>
      <c r="F49" s="105"/>
      <c r="G49" s="105"/>
      <c r="H49" s="105"/>
      <c r="I49" s="105"/>
      <c r="J49" s="105"/>
      <c r="K49" s="105"/>
      <c r="L49" s="105"/>
      <c r="M49" s="105"/>
      <c r="N49" s="106"/>
    </row>
    <row r="50" spans="4:14" x14ac:dyDescent="0.25">
      <c r="D50" s="104"/>
      <c r="E50" s="105"/>
      <c r="F50" s="105"/>
      <c r="G50" s="105"/>
      <c r="H50" s="105"/>
      <c r="I50" s="105"/>
      <c r="J50" s="105"/>
      <c r="K50" s="105"/>
      <c r="L50" s="105"/>
      <c r="M50" s="105"/>
      <c r="N50" s="106"/>
    </row>
    <row r="51" spans="4:14" x14ac:dyDescent="0.25">
      <c r="D51" s="104"/>
      <c r="E51" s="105"/>
      <c r="F51" s="105"/>
      <c r="G51" s="105"/>
      <c r="H51" s="105"/>
      <c r="I51" s="105"/>
      <c r="J51" s="105"/>
      <c r="K51" s="105"/>
      <c r="L51" s="105"/>
      <c r="M51" s="105"/>
      <c r="N51" s="106"/>
    </row>
    <row r="52" spans="4:14" x14ac:dyDescent="0.25">
      <c r="D52" s="104"/>
      <c r="E52" s="105"/>
      <c r="F52" s="105"/>
      <c r="G52" s="105"/>
      <c r="H52" s="105"/>
      <c r="I52" s="105"/>
      <c r="J52" s="105"/>
      <c r="K52" s="105"/>
      <c r="L52" s="105"/>
      <c r="M52" s="105"/>
      <c r="N52" s="106"/>
    </row>
    <row r="53" spans="4:14" x14ac:dyDescent="0.25">
      <c r="D53" s="104"/>
      <c r="E53" s="105"/>
      <c r="F53" s="105"/>
      <c r="G53" s="105"/>
      <c r="H53" s="105"/>
      <c r="I53" s="105"/>
      <c r="J53" s="105"/>
      <c r="K53" s="105"/>
      <c r="L53" s="105"/>
      <c r="M53" s="105"/>
      <c r="N53" s="106"/>
    </row>
    <row r="54" spans="4:14" x14ac:dyDescent="0.25">
      <c r="D54" s="104"/>
      <c r="E54" s="105"/>
      <c r="F54" s="105"/>
      <c r="G54" s="105"/>
      <c r="H54" s="105"/>
      <c r="I54" s="105"/>
      <c r="J54" s="105"/>
      <c r="K54" s="105"/>
      <c r="L54" s="105"/>
      <c r="M54" s="105"/>
      <c r="N54" s="106"/>
    </row>
    <row r="55" spans="4:14" x14ac:dyDescent="0.25">
      <c r="D55" s="104"/>
      <c r="E55" s="105"/>
      <c r="F55" s="105"/>
      <c r="G55" s="105"/>
      <c r="H55" s="105"/>
      <c r="I55" s="105"/>
      <c r="J55" s="105"/>
      <c r="K55" s="105"/>
      <c r="L55" s="105"/>
      <c r="M55" s="105"/>
      <c r="N55" s="106"/>
    </row>
    <row r="56" spans="4:14" x14ac:dyDescent="0.25">
      <c r="D56" s="104"/>
      <c r="E56" s="105"/>
      <c r="F56" s="105"/>
      <c r="G56" s="105"/>
      <c r="H56" s="105"/>
      <c r="I56" s="105"/>
      <c r="J56" s="105"/>
      <c r="K56" s="105"/>
      <c r="L56" s="105"/>
      <c r="M56" s="105"/>
      <c r="N56" s="106"/>
    </row>
    <row r="57" spans="4:14" x14ac:dyDescent="0.25">
      <c r="D57" s="107"/>
      <c r="E57" s="108"/>
      <c r="F57" s="108"/>
      <c r="G57" s="108"/>
      <c r="H57" s="108"/>
      <c r="I57" s="108"/>
      <c r="J57" s="108"/>
      <c r="K57" s="108"/>
      <c r="L57" s="108"/>
      <c r="M57" s="108"/>
      <c r="N57" s="109"/>
    </row>
    <row r="59" spans="4:14" ht="15" customHeight="1" x14ac:dyDescent="0.25">
      <c r="D59" s="101" t="s">
        <v>1114</v>
      </c>
      <c r="E59" s="102"/>
      <c r="F59" s="102"/>
      <c r="G59" s="102"/>
      <c r="H59" s="102"/>
      <c r="I59" s="102"/>
      <c r="J59" s="102"/>
      <c r="K59" s="102"/>
      <c r="L59" s="102"/>
      <c r="M59" s="102"/>
      <c r="N59" s="103"/>
    </row>
    <row r="60" spans="4:14" x14ac:dyDescent="0.25">
      <c r="D60" s="104"/>
      <c r="E60" s="105"/>
      <c r="F60" s="105"/>
      <c r="G60" s="105"/>
      <c r="H60" s="105"/>
      <c r="I60" s="105"/>
      <c r="J60" s="105"/>
      <c r="K60" s="105"/>
      <c r="L60" s="105"/>
      <c r="M60" s="105"/>
      <c r="N60" s="106"/>
    </row>
    <row r="61" spans="4:14" x14ac:dyDescent="0.25">
      <c r="D61" s="104"/>
      <c r="E61" s="105"/>
      <c r="F61" s="105"/>
      <c r="G61" s="105"/>
      <c r="H61" s="105"/>
      <c r="I61" s="105"/>
      <c r="J61" s="105"/>
      <c r="K61" s="105"/>
      <c r="L61" s="105"/>
      <c r="M61" s="105"/>
      <c r="N61" s="106"/>
    </row>
    <row r="62" spans="4:14" x14ac:dyDescent="0.25">
      <c r="D62" s="104"/>
      <c r="E62" s="105"/>
      <c r="F62" s="105"/>
      <c r="G62" s="105"/>
      <c r="H62" s="105"/>
      <c r="I62" s="105"/>
      <c r="J62" s="105"/>
      <c r="K62" s="105"/>
      <c r="L62" s="105"/>
      <c r="M62" s="105"/>
      <c r="N62" s="106"/>
    </row>
    <row r="63" spans="4:14" x14ac:dyDescent="0.25">
      <c r="D63" s="104"/>
      <c r="E63" s="105"/>
      <c r="F63" s="105"/>
      <c r="G63" s="105"/>
      <c r="H63" s="105"/>
      <c r="I63" s="105"/>
      <c r="J63" s="105"/>
      <c r="K63" s="105"/>
      <c r="L63" s="105"/>
      <c r="M63" s="105"/>
      <c r="N63" s="106"/>
    </row>
    <row r="64" spans="4:14" x14ac:dyDescent="0.25">
      <c r="D64" s="104"/>
      <c r="E64" s="105"/>
      <c r="F64" s="105"/>
      <c r="G64" s="105"/>
      <c r="H64" s="105"/>
      <c r="I64" s="105"/>
      <c r="J64" s="105"/>
      <c r="K64" s="105"/>
      <c r="L64" s="105"/>
      <c r="M64" s="105"/>
      <c r="N64" s="106"/>
    </row>
    <row r="65" spans="4:14" x14ac:dyDescent="0.25">
      <c r="D65" s="104"/>
      <c r="E65" s="105"/>
      <c r="F65" s="105"/>
      <c r="G65" s="105"/>
      <c r="H65" s="105"/>
      <c r="I65" s="105"/>
      <c r="J65" s="105"/>
      <c r="K65" s="105"/>
      <c r="L65" s="105"/>
      <c r="M65" s="105"/>
      <c r="N65" s="106"/>
    </row>
    <row r="66" spans="4:14" x14ac:dyDescent="0.25">
      <c r="D66" s="104"/>
      <c r="E66" s="105"/>
      <c r="F66" s="105"/>
      <c r="G66" s="105"/>
      <c r="H66" s="105"/>
      <c r="I66" s="105"/>
      <c r="J66" s="105"/>
      <c r="K66" s="105"/>
      <c r="L66" s="105"/>
      <c r="M66" s="105"/>
      <c r="N66" s="106"/>
    </row>
    <row r="67" spans="4:14" x14ac:dyDescent="0.25">
      <c r="D67" s="104"/>
      <c r="E67" s="105"/>
      <c r="F67" s="105"/>
      <c r="G67" s="105"/>
      <c r="H67" s="105"/>
      <c r="I67" s="105"/>
      <c r="J67" s="105"/>
      <c r="K67" s="105"/>
      <c r="L67" s="105"/>
      <c r="M67" s="105"/>
      <c r="N67" s="106"/>
    </row>
    <row r="68" spans="4:14" x14ac:dyDescent="0.25">
      <c r="D68" s="104"/>
      <c r="E68" s="105"/>
      <c r="F68" s="105"/>
      <c r="G68" s="105"/>
      <c r="H68" s="105"/>
      <c r="I68" s="105"/>
      <c r="J68" s="105"/>
      <c r="K68" s="105"/>
      <c r="L68" s="105"/>
      <c r="M68" s="105"/>
      <c r="N68" s="106"/>
    </row>
    <row r="69" spans="4:14" x14ac:dyDescent="0.25">
      <c r="D69" s="104"/>
      <c r="E69" s="105"/>
      <c r="F69" s="105"/>
      <c r="G69" s="105"/>
      <c r="H69" s="105"/>
      <c r="I69" s="105"/>
      <c r="J69" s="105"/>
      <c r="K69" s="105"/>
      <c r="L69" s="105"/>
      <c r="M69" s="105"/>
      <c r="N69" s="106"/>
    </row>
    <row r="70" spans="4:14" x14ac:dyDescent="0.25">
      <c r="D70" s="104"/>
      <c r="E70" s="105"/>
      <c r="F70" s="105"/>
      <c r="G70" s="105"/>
      <c r="H70" s="105"/>
      <c r="I70" s="105"/>
      <c r="J70" s="105"/>
      <c r="K70" s="105"/>
      <c r="L70" s="105"/>
      <c r="M70" s="105"/>
      <c r="N70" s="106"/>
    </row>
    <row r="71" spans="4:14" x14ac:dyDescent="0.25">
      <c r="D71" s="104"/>
      <c r="E71" s="105"/>
      <c r="F71" s="105"/>
      <c r="G71" s="105"/>
      <c r="H71" s="105"/>
      <c r="I71" s="105"/>
      <c r="J71" s="105"/>
      <c r="K71" s="105"/>
      <c r="L71" s="105"/>
      <c r="M71" s="105"/>
      <c r="N71" s="106"/>
    </row>
    <row r="72" spans="4:14" x14ac:dyDescent="0.25">
      <c r="D72" s="104"/>
      <c r="E72" s="105"/>
      <c r="F72" s="105"/>
      <c r="G72" s="105"/>
      <c r="H72" s="105"/>
      <c r="I72" s="105"/>
      <c r="J72" s="105"/>
      <c r="K72" s="105"/>
      <c r="L72" s="105"/>
      <c r="M72" s="105"/>
      <c r="N72" s="106"/>
    </row>
    <row r="73" spans="4:14" x14ac:dyDescent="0.25">
      <c r="D73" s="104"/>
      <c r="E73" s="105"/>
      <c r="F73" s="105"/>
      <c r="G73" s="105"/>
      <c r="H73" s="105"/>
      <c r="I73" s="105"/>
      <c r="J73" s="105"/>
      <c r="K73" s="105"/>
      <c r="L73" s="105"/>
      <c r="M73" s="105"/>
      <c r="N73" s="106"/>
    </row>
    <row r="74" spans="4:14" x14ac:dyDescent="0.25">
      <c r="D74" s="104"/>
      <c r="E74" s="105"/>
      <c r="F74" s="105"/>
      <c r="G74" s="105"/>
      <c r="H74" s="105"/>
      <c r="I74" s="105"/>
      <c r="J74" s="105"/>
      <c r="K74" s="105"/>
      <c r="L74" s="105"/>
      <c r="M74" s="105"/>
      <c r="N74" s="106"/>
    </row>
    <row r="75" spans="4:14" x14ac:dyDescent="0.25">
      <c r="D75" s="104"/>
      <c r="E75" s="105"/>
      <c r="F75" s="105"/>
      <c r="G75" s="105"/>
      <c r="H75" s="105"/>
      <c r="I75" s="105"/>
      <c r="J75" s="105"/>
      <c r="K75" s="105"/>
      <c r="L75" s="105"/>
      <c r="M75" s="105"/>
      <c r="N75" s="106"/>
    </row>
    <row r="76" spans="4:14" x14ac:dyDescent="0.25">
      <c r="D76" s="107"/>
      <c r="E76" s="108"/>
      <c r="F76" s="108"/>
      <c r="G76" s="108"/>
      <c r="H76" s="108"/>
      <c r="I76" s="108"/>
      <c r="J76" s="108"/>
      <c r="K76" s="108"/>
      <c r="L76" s="108"/>
      <c r="M76" s="108"/>
      <c r="N76" s="109"/>
    </row>
    <row r="78" spans="4:14" x14ac:dyDescent="0.25">
      <c r="D78" s="101" t="s">
        <v>1115</v>
      </c>
      <c r="E78" s="102"/>
      <c r="F78" s="102"/>
      <c r="G78" s="102"/>
      <c r="H78" s="102"/>
      <c r="I78" s="102"/>
      <c r="J78" s="102"/>
      <c r="K78" s="102"/>
      <c r="L78" s="102"/>
      <c r="M78" s="102"/>
      <c r="N78" s="103"/>
    </row>
    <row r="79" spans="4:14" x14ac:dyDescent="0.25">
      <c r="D79" s="104"/>
      <c r="E79" s="105"/>
      <c r="F79" s="105"/>
      <c r="G79" s="105"/>
      <c r="H79" s="105"/>
      <c r="I79" s="105"/>
      <c r="J79" s="105"/>
      <c r="K79" s="105"/>
      <c r="L79" s="105"/>
      <c r="M79" s="105"/>
      <c r="N79" s="106"/>
    </row>
    <row r="80" spans="4:14" x14ac:dyDescent="0.25">
      <c r="D80" s="104"/>
      <c r="E80" s="105"/>
      <c r="F80" s="105"/>
      <c r="G80" s="105"/>
      <c r="H80" s="105"/>
      <c r="I80" s="105"/>
      <c r="J80" s="105"/>
      <c r="K80" s="105"/>
      <c r="L80" s="105"/>
      <c r="M80" s="105"/>
      <c r="N80" s="106"/>
    </row>
    <row r="81" spans="4:14" x14ac:dyDescent="0.25">
      <c r="D81" s="104"/>
      <c r="E81" s="105"/>
      <c r="F81" s="105"/>
      <c r="G81" s="105"/>
      <c r="H81" s="105"/>
      <c r="I81" s="105"/>
      <c r="J81" s="105"/>
      <c r="K81" s="105"/>
      <c r="L81" s="105"/>
      <c r="M81" s="105"/>
      <c r="N81" s="106"/>
    </row>
    <row r="82" spans="4:14" x14ac:dyDescent="0.25">
      <c r="D82" s="104"/>
      <c r="E82" s="105"/>
      <c r="F82" s="105"/>
      <c r="G82" s="105"/>
      <c r="H82" s="105"/>
      <c r="I82" s="105"/>
      <c r="J82" s="105"/>
      <c r="K82" s="105"/>
      <c r="L82" s="105"/>
      <c r="M82" s="105"/>
      <c r="N82" s="106"/>
    </row>
    <row r="83" spans="4:14" x14ac:dyDescent="0.25">
      <c r="D83" s="104"/>
      <c r="E83" s="105"/>
      <c r="F83" s="105"/>
      <c r="G83" s="105"/>
      <c r="H83" s="105"/>
      <c r="I83" s="105"/>
      <c r="J83" s="105"/>
      <c r="K83" s="105"/>
      <c r="L83" s="105"/>
      <c r="M83" s="105"/>
      <c r="N83" s="106"/>
    </row>
    <row r="84" spans="4:14" x14ac:dyDescent="0.25">
      <c r="D84" s="104"/>
      <c r="E84" s="105"/>
      <c r="F84" s="105"/>
      <c r="G84" s="105"/>
      <c r="H84" s="105"/>
      <c r="I84" s="105"/>
      <c r="J84" s="105"/>
      <c r="K84" s="105"/>
      <c r="L84" s="105"/>
      <c r="M84" s="105"/>
      <c r="N84" s="106"/>
    </row>
    <row r="85" spans="4:14" x14ac:dyDescent="0.25">
      <c r="D85" s="104"/>
      <c r="E85" s="105"/>
      <c r="F85" s="105"/>
      <c r="G85" s="105"/>
      <c r="H85" s="105"/>
      <c r="I85" s="105"/>
      <c r="J85" s="105"/>
      <c r="K85" s="105"/>
      <c r="L85" s="105"/>
      <c r="M85" s="105"/>
      <c r="N85" s="106"/>
    </row>
    <row r="86" spans="4:14" x14ac:dyDescent="0.25">
      <c r="D86" s="107"/>
      <c r="E86" s="108"/>
      <c r="F86" s="108"/>
      <c r="G86" s="108"/>
      <c r="H86" s="108"/>
      <c r="I86" s="108"/>
      <c r="J86" s="108"/>
      <c r="K86" s="108"/>
      <c r="L86" s="108"/>
      <c r="M86" s="108"/>
      <c r="N86" s="109"/>
    </row>
  </sheetData>
  <mergeCells count="7">
    <mergeCell ref="D78:N86"/>
    <mergeCell ref="O1:P1"/>
    <mergeCell ref="D8:N8"/>
    <mergeCell ref="D10:N24"/>
    <mergeCell ref="D59:N76"/>
    <mergeCell ref="D26:N57"/>
    <mergeCell ref="P10:P2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2050" r:id="rId4" name="Btn_RefreshData">
          <controlPr defaultSize="0" autoLine="0" r:id="rId5">
            <anchor moveWithCells="1">
              <from>
                <xdr:col>3</xdr:col>
                <xdr:colOff>9525</xdr:colOff>
                <xdr:row>3</xdr:row>
                <xdr:rowOff>152400</xdr:rowOff>
              </from>
              <to>
                <xdr:col>8</xdr:col>
                <xdr:colOff>266700</xdr:colOff>
                <xdr:row>5</xdr:row>
                <xdr:rowOff>104775</xdr:rowOff>
              </to>
            </anchor>
          </controlPr>
        </control>
      </mc:Choice>
      <mc:Fallback>
        <control shapeId="2050" r:id="rId4" name="Btn_RefreshData"/>
      </mc:Fallback>
    </mc:AlternateContent>
    <mc:AlternateContent xmlns:mc="http://schemas.openxmlformats.org/markup-compatibility/2006">
      <mc:Choice Requires="x14">
        <control shapeId="2049" r:id="rId6" name="Btn_GenerateFile">
          <controlPr defaultSize="0" autoLine="0" r:id="rId7">
            <anchor moveWithCells="1">
              <from>
                <xdr:col>8</xdr:col>
                <xdr:colOff>304800</xdr:colOff>
                <xdr:row>3</xdr:row>
                <xdr:rowOff>152400</xdr:rowOff>
              </from>
              <to>
                <xdr:col>13</xdr:col>
                <xdr:colOff>561975</xdr:colOff>
                <xdr:row>5</xdr:row>
                <xdr:rowOff>104775</xdr:rowOff>
              </to>
            </anchor>
          </controlPr>
        </control>
      </mc:Choice>
      <mc:Fallback>
        <control shapeId="2049" r:id="rId6" name="Btn_GenerateFil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R81"/>
  <sheetViews>
    <sheetView workbookViewId="0">
      <pane xSplit="4" ySplit="1" topLeftCell="AF2" activePane="bottomRight" state="frozen"/>
      <selection pane="topRight" activeCell="C1" sqref="C1"/>
      <selection pane="bottomLeft" activeCell="A2" sqref="A2"/>
      <selection pane="bottomRight" activeCell="AQ35" sqref="AQ35"/>
    </sheetView>
  </sheetViews>
  <sheetFormatPr defaultColWidth="13.85546875" defaultRowHeight="15" x14ac:dyDescent="0.25"/>
  <cols>
    <col min="1" max="1" width="11" style="19" customWidth="1"/>
    <col min="2" max="2" width="9.7109375" style="25" customWidth="1"/>
    <col min="3" max="3" width="14" style="19" bestFit="1" customWidth="1"/>
    <col min="4" max="4" width="46.7109375" style="19" bestFit="1" customWidth="1"/>
    <col min="5" max="5" width="2.85546875" style="19" customWidth="1"/>
    <col min="6" max="6" width="10.85546875" style="86" bestFit="1" customWidth="1"/>
    <col min="7" max="7" width="2.85546875" style="19" customWidth="1"/>
    <col min="8" max="8" width="11.42578125" style="19" bestFit="1" customWidth="1"/>
    <col min="9" max="9" width="10.5703125" style="19" bestFit="1" customWidth="1"/>
    <col min="10" max="10" width="13.42578125" style="19" bestFit="1" customWidth="1"/>
    <col min="11" max="11" width="2.85546875" style="19" customWidth="1"/>
    <col min="12" max="12" width="14.42578125" style="48" bestFit="1" customWidth="1"/>
    <col min="13" max="13" width="14.28515625" style="19" bestFit="1" customWidth="1"/>
    <col min="14" max="14" width="24" style="19" bestFit="1" customWidth="1"/>
    <col min="15" max="15" width="2.85546875" style="19" customWidth="1"/>
    <col min="16" max="16" width="12.85546875" style="19" bestFit="1" customWidth="1"/>
    <col min="17" max="17" width="20.42578125" style="19" bestFit="1" customWidth="1"/>
    <col min="18" max="18" width="16.5703125" style="25" bestFit="1" customWidth="1"/>
    <col min="19" max="19" width="2.85546875" style="19" customWidth="1"/>
    <col min="20" max="20" width="30.28515625" style="19" bestFit="1" customWidth="1"/>
    <col min="21" max="21" width="74.7109375" style="19" customWidth="1"/>
    <col min="22" max="22" width="2.85546875" style="19" customWidth="1"/>
    <col min="23" max="23" width="42.85546875" style="25" bestFit="1" customWidth="1"/>
    <col min="24" max="24" width="34.28515625" style="25" bestFit="1" customWidth="1"/>
    <col min="25" max="25" width="37.28515625" style="25" customWidth="1"/>
    <col min="26" max="26" width="26.5703125" style="25" customWidth="1"/>
    <col min="27" max="27" width="33" style="25" customWidth="1"/>
    <col min="28" max="28" width="59.140625" style="25" customWidth="1"/>
    <col min="29" max="29" width="2.85546875" style="19" customWidth="1"/>
    <col min="30" max="30" width="24.5703125" style="19" bestFit="1" customWidth="1"/>
    <col min="31" max="31" width="27.5703125" style="19" bestFit="1" customWidth="1"/>
    <col min="32" max="32" width="2.85546875" style="19" customWidth="1"/>
    <col min="33" max="33" width="5.85546875" style="19" bestFit="1" customWidth="1"/>
    <col min="34" max="34" width="17.140625" style="19" bestFit="1" customWidth="1"/>
    <col min="35" max="35" width="17.140625" style="19" customWidth="1"/>
    <col min="36" max="36" width="2.85546875" style="19" customWidth="1"/>
    <col min="37" max="37" width="24.140625" style="19" bestFit="1" customWidth="1"/>
    <col min="38" max="38" width="25.7109375" style="19" bestFit="1" customWidth="1"/>
    <col min="39" max="39" width="2.85546875" style="19" customWidth="1"/>
    <col min="40" max="40" width="11.5703125" style="19" bestFit="1" customWidth="1"/>
    <col min="41" max="41" width="2.85546875" style="19" customWidth="1"/>
    <col min="42" max="43" width="19" style="91" customWidth="1"/>
    <col min="44" max="16384" width="13.85546875" style="19"/>
  </cols>
  <sheetData>
    <row r="1" spans="1:44" s="21" customFormat="1" x14ac:dyDescent="0.25">
      <c r="A1" s="22" t="s">
        <v>466</v>
      </c>
      <c r="B1" s="22" t="s">
        <v>467</v>
      </c>
      <c r="C1" s="21" t="s">
        <v>214</v>
      </c>
      <c r="D1" s="21" t="s">
        <v>27</v>
      </c>
      <c r="E1" s="35"/>
      <c r="F1" s="85" t="s">
        <v>1183</v>
      </c>
      <c r="G1" s="35"/>
      <c r="H1" s="23" t="s">
        <v>204</v>
      </c>
      <c r="I1" s="23" t="s">
        <v>202</v>
      </c>
      <c r="J1" s="23" t="s">
        <v>203</v>
      </c>
      <c r="K1" s="35"/>
      <c r="L1" s="49" t="s">
        <v>72</v>
      </c>
      <c r="M1" s="34" t="s">
        <v>73</v>
      </c>
      <c r="N1" s="34" t="s">
        <v>74</v>
      </c>
      <c r="O1" s="35"/>
      <c r="P1" s="34" t="s">
        <v>468</v>
      </c>
      <c r="Q1" s="34" t="s">
        <v>469</v>
      </c>
      <c r="R1" s="34" t="s">
        <v>470</v>
      </c>
      <c r="S1" s="35"/>
      <c r="T1" s="37" t="s">
        <v>1103</v>
      </c>
      <c r="U1" s="37" t="s">
        <v>1102</v>
      </c>
      <c r="V1" s="35"/>
      <c r="W1" s="34" t="s">
        <v>28</v>
      </c>
      <c r="X1" s="37" t="s">
        <v>1104</v>
      </c>
      <c r="Y1" s="38" t="s">
        <v>108</v>
      </c>
      <c r="Z1" s="39" t="s">
        <v>76</v>
      </c>
      <c r="AA1" s="39" t="s">
        <v>1106</v>
      </c>
      <c r="AB1" s="50" t="s">
        <v>1121</v>
      </c>
      <c r="AC1" s="35"/>
      <c r="AD1" s="34" t="s">
        <v>1107</v>
      </c>
      <c r="AE1" s="36" t="s">
        <v>1112</v>
      </c>
      <c r="AF1" s="35"/>
      <c r="AG1" s="54" t="s">
        <v>1125</v>
      </c>
      <c r="AH1" s="54" t="s">
        <v>1126</v>
      </c>
      <c r="AI1" s="54" t="s">
        <v>1133</v>
      </c>
      <c r="AJ1" s="35"/>
      <c r="AK1" s="36" t="s">
        <v>1110</v>
      </c>
      <c r="AL1" s="36" t="s">
        <v>1111</v>
      </c>
      <c r="AM1" s="35"/>
      <c r="AN1" s="23" t="s">
        <v>1122</v>
      </c>
      <c r="AO1" s="35"/>
      <c r="AP1" s="90" t="s">
        <v>872</v>
      </c>
      <c r="AQ1" s="90" t="s">
        <v>3573</v>
      </c>
      <c r="AR1" s="21" t="s">
        <v>3572</v>
      </c>
    </row>
    <row r="2" spans="1:44" s="74" customFormat="1" x14ac:dyDescent="0.25">
      <c r="A2" s="74" t="s">
        <v>485</v>
      </c>
      <c r="B2" s="82" t="s">
        <v>291</v>
      </c>
      <c r="C2" s="74" t="s">
        <v>29</v>
      </c>
      <c r="D2" s="74" t="s">
        <v>26</v>
      </c>
      <c r="F2" s="87"/>
      <c r="H2" s="74" t="str">
        <f>IF(AND("" &lt;&gt; TRIM(AE2), IsBold(AE2)), AE2, SUBSTITUTE(IF("" &lt;&gt; AD2, AD2, AE2), ")", ""))</f>
        <v>E8 4EZ</v>
      </c>
      <c r="I2" s="74">
        <f t="shared" ref="I2:I33" si="0">IF(0 = AK2, "", AK2)</f>
        <v>51.5390852435048</v>
      </c>
      <c r="J2" s="74">
        <f t="shared" ref="J2:J33" si="1">IF(0 = AL2, "", AL2)</f>
        <v>-7.3378533124923706E-2</v>
      </c>
      <c r="L2" s="74">
        <v>230</v>
      </c>
      <c r="T2" s="74" t="s">
        <v>77</v>
      </c>
      <c r="U2" s="19" t="s">
        <v>4</v>
      </c>
      <c r="X2" s="74" t="s">
        <v>77</v>
      </c>
      <c r="Y2" s="26" t="s">
        <v>111</v>
      </c>
      <c r="Z2" s="84" t="s">
        <v>77</v>
      </c>
      <c r="AA2" s="26" t="s">
        <v>149</v>
      </c>
      <c r="AB2" s="82" t="str">
        <f t="shared" ref="AB2:AB32" si="2">IF("" = I2, "", SUBSTITUTE(SUBSTITUTE(GoogleStreetViewLinkFormat, "$lat$", I2), "$long$", J2))</f>
        <v>https://www.google.co.uk/maps/search/?api=1&amp;query=51.5390852435048,-0.0733785331249237</v>
      </c>
      <c r="AD2" s="74" t="s">
        <v>272</v>
      </c>
      <c r="AE2" s="100" t="s">
        <v>77</v>
      </c>
      <c r="AG2" s="74">
        <v>0</v>
      </c>
      <c r="AH2" s="74" t="s">
        <v>1132</v>
      </c>
      <c r="AK2" s="74">
        <v>51.5390852435048</v>
      </c>
      <c r="AL2" s="74">
        <v>-7.3378533124923706E-2</v>
      </c>
      <c r="AN2" s="74">
        <f>ROW() - 2</f>
        <v>0</v>
      </c>
      <c r="AP2" s="92" t="s">
        <v>874</v>
      </c>
      <c r="AQ2" s="92"/>
      <c r="AR2" s="74" t="s">
        <v>1191</v>
      </c>
    </row>
    <row r="3" spans="1:44" x14ac:dyDescent="0.25">
      <c r="A3" s="19" t="s">
        <v>491</v>
      </c>
      <c r="B3" s="26" t="s">
        <v>295</v>
      </c>
      <c r="C3" s="19" t="s">
        <v>29</v>
      </c>
      <c r="D3" s="19" t="s">
        <v>490</v>
      </c>
      <c r="H3" s="74" t="str">
        <f>IF(AND("" &lt;&gt; TRIM(AE3), IsBold(AE3)), AE3, SUBSTITUTE(IF("" &lt;&gt; AD3, AD3, AE3), ")", ""))</f>
        <v>E5 0AJ</v>
      </c>
      <c r="I3" s="19">
        <f t="shared" si="0"/>
        <v>51.555745230306499</v>
      </c>
      <c r="J3" s="19">
        <f t="shared" si="1"/>
        <v>-4.1488478709130701E-2</v>
      </c>
      <c r="L3" s="19">
        <v>33</v>
      </c>
      <c r="R3" s="19"/>
      <c r="T3" s="19" t="s">
        <v>77</v>
      </c>
      <c r="U3" s="19" t="s">
        <v>77</v>
      </c>
      <c r="W3" s="20" t="s">
        <v>876</v>
      </c>
      <c r="X3" s="19" t="s">
        <v>77</v>
      </c>
      <c r="Y3" s="19" t="s">
        <v>77</v>
      </c>
      <c r="Z3" s="25" t="s">
        <v>77</v>
      </c>
      <c r="AA3" s="25" t="s">
        <v>77</v>
      </c>
      <c r="AB3" s="82" t="str">
        <f t="shared" si="2"/>
        <v>https://www.google.co.uk/maps/search/?api=1&amp;query=51.5557452303065,-0.0414884787091307</v>
      </c>
      <c r="AD3" s="19" t="s">
        <v>221</v>
      </c>
      <c r="AE3" s="19" t="s">
        <v>77</v>
      </c>
      <c r="AG3" s="19">
        <v>0</v>
      </c>
      <c r="AH3" s="19" t="s">
        <v>1132</v>
      </c>
      <c r="AK3" s="19">
        <v>51.555745230306499</v>
      </c>
      <c r="AL3" s="19">
        <v>-4.1488478709130701E-2</v>
      </c>
      <c r="AN3" s="19">
        <f t="shared" ref="AN3:AN59" si="3">ROW() - 2</f>
        <v>1</v>
      </c>
      <c r="AP3" s="91" t="s">
        <v>877</v>
      </c>
    </row>
    <row r="4" spans="1:44" x14ac:dyDescent="0.25">
      <c r="A4" s="19" t="s">
        <v>491</v>
      </c>
      <c r="B4" s="26" t="s">
        <v>296</v>
      </c>
      <c r="C4" s="19" t="s">
        <v>29</v>
      </c>
      <c r="D4" s="19" t="s">
        <v>495</v>
      </c>
      <c r="H4" s="74" t="str">
        <f>IF(AND("" &lt;&gt; TRIM(AE4), IsBold(AE4)), AE4, SUBSTITUTE(IF("" &lt;&gt; AD4, AD4, AE4), ")", ""))</f>
        <v>E9 5QB</v>
      </c>
      <c r="I4" s="19">
        <f t="shared" si="0"/>
        <v>51.550402523279097</v>
      </c>
      <c r="J4" s="19">
        <f t="shared" si="1"/>
        <v>-3.4594070957249999E-2</v>
      </c>
      <c r="L4" s="19">
        <v>26</v>
      </c>
      <c r="R4" s="19"/>
      <c r="T4" s="19" t="s">
        <v>77</v>
      </c>
      <c r="U4" s="19" t="s">
        <v>77</v>
      </c>
      <c r="W4" s="20" t="s">
        <v>880</v>
      </c>
      <c r="X4" s="19" t="s">
        <v>77</v>
      </c>
      <c r="Y4" s="19" t="s">
        <v>77</v>
      </c>
      <c r="Z4" s="25" t="s">
        <v>77</v>
      </c>
      <c r="AA4" s="25" t="s">
        <v>77</v>
      </c>
      <c r="AB4" s="82" t="str">
        <f t="shared" si="2"/>
        <v>https://www.google.co.uk/maps/search/?api=1&amp;query=51.5504025232791,-0.03459407095725</v>
      </c>
      <c r="AD4" s="19" t="s">
        <v>879</v>
      </c>
      <c r="AE4" s="19" t="s">
        <v>77</v>
      </c>
      <c r="AG4" s="19">
        <v>0</v>
      </c>
      <c r="AH4" s="19" t="s">
        <v>1132</v>
      </c>
      <c r="AK4" s="19">
        <v>51.550402523279097</v>
      </c>
      <c r="AL4" s="19">
        <v>-3.4594070957249999E-2</v>
      </c>
      <c r="AN4" s="19">
        <f t="shared" si="3"/>
        <v>2</v>
      </c>
      <c r="AP4" s="91" t="s">
        <v>881</v>
      </c>
    </row>
    <row r="5" spans="1:44" x14ac:dyDescent="0.25">
      <c r="A5" s="19" t="s">
        <v>555</v>
      </c>
      <c r="B5" s="26" t="s">
        <v>332</v>
      </c>
      <c r="C5" s="19" t="s">
        <v>29</v>
      </c>
      <c r="D5" s="19" t="s">
        <v>17</v>
      </c>
      <c r="H5" s="74" t="str">
        <f>IF(AND("" &lt;&gt; TRIM(AE5), IsBold(AE5)), AE5, SUBSTITUTE(IF("" &lt;&gt; AD5, AD5, AE5), ")", ""))</f>
        <v>N1 5LF</v>
      </c>
      <c r="I5" s="19">
        <f t="shared" si="0"/>
        <v>51.534468392717301</v>
      </c>
      <c r="J5" s="19">
        <f t="shared" si="1"/>
        <v>-8.1064330354874106E-2</v>
      </c>
      <c r="L5" s="19"/>
      <c r="R5" s="19"/>
      <c r="T5" s="19">
        <v>5588</v>
      </c>
      <c r="U5" s="19" t="s">
        <v>16</v>
      </c>
      <c r="W5" s="20" t="s">
        <v>883</v>
      </c>
      <c r="X5" s="19" t="s">
        <v>77</v>
      </c>
      <c r="Y5" s="26" t="s">
        <v>117</v>
      </c>
      <c r="Z5" s="25">
        <v>0</v>
      </c>
      <c r="AA5" s="26" t="s">
        <v>159</v>
      </c>
      <c r="AB5" s="82" t="str">
        <f t="shared" si="2"/>
        <v>https://www.google.co.uk/maps/search/?api=1&amp;query=51.5344683927173,-0.0810643303548741</v>
      </c>
      <c r="AE5" s="19" t="s">
        <v>226</v>
      </c>
      <c r="AG5" s="19">
        <v>2</v>
      </c>
      <c r="AH5" s="19" t="s">
        <v>1129</v>
      </c>
      <c r="AK5" s="19">
        <v>51.534468392717301</v>
      </c>
      <c r="AL5" s="19">
        <v>-8.1064330354874106E-2</v>
      </c>
      <c r="AN5" s="19">
        <f t="shared" si="3"/>
        <v>3</v>
      </c>
    </row>
    <row r="6" spans="1:44" s="74" customFormat="1" ht="19.5" x14ac:dyDescent="0.3">
      <c r="A6" s="74" t="s">
        <v>482</v>
      </c>
      <c r="B6" s="82" t="s">
        <v>289</v>
      </c>
      <c r="C6" s="74" t="s">
        <v>29</v>
      </c>
      <c r="D6" s="74" t="s">
        <v>290</v>
      </c>
      <c r="F6" s="87"/>
      <c r="H6" s="74" t="str">
        <f>IF(AND("" &lt;&gt; TRIM(AE6), IsBold(AE6)), AE6, SUBSTITUTE(IF("" &lt;&gt; AD6, AD6, AE6), ")", ""))</f>
        <v>E8 3TF</v>
      </c>
      <c r="I6" s="74">
        <f t="shared" si="0"/>
        <v>51.544359</v>
      </c>
      <c r="J6" s="74">
        <f t="shared" si="1"/>
        <v>-7.2875257999999998E-2</v>
      </c>
      <c r="L6" s="74">
        <v>230</v>
      </c>
      <c r="T6" s="74">
        <v>8749</v>
      </c>
      <c r="U6" s="74" t="s">
        <v>4</v>
      </c>
      <c r="X6" s="74" t="s">
        <v>77</v>
      </c>
      <c r="Y6" s="82" t="s">
        <v>111</v>
      </c>
      <c r="Z6" s="84">
        <v>0</v>
      </c>
      <c r="AA6" s="82" t="s">
        <v>149</v>
      </c>
      <c r="AB6" s="82" t="str">
        <f t="shared" si="2"/>
        <v>https://www.google.co.uk/maps/search/?api=1&amp;query=51.544359,-0.072875258</v>
      </c>
      <c r="AD6" s="74" t="s">
        <v>885</v>
      </c>
      <c r="AE6" s="89" t="s">
        <v>1187</v>
      </c>
      <c r="AG6" s="74">
        <v>0</v>
      </c>
      <c r="AH6" s="74" t="s">
        <v>1132</v>
      </c>
      <c r="AK6" s="74">
        <v>51.544359</v>
      </c>
      <c r="AL6" s="74">
        <v>-7.2875257999999998E-2</v>
      </c>
      <c r="AN6" s="74">
        <f t="shared" si="3"/>
        <v>4</v>
      </c>
      <c r="AP6" s="92" t="s">
        <v>874</v>
      </c>
      <c r="AQ6" s="92"/>
      <c r="AR6" s="74" t="s">
        <v>1188</v>
      </c>
    </row>
    <row r="7" spans="1:44" x14ac:dyDescent="0.25">
      <c r="A7" s="19" t="s">
        <v>536</v>
      </c>
      <c r="B7" s="26" t="s">
        <v>320</v>
      </c>
      <c r="C7" s="19" t="s">
        <v>29</v>
      </c>
      <c r="D7" s="19" t="s">
        <v>321</v>
      </c>
      <c r="H7" s="74" t="str">
        <f>IF(AND("" &lt;&gt; TRIM(AE7), IsBold(AE7)), AE7, SUBSTITUTE(IF("" &lt;&gt; AD7, AD7, AE7), ")", ""))</f>
        <v>N1 7QG</v>
      </c>
      <c r="I7" s="19">
        <f t="shared" si="0"/>
        <v>51.531064826425002</v>
      </c>
      <c r="J7" s="19">
        <f t="shared" si="1"/>
        <v>-9.1753005981445299E-2</v>
      </c>
      <c r="L7" s="19">
        <v>53</v>
      </c>
      <c r="R7" s="19"/>
      <c r="T7" s="19">
        <v>7400</v>
      </c>
      <c r="U7" s="19" t="s">
        <v>15</v>
      </c>
      <c r="W7" s="19"/>
      <c r="X7" s="19" t="s">
        <v>77</v>
      </c>
      <c r="Y7" s="26" t="s">
        <v>117</v>
      </c>
      <c r="Z7" s="25">
        <v>0</v>
      </c>
      <c r="AA7" s="26" t="s">
        <v>158</v>
      </c>
      <c r="AB7" s="82" t="str">
        <f t="shared" si="2"/>
        <v>https://www.google.co.uk/maps/search/?api=1&amp;query=51.531064826425,-0.0917530059814453</v>
      </c>
      <c r="AD7" s="19" t="s">
        <v>274</v>
      </c>
      <c r="AE7" s="19" t="s">
        <v>274</v>
      </c>
      <c r="AG7" s="19">
        <v>4</v>
      </c>
      <c r="AH7" s="19" t="s">
        <v>1130</v>
      </c>
      <c r="AK7" s="19">
        <v>51.531064826425002</v>
      </c>
      <c r="AL7" s="19">
        <v>-9.1753005981445299E-2</v>
      </c>
      <c r="AN7" s="19">
        <f t="shared" si="3"/>
        <v>5</v>
      </c>
      <c r="AP7" s="91" t="s">
        <v>886</v>
      </c>
    </row>
    <row r="8" spans="1:44" x14ac:dyDescent="0.25">
      <c r="A8" s="19" t="s">
        <v>471</v>
      </c>
      <c r="B8" s="26" t="s">
        <v>281</v>
      </c>
      <c r="C8" s="19" t="s">
        <v>29</v>
      </c>
      <c r="D8" s="19" t="s">
        <v>282</v>
      </c>
      <c r="H8" s="74" t="str">
        <f>IF(AND("" &lt;&gt; TRIM(AE8), IsBold(AE8)), AE8, SUBSTITUTE(IF("" &lt;&gt; AD8, AD8, AE8), ")", ""))</f>
        <v>E5 0PD</v>
      </c>
      <c r="I8" s="19">
        <f t="shared" si="0"/>
        <v>51.550592000000002</v>
      </c>
      <c r="J8" s="19">
        <f t="shared" si="1"/>
        <v>-5.2230775E-2</v>
      </c>
      <c r="L8" s="19">
        <v>251</v>
      </c>
      <c r="R8" s="19"/>
      <c r="T8" s="19" t="s">
        <v>77</v>
      </c>
      <c r="U8" s="19" t="s">
        <v>77</v>
      </c>
      <c r="W8" s="20" t="s">
        <v>889</v>
      </c>
      <c r="X8" s="19" t="s">
        <v>77</v>
      </c>
      <c r="Y8" s="19" t="s">
        <v>77</v>
      </c>
      <c r="Z8" s="25" t="s">
        <v>77</v>
      </c>
      <c r="AA8" s="25" t="s">
        <v>77</v>
      </c>
      <c r="AB8" s="82" t="str">
        <f t="shared" si="2"/>
        <v>https://www.google.co.uk/maps/search/?api=1&amp;query=51.550592,-0.052230775</v>
      </c>
      <c r="AD8" s="19" t="s">
        <v>888</v>
      </c>
      <c r="AE8" s="19" t="s">
        <v>77</v>
      </c>
      <c r="AG8" s="19">
        <v>1</v>
      </c>
      <c r="AH8" s="19" t="s">
        <v>1129</v>
      </c>
      <c r="AK8" s="19">
        <v>51.550592000000002</v>
      </c>
      <c r="AL8" s="19">
        <v>-5.2230775E-2</v>
      </c>
      <c r="AN8" s="19">
        <f t="shared" si="3"/>
        <v>6</v>
      </c>
      <c r="AP8" s="91" t="s">
        <v>890</v>
      </c>
    </row>
    <row r="9" spans="1:44" x14ac:dyDescent="0.25">
      <c r="A9" s="19" t="s">
        <v>515</v>
      </c>
      <c r="B9" s="26" t="s">
        <v>307</v>
      </c>
      <c r="C9" s="19" t="s">
        <v>29</v>
      </c>
      <c r="D9" s="19" t="s">
        <v>308</v>
      </c>
      <c r="H9" s="74" t="str">
        <f>IF(AND("" &lt;&gt; TRIM(AE9), IsBold(AE9)), AE9, SUBSTITUTE(IF("" &lt;&gt; AD9, AD9, AE9), ")", ""))</f>
        <v>N16 5DU</v>
      </c>
      <c r="I9" s="19">
        <f t="shared" si="0"/>
        <v>51.570622006646602</v>
      </c>
      <c r="J9" s="19">
        <f t="shared" si="1"/>
        <v>-8.0251944675386794E-2</v>
      </c>
      <c r="L9" s="19">
        <v>47</v>
      </c>
      <c r="R9" s="19"/>
      <c r="T9" s="19">
        <v>13073</v>
      </c>
      <c r="U9" s="19" t="s">
        <v>21</v>
      </c>
      <c r="W9" s="20" t="s">
        <v>893</v>
      </c>
      <c r="X9" s="19" t="s">
        <v>77</v>
      </c>
      <c r="Y9" s="26" t="s">
        <v>119</v>
      </c>
      <c r="Z9" s="26" t="s">
        <v>86</v>
      </c>
      <c r="AA9" s="26" t="s">
        <v>163</v>
      </c>
      <c r="AB9" s="82" t="str">
        <f t="shared" si="2"/>
        <v>https://www.google.co.uk/maps/search/?api=1&amp;query=51.5706220066466,-0.0802519446753868</v>
      </c>
      <c r="AD9" s="19" t="s">
        <v>275</v>
      </c>
      <c r="AE9" s="19" t="s">
        <v>275</v>
      </c>
      <c r="AG9" s="19">
        <v>4</v>
      </c>
      <c r="AH9" s="19" t="s">
        <v>1132</v>
      </c>
      <c r="AK9" s="19">
        <v>51.570622006646602</v>
      </c>
      <c r="AL9" s="19">
        <v>-8.0251944675386794E-2</v>
      </c>
      <c r="AN9" s="19">
        <f t="shared" si="3"/>
        <v>7</v>
      </c>
      <c r="AP9" s="91" t="s">
        <v>894</v>
      </c>
    </row>
    <row r="10" spans="1:44" x14ac:dyDescent="0.25">
      <c r="A10" s="19" t="s">
        <v>533</v>
      </c>
      <c r="B10" s="26" t="s">
        <v>318</v>
      </c>
      <c r="C10" s="19" t="s">
        <v>29</v>
      </c>
      <c r="D10" s="19" t="s">
        <v>319</v>
      </c>
      <c r="H10" s="74" t="str">
        <f>IF(AND("" &lt;&gt; TRIM(AE10), IsBold(AE10)), AE10, SUBSTITUTE(IF("" &lt;&gt; AD10, AD10, AE10), ")", ""))</f>
        <v>N1 5LF</v>
      </c>
      <c r="I10" s="19">
        <f t="shared" si="0"/>
        <v>51.5344451892447</v>
      </c>
      <c r="J10" s="19">
        <f t="shared" si="1"/>
        <v>-8.1066230198176797E-2</v>
      </c>
      <c r="L10" s="19">
        <v>95</v>
      </c>
      <c r="R10" s="19"/>
      <c r="T10" s="19">
        <v>5588</v>
      </c>
      <c r="U10" s="19" t="s">
        <v>16</v>
      </c>
      <c r="W10" s="20" t="s">
        <v>896</v>
      </c>
      <c r="X10" s="19" t="s">
        <v>77</v>
      </c>
      <c r="Y10" s="26" t="s">
        <v>117</v>
      </c>
      <c r="Z10" s="25">
        <v>0</v>
      </c>
      <c r="AA10" s="26" t="s">
        <v>159</v>
      </c>
      <c r="AB10" s="82" t="str">
        <f t="shared" si="2"/>
        <v>https://www.google.co.uk/maps/search/?api=1&amp;query=51.5344451892447,-0.0810662301981768</v>
      </c>
      <c r="AD10" s="19" t="s">
        <v>226</v>
      </c>
      <c r="AE10" s="19" t="s">
        <v>226</v>
      </c>
      <c r="AG10" s="19">
        <v>3</v>
      </c>
      <c r="AH10" s="19" t="s">
        <v>1130</v>
      </c>
      <c r="AK10" s="19">
        <v>51.5344451892447</v>
      </c>
      <c r="AL10" s="19">
        <v>-8.1066230198176797E-2</v>
      </c>
      <c r="AN10" s="19">
        <f t="shared" si="3"/>
        <v>8</v>
      </c>
      <c r="AP10" s="91" t="s">
        <v>897</v>
      </c>
    </row>
    <row r="11" spans="1:44" x14ac:dyDescent="0.25">
      <c r="A11" s="19" t="s">
        <v>552</v>
      </c>
      <c r="B11" s="26" t="s">
        <v>330</v>
      </c>
      <c r="C11" s="19" t="s">
        <v>29</v>
      </c>
      <c r="D11" s="19" t="s">
        <v>331</v>
      </c>
      <c r="H11" s="74" t="str">
        <f>IF(AND("" &lt;&gt; TRIM(AE11), IsBold(AE11)), AE11, SUBSTITUTE(IF("" &lt;&gt; AD11, AD11, AE11), ")", ""))</f>
        <v>E8 2EA</v>
      </c>
      <c r="I11" s="19">
        <f t="shared" si="0"/>
        <v>51.5488792489475</v>
      </c>
      <c r="J11" s="19">
        <f t="shared" si="1"/>
        <v>-4.2668581008911098E-2</v>
      </c>
      <c r="L11" s="19"/>
      <c r="R11" s="19"/>
      <c r="T11" s="19">
        <v>16959</v>
      </c>
      <c r="U11" s="19" t="s">
        <v>7</v>
      </c>
      <c r="W11" s="20" t="s">
        <v>899</v>
      </c>
      <c r="X11" s="19" t="s">
        <v>77</v>
      </c>
      <c r="Y11" s="19"/>
      <c r="Z11" s="25">
        <v>0</v>
      </c>
      <c r="AA11" s="26" t="s">
        <v>152</v>
      </c>
      <c r="AB11" s="82" t="str">
        <f t="shared" si="2"/>
        <v>https://www.google.co.uk/maps/search/?api=1&amp;query=51.5488792489475,-0.0426685810089111</v>
      </c>
      <c r="AE11" s="19" t="s">
        <v>3562</v>
      </c>
      <c r="AG11" s="19">
        <v>0</v>
      </c>
      <c r="AH11" s="19" t="s">
        <v>1132</v>
      </c>
      <c r="AK11" s="19">
        <v>51.5488792489475</v>
      </c>
      <c r="AL11" s="19">
        <v>-4.2668581008911098E-2</v>
      </c>
      <c r="AN11" s="19">
        <f t="shared" si="3"/>
        <v>9</v>
      </c>
    </row>
    <row r="12" spans="1:44" x14ac:dyDescent="0.25">
      <c r="A12" s="19" t="s">
        <v>487</v>
      </c>
      <c r="B12" s="26" t="s">
        <v>294</v>
      </c>
      <c r="C12" s="19" t="s">
        <v>29</v>
      </c>
      <c r="D12" s="19" t="s">
        <v>1144</v>
      </c>
      <c r="H12" s="74" t="str">
        <f>IF(AND("" &lt;&gt; TRIM(AE12), IsBold(AE12)), AE12, SUBSTITUTE(IF("" &lt;&gt; AD12, AD12, AE12), ")", ""))</f>
        <v>E9 6DL</v>
      </c>
      <c r="I12" s="19">
        <f t="shared" si="0"/>
        <v>51.548879272441603</v>
      </c>
      <c r="J12" s="19">
        <f t="shared" si="1"/>
        <v>-4.2664557695388801E-2</v>
      </c>
      <c r="L12" s="19">
        <v>115</v>
      </c>
      <c r="R12" s="19"/>
      <c r="T12" s="19" t="s">
        <v>77</v>
      </c>
      <c r="U12" s="19" t="s">
        <v>77</v>
      </c>
      <c r="W12" s="19"/>
      <c r="X12" s="19" t="s">
        <v>77</v>
      </c>
      <c r="Y12" s="19" t="s">
        <v>77</v>
      </c>
      <c r="Z12" s="25" t="s">
        <v>77</v>
      </c>
      <c r="AA12" s="25" t="s">
        <v>77</v>
      </c>
      <c r="AB12" s="82" t="str">
        <f t="shared" si="2"/>
        <v>https://www.google.co.uk/maps/search/?api=1&amp;query=51.5488792724416,-0.0426645576953888</v>
      </c>
      <c r="AD12" s="19" t="s">
        <v>220</v>
      </c>
      <c r="AE12" s="19" t="s">
        <v>77</v>
      </c>
      <c r="AG12" s="19">
        <v>3</v>
      </c>
      <c r="AH12" s="19" t="s">
        <v>1132</v>
      </c>
      <c r="AK12" s="19">
        <v>51.548879272441603</v>
      </c>
      <c r="AL12" s="19">
        <v>-4.2664557695388801E-2</v>
      </c>
      <c r="AN12" s="19">
        <f t="shared" si="3"/>
        <v>10</v>
      </c>
      <c r="AP12" s="91" t="s">
        <v>877</v>
      </c>
    </row>
    <row r="13" spans="1:44" x14ac:dyDescent="0.25">
      <c r="A13" s="19" t="s">
        <v>546</v>
      </c>
      <c r="B13" s="26" t="s">
        <v>326</v>
      </c>
      <c r="C13" s="19" t="s">
        <v>29</v>
      </c>
      <c r="D13" s="19" t="s">
        <v>327</v>
      </c>
      <c r="H13" s="74" t="str">
        <f>IF(AND("" &lt;&gt; TRIM(AE13), IsBold(AE13)), AE13, SUBSTITUTE(IF("" &lt;&gt; AD13, AD13, AE13), ")", ""))</f>
        <v>N15 6AA</v>
      </c>
      <c r="I13" s="19">
        <f t="shared" si="0"/>
        <v>51.576380189797902</v>
      </c>
      <c r="J13" s="19">
        <f t="shared" si="1"/>
        <v>-6.9595203316465903E-2</v>
      </c>
      <c r="L13" s="19">
        <v>95</v>
      </c>
      <c r="R13" s="19"/>
      <c r="T13" s="19">
        <v>9666</v>
      </c>
      <c r="U13" s="19" t="s">
        <v>20</v>
      </c>
      <c r="W13" s="20" t="s">
        <v>900</v>
      </c>
      <c r="X13" s="19" t="s">
        <v>77</v>
      </c>
      <c r="Y13" s="26" t="s">
        <v>110</v>
      </c>
      <c r="Z13" s="25">
        <v>0</v>
      </c>
      <c r="AA13" s="26" t="s">
        <v>162</v>
      </c>
      <c r="AB13" s="82" t="str">
        <f t="shared" si="2"/>
        <v>https://www.google.co.uk/maps/search/?api=1&amp;query=51.5763801897979,-0.0695952033164659</v>
      </c>
      <c r="AD13" s="19" t="s">
        <v>229</v>
      </c>
      <c r="AE13" s="19" t="s">
        <v>229</v>
      </c>
      <c r="AG13" s="19">
        <v>4</v>
      </c>
      <c r="AH13" s="19" t="s">
        <v>1130</v>
      </c>
      <c r="AK13" s="19">
        <v>51.576380189797902</v>
      </c>
      <c r="AL13" s="19">
        <v>-6.9595203316465903E-2</v>
      </c>
      <c r="AN13" s="19">
        <f t="shared" si="3"/>
        <v>11</v>
      </c>
      <c r="AP13" s="91" t="s">
        <v>901</v>
      </c>
    </row>
    <row r="14" spans="1:44" x14ac:dyDescent="0.25">
      <c r="A14" s="19" t="s">
        <v>542</v>
      </c>
      <c r="B14" s="26" t="s">
        <v>324</v>
      </c>
      <c r="C14" s="19" t="s">
        <v>29</v>
      </c>
      <c r="D14" s="19" t="s">
        <v>325</v>
      </c>
      <c r="H14" s="74" t="str">
        <f>IF(AND("" &lt;&gt; TRIM(AE14), IsBold(AE14)), AE14, SUBSTITUTE(IF("" &lt;&gt; AD14, AD14, AE14), ")", ""))</f>
        <v>E2 8JR</v>
      </c>
      <c r="I14" s="19">
        <f t="shared" si="0"/>
        <v>51.531650447105797</v>
      </c>
      <c r="J14" s="19">
        <f t="shared" si="1"/>
        <v>-7.3325101442545101E-2</v>
      </c>
      <c r="L14" s="19">
        <v>73</v>
      </c>
      <c r="R14" s="19"/>
      <c r="T14" s="19">
        <v>6262</v>
      </c>
      <c r="U14" s="19" t="s">
        <v>14</v>
      </c>
      <c r="W14" s="19"/>
      <c r="X14" s="19" t="s">
        <v>77</v>
      </c>
      <c r="Y14" s="26" t="s">
        <v>116</v>
      </c>
      <c r="Z14" s="25">
        <v>0</v>
      </c>
      <c r="AA14" s="26" t="s">
        <v>157</v>
      </c>
      <c r="AB14" s="82" t="str">
        <f t="shared" si="2"/>
        <v>https://www.google.co.uk/maps/search/?api=1&amp;query=51.5316504471058,-0.0733251014425451</v>
      </c>
      <c r="AD14" s="19" t="s">
        <v>273</v>
      </c>
      <c r="AE14" s="19" t="s">
        <v>273</v>
      </c>
      <c r="AG14" s="19">
        <v>4</v>
      </c>
      <c r="AH14" s="19" t="s">
        <v>1130</v>
      </c>
      <c r="AK14">
        <v>51.531650447105797</v>
      </c>
      <c r="AL14">
        <v>-7.3325101442545101E-2</v>
      </c>
      <c r="AN14" s="19">
        <f t="shared" si="3"/>
        <v>12</v>
      </c>
      <c r="AP14" s="91" t="s">
        <v>903</v>
      </c>
    </row>
    <row r="15" spans="1:44" x14ac:dyDescent="0.25">
      <c r="A15" s="19" t="s">
        <v>549</v>
      </c>
      <c r="B15" s="26" t="s">
        <v>328</v>
      </c>
      <c r="C15" s="19" t="s">
        <v>29</v>
      </c>
      <c r="D15" s="19" t="s">
        <v>329</v>
      </c>
      <c r="H15" s="74" t="str">
        <f>IF(AND("" &lt;&gt; TRIM(AE15), IsBold(AE15)), AE15, SUBSTITUTE(IF("" &lt;&gt; AD15, AD15, AE15), ")", ""))</f>
        <v>E5 8EG</v>
      </c>
      <c r="I15" s="19">
        <f t="shared" si="0"/>
        <v>51.5573988707743</v>
      </c>
      <c r="J15" s="19">
        <f t="shared" si="1"/>
        <v>-5.6414005273790403E-2</v>
      </c>
      <c r="L15" s="19">
        <v>107</v>
      </c>
      <c r="R15" s="19"/>
      <c r="T15" s="19">
        <v>12889</v>
      </c>
      <c r="U15" s="19" t="s">
        <v>1</v>
      </c>
      <c r="W15" s="20" t="s">
        <v>905</v>
      </c>
      <c r="X15" s="19" t="s">
        <v>77</v>
      </c>
      <c r="Y15" s="26" t="s">
        <v>109</v>
      </c>
      <c r="Z15" s="25">
        <v>0</v>
      </c>
      <c r="AA15" s="26" t="s">
        <v>146</v>
      </c>
      <c r="AB15" s="82" t="str">
        <f t="shared" si="2"/>
        <v>https://www.google.co.uk/maps/search/?api=1&amp;query=51.5573988707743,-0.0564140052737904</v>
      </c>
      <c r="AD15" s="19" t="s">
        <v>270</v>
      </c>
      <c r="AE15" s="19" t="s">
        <v>270</v>
      </c>
      <c r="AG15" s="19">
        <v>4</v>
      </c>
      <c r="AH15" s="19" t="s">
        <v>1130</v>
      </c>
      <c r="AK15" s="19">
        <v>51.5573988707743</v>
      </c>
      <c r="AL15" s="19">
        <v>-5.6414005273790403E-2</v>
      </c>
      <c r="AN15" s="19">
        <f t="shared" si="3"/>
        <v>13</v>
      </c>
      <c r="AP15" s="91" t="s">
        <v>890</v>
      </c>
    </row>
    <row r="16" spans="1:44" x14ac:dyDescent="0.25">
      <c r="A16" s="19" t="s">
        <v>496</v>
      </c>
      <c r="B16" s="26" t="s">
        <v>297</v>
      </c>
      <c r="C16" s="19" t="s">
        <v>29</v>
      </c>
      <c r="D16" s="19" t="s">
        <v>298</v>
      </c>
      <c r="H16" s="74" t="str">
        <f>IF(AND("" &lt;&gt; TRIM(AE16), IsBold(AE16)), AE16, SUBSTITUTE(IF("" &lt;&gt; AD16, AD16, AE16), ")", ""))</f>
        <v>E9 7DH</v>
      </c>
      <c r="I16" s="19">
        <f t="shared" si="0"/>
        <v>51.540439762070797</v>
      </c>
      <c r="J16" s="19">
        <f t="shared" si="1"/>
        <v>-4.60749864578247E-2</v>
      </c>
      <c r="L16" s="19">
        <v>166</v>
      </c>
      <c r="R16" s="19"/>
      <c r="T16" s="19">
        <v>14468</v>
      </c>
      <c r="U16" s="19" t="s">
        <v>10</v>
      </c>
      <c r="W16" s="20" t="s">
        <v>909</v>
      </c>
      <c r="X16" s="19" t="s">
        <v>77</v>
      </c>
      <c r="Y16" s="26" t="s">
        <v>114</v>
      </c>
      <c r="Z16" s="25">
        <v>0</v>
      </c>
      <c r="AA16" s="26" t="s">
        <v>154</v>
      </c>
      <c r="AB16" s="82" t="str">
        <f t="shared" si="2"/>
        <v>https://www.google.co.uk/maps/search/?api=1&amp;query=51.5404397620708,-0.0460749864578247</v>
      </c>
      <c r="AD16" s="19" t="s">
        <v>908</v>
      </c>
      <c r="AE16" s="19" t="s">
        <v>223</v>
      </c>
      <c r="AG16" s="19">
        <v>3</v>
      </c>
      <c r="AH16" s="19" t="s">
        <v>1128</v>
      </c>
      <c r="AK16" s="19">
        <v>51.540439762070797</v>
      </c>
      <c r="AL16" s="19">
        <v>-4.60749864578247E-2</v>
      </c>
      <c r="AN16" s="19">
        <f t="shared" si="3"/>
        <v>14</v>
      </c>
      <c r="AP16" s="91" t="s">
        <v>910</v>
      </c>
    </row>
    <row r="17" spans="1:44" x14ac:dyDescent="0.25">
      <c r="A17" s="19" t="s">
        <v>539</v>
      </c>
      <c r="B17" s="26" t="s">
        <v>322</v>
      </c>
      <c r="C17" s="19" t="s">
        <v>29</v>
      </c>
      <c r="D17" s="19" t="s">
        <v>323</v>
      </c>
      <c r="H17" s="74" t="str">
        <f>IF(AND("" &lt;&gt; TRIM(AE17), IsBold(AE17)), AE17, SUBSTITUTE(IF("" &lt;&gt; AD17, AD17, AE17), ")", ""))</f>
        <v>N1 6NP</v>
      </c>
      <c r="I17" s="19">
        <f t="shared" si="0"/>
        <v>51.530534000000003</v>
      </c>
      <c r="J17" s="19">
        <f t="shared" si="1"/>
        <v>-8.3623584000000001E-2</v>
      </c>
      <c r="L17" s="19">
        <v>117</v>
      </c>
      <c r="R17" s="19"/>
      <c r="T17" s="19">
        <v>7665</v>
      </c>
      <c r="U17" s="19" t="s">
        <v>18</v>
      </c>
      <c r="W17" s="20" t="s">
        <v>913</v>
      </c>
      <c r="X17" s="19" t="s">
        <v>77</v>
      </c>
      <c r="Y17" s="26" t="s">
        <v>117</v>
      </c>
      <c r="Z17" s="26" t="s">
        <v>84</v>
      </c>
      <c r="AA17" s="26" t="s">
        <v>160</v>
      </c>
      <c r="AB17" s="82" t="str">
        <f t="shared" si="2"/>
        <v>https://www.google.co.uk/maps/search/?api=1&amp;query=51.530534,-0.083623584</v>
      </c>
      <c r="AD17" s="19" t="s">
        <v>227</v>
      </c>
      <c r="AE17" s="19" t="s">
        <v>227</v>
      </c>
      <c r="AG17" s="19">
        <v>2</v>
      </c>
      <c r="AH17" s="19" t="s">
        <v>1129</v>
      </c>
      <c r="AK17" s="19">
        <v>51.530534000000003</v>
      </c>
      <c r="AL17" s="19">
        <v>-8.3623584000000001E-2</v>
      </c>
      <c r="AN17" s="19">
        <f t="shared" si="3"/>
        <v>15</v>
      </c>
      <c r="AP17" s="91" t="s">
        <v>914</v>
      </c>
    </row>
    <row r="18" spans="1:44" x14ac:dyDescent="0.25">
      <c r="A18" s="19" t="s">
        <v>527</v>
      </c>
      <c r="B18" s="26" t="s">
        <v>314</v>
      </c>
      <c r="C18" s="19" t="s">
        <v>29</v>
      </c>
      <c r="D18" s="19" t="s">
        <v>315</v>
      </c>
      <c r="H18" s="74" t="str">
        <f>IF(AND("" &lt;&gt; TRIM(AE18), IsBold(AE18)), AE18, SUBSTITUTE(IF("" &lt;&gt; AD18, AD18, AE18), ")", ""))</f>
        <v>N4 2LW</v>
      </c>
      <c r="I18" s="19">
        <f t="shared" si="0"/>
        <v>51.565557063236199</v>
      </c>
      <c r="J18" s="19">
        <f t="shared" si="1"/>
        <v>-0.100552489253722</v>
      </c>
      <c r="L18" s="19">
        <v>72</v>
      </c>
      <c r="R18" s="19"/>
      <c r="T18" s="19">
        <v>9407</v>
      </c>
      <c r="U18" s="19" t="s">
        <v>0</v>
      </c>
      <c r="W18" s="20" t="s">
        <v>916</v>
      </c>
      <c r="X18" s="19" t="s">
        <v>77</v>
      </c>
      <c r="Y18" s="19"/>
      <c r="Z18" s="25">
        <v>0</v>
      </c>
      <c r="AA18" s="26" t="s">
        <v>145</v>
      </c>
      <c r="AB18" s="82" t="str">
        <f t="shared" si="2"/>
        <v>https://www.google.co.uk/maps/search/?api=1&amp;query=51.5655570632362,-0.100552489253722</v>
      </c>
      <c r="AD18" s="19" t="s">
        <v>215</v>
      </c>
      <c r="AE18" s="19" t="s">
        <v>215</v>
      </c>
      <c r="AG18" s="19">
        <v>0</v>
      </c>
      <c r="AH18" s="19" t="s">
        <v>1130</v>
      </c>
      <c r="AK18" s="19">
        <v>51.565557063236199</v>
      </c>
      <c r="AL18" s="19">
        <v>-0.100552489253722</v>
      </c>
      <c r="AN18" s="19">
        <f t="shared" si="3"/>
        <v>16</v>
      </c>
      <c r="AP18" s="91" t="s">
        <v>917</v>
      </c>
    </row>
    <row r="19" spans="1:44" x14ac:dyDescent="0.25">
      <c r="A19" s="19" t="s">
        <v>530</v>
      </c>
      <c r="B19" s="26" t="s">
        <v>316</v>
      </c>
      <c r="C19" s="19" t="s">
        <v>29</v>
      </c>
      <c r="D19" s="19" t="s">
        <v>317</v>
      </c>
      <c r="H19" s="74" t="str">
        <f>IF(AND("" &lt;&gt; TRIM(AE19), IsBold(AE19)), AE19, SUBSTITUTE(IF("" &lt;&gt; AD19, AD19, AE19), ")", ""))</f>
        <v>E1 6JN</v>
      </c>
      <c r="I19" s="19">
        <f t="shared" si="0"/>
        <v>51.526835578514699</v>
      </c>
      <c r="J19" s="19">
        <f t="shared" si="1"/>
        <v>-7.7172517776489202E-2</v>
      </c>
      <c r="L19" s="19">
        <v>72</v>
      </c>
      <c r="R19" s="19"/>
      <c r="T19" s="19">
        <v>7484</v>
      </c>
      <c r="U19" s="19" t="s">
        <v>19</v>
      </c>
      <c r="W19" s="20" t="s">
        <v>79</v>
      </c>
      <c r="X19" s="19" t="s">
        <v>77</v>
      </c>
      <c r="Y19" s="26" t="s">
        <v>118</v>
      </c>
      <c r="Z19" s="26" t="s">
        <v>85</v>
      </c>
      <c r="AA19" s="26" t="s">
        <v>161</v>
      </c>
      <c r="AB19" s="82" t="str">
        <f t="shared" si="2"/>
        <v>https://www.google.co.uk/maps/search/?api=1&amp;query=51.5268355785147,-0.0771725177764892</v>
      </c>
      <c r="AD19" s="19" t="s">
        <v>228</v>
      </c>
      <c r="AE19" s="19" t="s">
        <v>228</v>
      </c>
      <c r="AG19" s="19">
        <v>0</v>
      </c>
      <c r="AH19" s="19" t="s">
        <v>1128</v>
      </c>
      <c r="AK19" s="19">
        <v>51.526835578514699</v>
      </c>
      <c r="AL19" s="19">
        <v>-7.7172517776489202E-2</v>
      </c>
      <c r="AN19" s="19">
        <f t="shared" si="3"/>
        <v>17</v>
      </c>
      <c r="AP19" s="91" t="s">
        <v>920</v>
      </c>
    </row>
    <row r="20" spans="1:44" x14ac:dyDescent="0.25">
      <c r="A20" s="19" t="s">
        <v>486</v>
      </c>
      <c r="B20" s="26" t="s">
        <v>292</v>
      </c>
      <c r="C20" s="19" t="s">
        <v>29</v>
      </c>
      <c r="D20" s="19" t="s">
        <v>293</v>
      </c>
      <c r="H20" s="74" t="str">
        <f>IF(AND("" &lt;&gt; TRIM(AE20), IsBold(AE20)), AE20, SUBSTITUTE(IF("" &lt;&gt; AD20, AD20, AE20), ")", ""))</f>
        <v>E8 2LJ</v>
      </c>
      <c r="I20" s="19">
        <f t="shared" si="0"/>
        <v>51.549381897708898</v>
      </c>
      <c r="J20" s="19">
        <f t="shared" si="1"/>
        <v>-7.0435003192865706E-2</v>
      </c>
      <c r="L20" s="19">
        <v>128</v>
      </c>
      <c r="R20" s="19"/>
      <c r="T20" s="19">
        <v>13822</v>
      </c>
      <c r="U20" s="19" t="s">
        <v>5</v>
      </c>
      <c r="W20" s="20" t="s">
        <v>78</v>
      </c>
      <c r="X20" s="19" t="s">
        <v>77</v>
      </c>
      <c r="Y20" s="26" t="s">
        <v>111</v>
      </c>
      <c r="Z20" s="25">
        <v>0</v>
      </c>
      <c r="AA20" s="26" t="s">
        <v>150</v>
      </c>
      <c r="AB20" s="82" t="str">
        <f t="shared" si="2"/>
        <v>https://www.google.co.uk/maps/search/?api=1&amp;query=51.5493818977089,-0.0704350031928657</v>
      </c>
      <c r="AD20" s="19" t="s">
        <v>218</v>
      </c>
      <c r="AE20" s="19" t="s">
        <v>218</v>
      </c>
      <c r="AG20" s="19">
        <v>0</v>
      </c>
      <c r="AH20" s="19" t="s">
        <v>1132</v>
      </c>
      <c r="AK20" s="19">
        <v>51.549381897708898</v>
      </c>
      <c r="AL20" s="19">
        <v>-7.0435003192865706E-2</v>
      </c>
      <c r="AN20" s="19">
        <f t="shared" si="3"/>
        <v>18</v>
      </c>
      <c r="AP20" s="91" t="s">
        <v>922</v>
      </c>
    </row>
    <row r="21" spans="1:44" x14ac:dyDescent="0.25">
      <c r="A21" s="19" t="s">
        <v>500</v>
      </c>
      <c r="B21" s="26" t="s">
        <v>299</v>
      </c>
      <c r="C21" s="19" t="s">
        <v>29</v>
      </c>
      <c r="D21" s="19" t="s">
        <v>300</v>
      </c>
      <c r="H21" s="74" t="str">
        <f>IF(AND("" &lt;&gt; TRIM(AE21), IsBold(AE21)), AE21, SUBSTITUTE(IF("" &lt;&gt; AD21, AD21, AE21), ")", ""))</f>
        <v>E9 5JA</v>
      </c>
      <c r="I21" s="19">
        <f t="shared" si="0"/>
        <v>51.545373380460497</v>
      </c>
      <c r="J21" s="19">
        <f t="shared" si="1"/>
        <v>-3.05570662021637E-2</v>
      </c>
      <c r="L21" s="19">
        <v>71</v>
      </c>
      <c r="R21" s="19"/>
      <c r="T21" s="19">
        <v>7491</v>
      </c>
      <c r="U21" s="19" t="s">
        <v>9</v>
      </c>
      <c r="W21" s="20" t="s">
        <v>924</v>
      </c>
      <c r="X21" s="19" t="s">
        <v>77</v>
      </c>
      <c r="Y21" s="26" t="s">
        <v>113</v>
      </c>
      <c r="Z21" s="25">
        <v>0</v>
      </c>
      <c r="AA21" s="26" t="s">
        <v>153</v>
      </c>
      <c r="AB21" s="82" t="str">
        <f t="shared" si="2"/>
        <v>https://www.google.co.uk/maps/search/?api=1&amp;query=51.5453733804605,-0.0305570662021637</v>
      </c>
      <c r="AD21" s="19" t="s">
        <v>222</v>
      </c>
      <c r="AE21" s="19" t="s">
        <v>222</v>
      </c>
      <c r="AG21" s="19">
        <v>3</v>
      </c>
      <c r="AH21" s="19" t="s">
        <v>1132</v>
      </c>
      <c r="AK21" s="19">
        <v>51.545373380460497</v>
      </c>
      <c r="AL21" s="19">
        <v>-3.05570662021637E-2</v>
      </c>
      <c r="AN21" s="19">
        <f t="shared" si="3"/>
        <v>19</v>
      </c>
      <c r="AP21" s="91" t="s">
        <v>925</v>
      </c>
    </row>
    <row r="22" spans="1:44" x14ac:dyDescent="0.25">
      <c r="A22" s="19" t="s">
        <v>512</v>
      </c>
      <c r="B22" s="26" t="s">
        <v>305</v>
      </c>
      <c r="C22" s="19" t="s">
        <v>29</v>
      </c>
      <c r="D22" s="19" t="s">
        <v>306</v>
      </c>
      <c r="H22" s="74" t="str">
        <f>IF(AND("" &lt;&gt; TRIM(AE22), IsBold(AE22)), AE22, SUBSTITUTE(IF("" &lt;&gt; AD22, AD22, AE22), ")", ""))</f>
        <v>N16 9ES</v>
      </c>
      <c r="I22" s="19">
        <f t="shared" si="0"/>
        <v>51.560817679581803</v>
      </c>
      <c r="J22" s="19">
        <f t="shared" si="1"/>
        <v>-8.4449350833892795E-2</v>
      </c>
      <c r="L22" s="19">
        <v>202</v>
      </c>
      <c r="R22" s="19"/>
      <c r="T22" s="19">
        <v>13634</v>
      </c>
      <c r="U22" s="19" t="s">
        <v>22</v>
      </c>
      <c r="W22" s="20" t="s">
        <v>927</v>
      </c>
      <c r="X22" s="19" t="s">
        <v>77</v>
      </c>
      <c r="Y22" s="26" t="s">
        <v>119</v>
      </c>
      <c r="Z22" s="25">
        <v>0</v>
      </c>
      <c r="AA22" s="26" t="s">
        <v>164</v>
      </c>
      <c r="AB22" s="82" t="str">
        <f t="shared" si="2"/>
        <v>https://www.google.co.uk/maps/search/?api=1&amp;query=51.5608176795818,-0.0844493508338928</v>
      </c>
      <c r="AD22" s="19" t="s">
        <v>230</v>
      </c>
      <c r="AE22" s="19" t="s">
        <v>230</v>
      </c>
      <c r="AG22" s="19">
        <v>0</v>
      </c>
      <c r="AH22" s="19" t="s">
        <v>1132</v>
      </c>
      <c r="AK22" s="19">
        <v>51.560817679581803</v>
      </c>
      <c r="AL22" s="19">
        <v>-8.4449350833892795E-2</v>
      </c>
      <c r="AN22" s="19">
        <f t="shared" si="3"/>
        <v>20</v>
      </c>
      <c r="AP22" s="91" t="s">
        <v>928</v>
      </c>
    </row>
    <row r="23" spans="1:44" x14ac:dyDescent="0.25">
      <c r="A23" s="19" t="s">
        <v>472</v>
      </c>
      <c r="B23" s="26" t="s">
        <v>283</v>
      </c>
      <c r="C23" s="19" t="s">
        <v>29</v>
      </c>
      <c r="D23" s="19" t="s">
        <v>284</v>
      </c>
      <c r="H23" s="74" t="str">
        <f>IF(AND("" &lt;&gt; TRIM(AE23), IsBold(AE23)), AE23, SUBSTITUTE(IF("" &lt;&gt; AD23, AD23, AE23), ")", ""))</f>
        <v>E5 9EN</v>
      </c>
      <c r="I23" s="19">
        <f t="shared" si="0"/>
        <v>51.565328632011898</v>
      </c>
      <c r="J23" s="19">
        <f t="shared" si="1"/>
        <v>-5.4581612348556498E-2</v>
      </c>
      <c r="L23" s="19">
        <v>38</v>
      </c>
      <c r="R23" s="19"/>
      <c r="T23" s="19">
        <v>26681</v>
      </c>
      <c r="U23" s="19" t="s">
        <v>2</v>
      </c>
      <c r="W23" s="20" t="s">
        <v>931</v>
      </c>
      <c r="X23" s="19" t="s">
        <v>77</v>
      </c>
      <c r="Y23" s="26" t="s">
        <v>109</v>
      </c>
      <c r="Z23" s="25">
        <v>0</v>
      </c>
      <c r="AA23" s="26" t="s">
        <v>147</v>
      </c>
      <c r="AB23" s="82" t="str">
        <f t="shared" si="2"/>
        <v>https://www.google.co.uk/maps/search/?api=1&amp;query=51.5653286320119,-0.0545816123485565</v>
      </c>
      <c r="AD23" s="19" t="s">
        <v>216</v>
      </c>
      <c r="AE23" s="19" t="s">
        <v>216</v>
      </c>
      <c r="AG23" s="19">
        <v>4</v>
      </c>
      <c r="AH23" s="19" t="s">
        <v>1132</v>
      </c>
      <c r="AK23" s="19">
        <v>51.565328632011898</v>
      </c>
      <c r="AL23" s="19">
        <v>-5.4581612348556498E-2</v>
      </c>
      <c r="AN23" s="19">
        <f t="shared" si="3"/>
        <v>21</v>
      </c>
      <c r="AP23" s="91" t="s">
        <v>932</v>
      </c>
    </row>
    <row r="24" spans="1:44" x14ac:dyDescent="0.25">
      <c r="A24" s="19" t="s">
        <v>518</v>
      </c>
      <c r="B24" s="26" t="s">
        <v>309</v>
      </c>
      <c r="C24" s="19" t="s">
        <v>29</v>
      </c>
      <c r="D24" s="19" t="s">
        <v>310</v>
      </c>
      <c r="H24" s="74" t="str">
        <f>IF(AND("" &lt;&gt; TRIM(AE24), IsBold(AE24)), AE24, SUBSTITUTE(IF("" &lt;&gt; AD24, AD24, AE24), ")", ""))</f>
        <v>N16 8DD</v>
      </c>
      <c r="I24" s="19">
        <f t="shared" si="0"/>
        <v>51.552504999999996</v>
      </c>
      <c r="J24" s="19">
        <f t="shared" si="1"/>
        <v>-7.9339420999999993E-2</v>
      </c>
      <c r="L24" s="19">
        <v>51</v>
      </c>
      <c r="R24" s="19"/>
      <c r="T24" s="19">
        <v>10031</v>
      </c>
      <c r="U24" s="19" t="s">
        <v>25</v>
      </c>
      <c r="W24" s="20" t="s">
        <v>935</v>
      </c>
      <c r="X24" s="19" t="s">
        <v>77</v>
      </c>
      <c r="Y24" s="19"/>
      <c r="Z24" s="26" t="s">
        <v>87</v>
      </c>
      <c r="AA24" s="26" t="s">
        <v>167</v>
      </c>
      <c r="AB24" s="82" t="str">
        <f t="shared" si="2"/>
        <v>https://www.google.co.uk/maps/search/?api=1&amp;query=51.552505,-0.079339421</v>
      </c>
      <c r="AD24" s="19" t="s">
        <v>232</v>
      </c>
      <c r="AE24" s="19" t="s">
        <v>232</v>
      </c>
      <c r="AG24" s="19">
        <v>4</v>
      </c>
      <c r="AH24" s="19" t="s">
        <v>1130</v>
      </c>
      <c r="AK24" s="19">
        <v>51.552504999999996</v>
      </c>
      <c r="AL24" s="19">
        <v>-7.9339420999999993E-2</v>
      </c>
      <c r="AN24" s="19">
        <f t="shared" si="3"/>
        <v>22</v>
      </c>
      <c r="AP24" s="91" t="s">
        <v>936</v>
      </c>
    </row>
    <row r="25" spans="1:44" x14ac:dyDescent="0.25">
      <c r="A25" s="19" t="s">
        <v>503</v>
      </c>
      <c r="B25" s="26" t="s">
        <v>301</v>
      </c>
      <c r="C25" s="19" t="s">
        <v>29</v>
      </c>
      <c r="D25" s="19" t="s">
        <v>3567</v>
      </c>
      <c r="H25" s="74" t="str">
        <f>IF(AND("" &lt;&gt; TRIM(AE25), IsBold(AE25)), AE25, SUBSTITUTE(IF("" &lt;&gt; AD25, AD25, AE25), ")", ""))</f>
        <v>E8 3ER</v>
      </c>
      <c r="I25" s="19">
        <f t="shared" si="0"/>
        <v>51.540798584623502</v>
      </c>
      <c r="J25" s="19">
        <f t="shared" si="1"/>
        <v>-6.3923746347427299E-2</v>
      </c>
      <c r="L25" s="19">
        <v>194</v>
      </c>
      <c r="R25" s="19"/>
      <c r="T25" s="19">
        <v>12326</v>
      </c>
      <c r="U25" s="19" t="s">
        <v>11</v>
      </c>
      <c r="W25" s="20" t="s">
        <v>938</v>
      </c>
      <c r="X25" s="19" t="s">
        <v>77</v>
      </c>
      <c r="Y25" s="26" t="s">
        <v>114</v>
      </c>
      <c r="Z25" s="25">
        <v>0</v>
      </c>
      <c r="AA25" s="26" t="s">
        <v>155</v>
      </c>
      <c r="AB25" s="82" t="str">
        <f t="shared" si="2"/>
        <v>https://www.google.co.uk/maps/search/?api=1&amp;query=51.5407985846235,-0.0639237463474273</v>
      </c>
      <c r="AD25" s="19" t="s">
        <v>224</v>
      </c>
      <c r="AE25" s="19" t="s">
        <v>224</v>
      </c>
      <c r="AG25" s="19">
        <v>0</v>
      </c>
      <c r="AH25" s="19" t="s">
        <v>1132</v>
      </c>
      <c r="AK25" s="19">
        <v>51.540798584623502</v>
      </c>
      <c r="AL25" s="19">
        <v>-6.3923746347427299E-2</v>
      </c>
      <c r="AN25" s="19">
        <f t="shared" si="3"/>
        <v>23</v>
      </c>
      <c r="AP25" s="91" t="s">
        <v>939</v>
      </c>
    </row>
    <row r="26" spans="1:44" x14ac:dyDescent="0.25">
      <c r="A26" s="19" t="s">
        <v>521</v>
      </c>
      <c r="B26" s="26" t="s">
        <v>311</v>
      </c>
      <c r="C26" s="19" t="s">
        <v>29</v>
      </c>
      <c r="D26" s="19" t="s">
        <v>3568</v>
      </c>
      <c r="H26" s="74" t="str">
        <f>IF(AND("" &lt;&gt; TRIM(AE26), IsBold(AE26)), AE26, SUBSTITUTE(IF("" &lt;&gt; AD26, AD26, AE26), ")", ""))</f>
        <v>N16 7ED</v>
      </c>
      <c r="I26" s="19">
        <f t="shared" si="0"/>
        <v>51.562533444553303</v>
      </c>
      <c r="J26" s="19">
        <f t="shared" si="1"/>
        <v>-6.6554918471506394E-2</v>
      </c>
      <c r="L26" s="19">
        <v>103</v>
      </c>
      <c r="R26" s="19"/>
      <c r="T26" s="19">
        <v>12073</v>
      </c>
      <c r="U26" s="19" t="s">
        <v>24</v>
      </c>
      <c r="W26" s="19"/>
      <c r="X26" s="19" t="s">
        <v>77</v>
      </c>
      <c r="Y26" s="26" t="s">
        <v>120</v>
      </c>
      <c r="Z26" s="25">
        <v>0</v>
      </c>
      <c r="AA26" s="26" t="s">
        <v>166</v>
      </c>
      <c r="AB26" s="82" t="str">
        <f t="shared" si="2"/>
        <v>https://www.google.co.uk/maps/search/?api=1&amp;query=51.5625334445533,-0.0665549184715064</v>
      </c>
      <c r="AD26" s="19" t="s">
        <v>276</v>
      </c>
      <c r="AE26" s="19" t="s">
        <v>276</v>
      </c>
      <c r="AG26" s="19">
        <v>0</v>
      </c>
      <c r="AH26" s="19" t="s">
        <v>1132</v>
      </c>
      <c r="AK26" s="19">
        <v>51.562533444553303</v>
      </c>
      <c r="AL26" s="19">
        <v>-6.6554918471506394E-2</v>
      </c>
      <c r="AN26" s="19">
        <f t="shared" si="3"/>
        <v>24</v>
      </c>
      <c r="AP26" s="91" t="s">
        <v>932</v>
      </c>
    </row>
    <row r="27" spans="1:44" x14ac:dyDescent="0.25">
      <c r="A27" s="19" t="s">
        <v>524</v>
      </c>
      <c r="B27" s="26" t="s">
        <v>312</v>
      </c>
      <c r="C27" s="19" t="s">
        <v>29</v>
      </c>
      <c r="D27" s="19" t="s">
        <v>313</v>
      </c>
      <c r="H27" s="74" t="str">
        <f>IF(AND("" &lt;&gt; TRIM(AE27), IsBold(AE27)), AE27, SUBSTITUTE(IF("" &lt;&gt; AD27, AD27, AE27), ")", ""))</f>
        <v>N4 2TW</v>
      </c>
      <c r="I27" s="19">
        <f t="shared" si="0"/>
        <v>51.571211427888102</v>
      </c>
      <c r="J27" s="19">
        <f t="shared" si="1"/>
        <v>-9.3690366985368298E-2</v>
      </c>
      <c r="L27" s="19">
        <v>285</v>
      </c>
      <c r="R27" s="19"/>
      <c r="T27" s="19">
        <v>6675</v>
      </c>
      <c r="U27" s="19" t="s">
        <v>23</v>
      </c>
      <c r="W27" s="20" t="s">
        <v>941</v>
      </c>
      <c r="X27" s="19" t="s">
        <v>77</v>
      </c>
      <c r="Y27" s="26" t="s">
        <v>119</v>
      </c>
      <c r="Z27" s="25">
        <v>0</v>
      </c>
      <c r="AA27" s="26" t="s">
        <v>165</v>
      </c>
      <c r="AB27" s="82" t="str">
        <f t="shared" si="2"/>
        <v>https://www.google.co.uk/maps/search/?api=1&amp;query=51.5712114278881,-0.0936903669853683</v>
      </c>
      <c r="AD27" s="19" t="s">
        <v>231</v>
      </c>
      <c r="AE27" s="19" t="s">
        <v>231</v>
      </c>
      <c r="AG27" s="19">
        <v>0</v>
      </c>
      <c r="AH27" s="19" t="s">
        <v>1132</v>
      </c>
      <c r="AK27" s="19">
        <v>51.571211427888102</v>
      </c>
      <c r="AL27" s="19">
        <v>-9.3690366985368298E-2</v>
      </c>
      <c r="AN27" s="19">
        <f t="shared" si="3"/>
        <v>25</v>
      </c>
      <c r="AP27" s="91" t="s">
        <v>942</v>
      </c>
    </row>
    <row r="28" spans="1:44" x14ac:dyDescent="0.25">
      <c r="A28" s="19" t="s">
        <v>506</v>
      </c>
      <c r="B28" s="26" t="s">
        <v>302</v>
      </c>
      <c r="C28" s="19" t="s">
        <v>29</v>
      </c>
      <c r="D28" s="19" t="s">
        <v>1148</v>
      </c>
      <c r="H28" s="74" t="str">
        <f>IF(AND("" &lt;&gt; TRIM(AE28), IsBold(AE28)), AE28, SUBSTITUTE(IF("" &lt;&gt; AD28, AD28, AE28), ")", ""))</f>
        <v>N16 7QB</v>
      </c>
      <c r="I28" s="19">
        <f t="shared" si="0"/>
        <v>51.557048000000002</v>
      </c>
      <c r="J28" s="19">
        <f t="shared" si="1"/>
        <v>-7.3969093999999999E-2</v>
      </c>
      <c r="L28" s="19">
        <v>93</v>
      </c>
      <c r="R28" s="19"/>
      <c r="T28" s="19">
        <v>8446</v>
      </c>
      <c r="U28" s="19" t="s">
        <v>12</v>
      </c>
      <c r="W28" s="20" t="s">
        <v>945</v>
      </c>
      <c r="X28" s="19" t="s">
        <v>77</v>
      </c>
      <c r="Y28" s="26" t="s">
        <v>115</v>
      </c>
      <c r="Z28" s="25">
        <v>0</v>
      </c>
      <c r="AA28" s="26" t="s">
        <v>156</v>
      </c>
      <c r="AB28" s="82" t="str">
        <f t="shared" si="2"/>
        <v>https://www.google.co.uk/maps/search/?api=1&amp;query=51.557048,-0.073969094</v>
      </c>
      <c r="AD28" s="19" t="s">
        <v>944</v>
      </c>
      <c r="AE28" s="19" t="s">
        <v>225</v>
      </c>
      <c r="AG28" s="19">
        <v>0</v>
      </c>
      <c r="AH28" s="19" t="s">
        <v>1128</v>
      </c>
      <c r="AK28" s="19">
        <v>51.557048000000002</v>
      </c>
      <c r="AL28" s="19">
        <v>-7.3969093999999999E-2</v>
      </c>
      <c r="AN28" s="19">
        <f t="shared" si="3"/>
        <v>26</v>
      </c>
      <c r="AP28" s="91" t="s">
        <v>946</v>
      </c>
    </row>
    <row r="29" spans="1:44" x14ac:dyDescent="0.25">
      <c r="A29" s="19" t="s">
        <v>509</v>
      </c>
      <c r="B29" s="26" t="s">
        <v>303</v>
      </c>
      <c r="C29" s="19" t="s">
        <v>29</v>
      </c>
      <c r="D29" s="19" t="s">
        <v>304</v>
      </c>
      <c r="H29" s="74" t="str">
        <f>IF(AND("" &lt;&gt; TRIM(AE29), IsBold(AE29)), AE29, SUBSTITUTE(IF("" &lt;&gt; AD29, AD29, AE29), ")", ""))</f>
        <v>N1 4DA</v>
      </c>
      <c r="I29" s="19">
        <f t="shared" si="0"/>
        <v>51.540774999999996</v>
      </c>
      <c r="J29" s="19">
        <f t="shared" si="1"/>
        <v>-8.0208288000000003E-2</v>
      </c>
      <c r="L29" s="19">
        <v>178</v>
      </c>
      <c r="R29" s="19"/>
      <c r="T29" s="19">
        <v>8485</v>
      </c>
      <c r="U29" s="19" t="s">
        <v>6</v>
      </c>
      <c r="W29" s="20" t="s">
        <v>949</v>
      </c>
      <c r="X29" s="19" t="s">
        <v>77</v>
      </c>
      <c r="Y29" s="26" t="s">
        <v>112</v>
      </c>
      <c r="Z29" s="25">
        <v>0</v>
      </c>
      <c r="AA29" s="26" t="s">
        <v>151</v>
      </c>
      <c r="AB29" s="82" t="str">
        <f t="shared" si="2"/>
        <v>https://www.google.co.uk/maps/search/?api=1&amp;query=51.540775,-0.080208288</v>
      </c>
      <c r="AD29" s="19" t="s">
        <v>219</v>
      </c>
      <c r="AE29" s="19" t="s">
        <v>219</v>
      </c>
      <c r="AG29" s="19">
        <v>4</v>
      </c>
      <c r="AH29" s="19" t="s">
        <v>1128</v>
      </c>
      <c r="AK29" s="19">
        <v>51.540774999999996</v>
      </c>
      <c r="AL29" s="19">
        <v>-8.0208288000000003E-2</v>
      </c>
      <c r="AN29" s="19">
        <f t="shared" si="3"/>
        <v>27</v>
      </c>
      <c r="AP29" s="91" t="s">
        <v>950</v>
      </c>
    </row>
    <row r="30" spans="1:44" x14ac:dyDescent="0.25">
      <c r="A30" s="19" t="s">
        <v>475</v>
      </c>
      <c r="B30" s="26" t="s">
        <v>285</v>
      </c>
      <c r="C30" s="19" t="s">
        <v>29</v>
      </c>
      <c r="D30" s="19" t="s">
        <v>286</v>
      </c>
      <c r="H30" s="74" t="str">
        <f>IF(AND("" &lt;&gt; TRIM(AE30), IsBold(AE30)), AE30, SUBSTITUTE(IF("" &lt;&gt; AD30, AD30, AE30), ")", ""))</f>
        <v>E5 9BW</v>
      </c>
      <c r="I30" s="19">
        <f t="shared" si="0"/>
        <v>51.569816725565602</v>
      </c>
      <c r="J30" s="19">
        <f t="shared" si="1"/>
        <v>-6.42123072093925E-2</v>
      </c>
      <c r="L30" s="19">
        <v>80</v>
      </c>
      <c r="R30" s="19"/>
      <c r="T30" s="19">
        <v>26681</v>
      </c>
      <c r="U30" s="19" t="s">
        <v>3</v>
      </c>
      <c r="W30" s="20" t="s">
        <v>953</v>
      </c>
      <c r="X30" s="19" t="s">
        <v>77</v>
      </c>
      <c r="Y30" s="26" t="s">
        <v>110</v>
      </c>
      <c r="Z30" s="25">
        <v>0</v>
      </c>
      <c r="AA30" s="26" t="s">
        <v>148</v>
      </c>
      <c r="AB30" s="82" t="str">
        <f t="shared" si="2"/>
        <v>https://www.google.co.uk/maps/search/?api=1&amp;query=51.5698167255656,-0.0642123072093925</v>
      </c>
      <c r="AD30" s="19" t="s">
        <v>217</v>
      </c>
      <c r="AE30" s="19" t="s">
        <v>217</v>
      </c>
      <c r="AG30" s="19">
        <v>3</v>
      </c>
      <c r="AH30" s="19" t="s">
        <v>1130</v>
      </c>
      <c r="AK30" s="19">
        <v>51.569816725565602</v>
      </c>
      <c r="AL30" s="19">
        <v>-6.42123072093925E-2</v>
      </c>
      <c r="AN30" s="19">
        <f t="shared" si="3"/>
        <v>28</v>
      </c>
      <c r="AP30" s="91" t="s">
        <v>954</v>
      </c>
    </row>
    <row r="31" spans="1:44" s="74" customFormat="1" ht="19.5" x14ac:dyDescent="0.3">
      <c r="A31" s="74" t="s">
        <v>615</v>
      </c>
      <c r="B31" s="82" t="s">
        <v>345</v>
      </c>
      <c r="C31" s="74" t="s">
        <v>71</v>
      </c>
      <c r="D31" s="74" t="s">
        <v>616</v>
      </c>
      <c r="F31" s="87"/>
      <c r="H31" s="74" t="str">
        <f>IF(AND("" &lt;&gt; TRIM(AE31), IsBold(AE31)), AE31, SUBSTITUTE(IF("" &lt;&gt; AD31, AD31, AE31), ")", ""))</f>
        <v>N1 9QW</v>
      </c>
      <c r="I31" s="74">
        <f t="shared" si="0"/>
        <v>51.535314899906403</v>
      </c>
      <c r="J31" s="74">
        <f t="shared" si="1"/>
        <v>-0.116563743568527</v>
      </c>
      <c r="L31" s="74">
        <v>21</v>
      </c>
      <c r="T31" s="74" t="s">
        <v>77</v>
      </c>
      <c r="U31" s="74" t="s">
        <v>77</v>
      </c>
      <c r="W31" s="83" t="s">
        <v>958</v>
      </c>
      <c r="X31" s="83" t="s">
        <v>82</v>
      </c>
      <c r="Y31" s="74" t="s">
        <v>77</v>
      </c>
      <c r="Z31" s="84" t="s">
        <v>77</v>
      </c>
      <c r="AA31" s="84" t="s">
        <v>77</v>
      </c>
      <c r="AB31" s="82" t="str">
        <f t="shared" si="2"/>
        <v>https://www.google.co.uk/maps/search/?api=1&amp;query=51.5353148999064,-0.116563743568527</v>
      </c>
      <c r="AD31" s="74" t="s">
        <v>957</v>
      </c>
      <c r="AE31" s="89" t="s">
        <v>1197</v>
      </c>
      <c r="AG31" s="74">
        <v>0</v>
      </c>
      <c r="AH31" s="74" t="s">
        <v>1132</v>
      </c>
      <c r="AK31" s="74">
        <v>51.535314899906403</v>
      </c>
      <c r="AL31" s="74">
        <v>-0.116563743568527</v>
      </c>
      <c r="AN31" s="74">
        <f t="shared" si="3"/>
        <v>29</v>
      </c>
      <c r="AP31" s="92" t="s">
        <v>959</v>
      </c>
      <c r="AQ31" s="92"/>
      <c r="AR31" s="74" t="s">
        <v>1186</v>
      </c>
    </row>
    <row r="32" spans="1:44" x14ac:dyDescent="0.25">
      <c r="A32" s="19" t="s">
        <v>625</v>
      </c>
      <c r="B32" s="26" t="s">
        <v>349</v>
      </c>
      <c r="C32" s="19" t="s">
        <v>71</v>
      </c>
      <c r="D32" s="19" t="s">
        <v>350</v>
      </c>
      <c r="H32" s="74" t="str">
        <f>IF(AND("" &lt;&gt; TRIM(AE32), IsBold(AE32)), AE32, SUBSTITUTE(IF("" &lt;&gt; AD32, AD32, AE32), ")", ""))</f>
        <v>N5 1SA</v>
      </c>
      <c r="I32" s="19">
        <f t="shared" si="0"/>
        <v>51.552225</v>
      </c>
      <c r="J32" s="19">
        <f t="shared" si="1"/>
        <v>-9.8607849999999997E-2</v>
      </c>
      <c r="L32" s="19">
        <v>272</v>
      </c>
      <c r="R32" s="19"/>
      <c r="T32" s="19">
        <v>9111</v>
      </c>
      <c r="U32" s="19" t="s">
        <v>58</v>
      </c>
      <c r="W32" s="20" t="s">
        <v>961</v>
      </c>
      <c r="X32" s="19" t="s">
        <v>77</v>
      </c>
      <c r="Y32" s="26" t="s">
        <v>125</v>
      </c>
      <c r="Z32" s="26" t="s">
        <v>91</v>
      </c>
      <c r="AA32" s="26" t="s">
        <v>173</v>
      </c>
      <c r="AB32" s="82" t="str">
        <f t="shared" si="2"/>
        <v>https://www.google.co.uk/maps/search/?api=1&amp;query=51.552225,-0.09860785</v>
      </c>
      <c r="AD32" s="19" t="s">
        <v>240</v>
      </c>
      <c r="AE32" s="19" t="s">
        <v>240</v>
      </c>
      <c r="AG32" s="19">
        <v>2</v>
      </c>
      <c r="AH32" s="19" t="s">
        <v>1129</v>
      </c>
      <c r="AK32" s="19">
        <v>51.552225</v>
      </c>
      <c r="AL32" s="19">
        <v>-9.8607849999999997E-2</v>
      </c>
      <c r="AN32" s="19">
        <f t="shared" si="3"/>
        <v>30</v>
      </c>
      <c r="AP32" s="91" t="s">
        <v>962</v>
      </c>
    </row>
    <row r="33" spans="1:44" x14ac:dyDescent="0.25">
      <c r="A33" s="19" t="s">
        <v>675</v>
      </c>
      <c r="B33" s="26" t="s">
        <v>383</v>
      </c>
      <c r="C33" s="19" t="s">
        <v>71</v>
      </c>
      <c r="D33" s="19" t="s">
        <v>384</v>
      </c>
      <c r="H33" s="74" t="str">
        <f>IF(AND("" &lt;&gt; TRIM(AE33), IsBold(AE33)), AE33, SUBSTITUTE(IF("" &lt;&gt; AD33, AD33, AE33), ")", ""))</f>
        <v>N7 6DU</v>
      </c>
      <c r="I33" s="19">
        <f t="shared" si="0"/>
        <v>51.559040199711703</v>
      </c>
      <c r="J33" s="19">
        <f t="shared" si="1"/>
        <v>-0.11422380442386</v>
      </c>
      <c r="L33" s="19"/>
      <c r="R33" s="19"/>
      <c r="T33" s="19">
        <v>25345</v>
      </c>
      <c r="U33" s="19" t="s">
        <v>69</v>
      </c>
      <c r="W33" s="19"/>
      <c r="X33" s="26" t="s">
        <v>83</v>
      </c>
      <c r="Y33" s="26" t="s">
        <v>131</v>
      </c>
      <c r="Z33" s="25">
        <v>0</v>
      </c>
      <c r="AA33" s="26" t="s">
        <v>183</v>
      </c>
      <c r="AB33" s="82" t="str">
        <f t="shared" ref="AB33:AB58" si="4">IF("" = I33, "", SUBSTITUTE(SUBSTITUTE(GoogleStreetViewLinkFormat, "$lat$", I33), "$long$", J33))</f>
        <v>https://www.google.co.uk/maps/search/?api=1&amp;query=51.5590401997117,-0.11422380442386</v>
      </c>
      <c r="AD33" s="19" t="s">
        <v>249</v>
      </c>
      <c r="AE33" s="19" t="s">
        <v>249</v>
      </c>
      <c r="AG33" s="19">
        <v>4</v>
      </c>
      <c r="AH33" s="19" t="s">
        <v>1132</v>
      </c>
      <c r="AK33" s="19">
        <v>51.559040199711703</v>
      </c>
      <c r="AL33" s="19">
        <v>-0.11422380442386</v>
      </c>
      <c r="AN33" s="19">
        <f t="shared" si="3"/>
        <v>31</v>
      </c>
    </row>
    <row r="34" spans="1:44" ht="19.5" x14ac:dyDescent="0.3">
      <c r="A34" s="19" t="s">
        <v>646</v>
      </c>
      <c r="B34" s="26" t="s">
        <v>362</v>
      </c>
      <c r="C34" s="19" t="s">
        <v>71</v>
      </c>
      <c r="D34" s="19" t="s">
        <v>3571</v>
      </c>
      <c r="H34" s="74" t="str">
        <f>IF(AND("" &lt;&gt; TRIM(AE34), IsBold(AE34)), AE34, SUBSTITUTE(IF("" &lt;&gt; AD34, AD34, AE34), ")", ""))</f>
        <v>N7 8LT</v>
      </c>
      <c r="I34" s="19">
        <f t="shared" ref="I34:I65" si="5">IF(0 = AK34, "", AK34)</f>
        <v>51.548383953262302</v>
      </c>
      <c r="J34" s="19">
        <f t="shared" ref="J34:J65" si="6">IF(0 = AL34, "", AL34)</f>
        <v>-0.10789382750259401</v>
      </c>
      <c r="L34" s="19">
        <v>306</v>
      </c>
      <c r="R34" s="19"/>
      <c r="T34" s="19" t="s">
        <v>77</v>
      </c>
      <c r="U34" s="19" t="s">
        <v>77</v>
      </c>
      <c r="W34" s="20" t="s">
        <v>967</v>
      </c>
      <c r="X34" s="19" t="s">
        <v>77</v>
      </c>
      <c r="Y34" s="19" t="s">
        <v>77</v>
      </c>
      <c r="Z34" s="25" t="s">
        <v>77</v>
      </c>
      <c r="AA34" s="25" t="s">
        <v>77</v>
      </c>
      <c r="AB34" s="82" t="str">
        <f t="shared" si="4"/>
        <v>https://www.google.co.uk/maps/search/?api=1&amp;query=51.5483839532623,-0.107893827502594</v>
      </c>
      <c r="AD34" s="19" t="s">
        <v>243</v>
      </c>
      <c r="AE34" s="89" t="s">
        <v>3559</v>
      </c>
      <c r="AG34" s="19">
        <v>2</v>
      </c>
      <c r="AH34" s="19" t="s">
        <v>1129</v>
      </c>
      <c r="AK34" s="19">
        <v>51.548383953262302</v>
      </c>
      <c r="AL34" s="19">
        <v>-0.10789382750259401</v>
      </c>
      <c r="AN34" s="19">
        <f t="shared" si="3"/>
        <v>32</v>
      </c>
      <c r="AP34" s="91" t="s">
        <v>968</v>
      </c>
      <c r="AQ34" s="91" t="s">
        <v>3574</v>
      </c>
    </row>
    <row r="35" spans="1:44" x14ac:dyDescent="0.25">
      <c r="A35" s="19" t="s">
        <v>668</v>
      </c>
      <c r="B35" s="26" t="s">
        <v>377</v>
      </c>
      <c r="C35" s="19" t="s">
        <v>71</v>
      </c>
      <c r="D35" s="19" t="s">
        <v>378</v>
      </c>
      <c r="H35" s="74" t="str">
        <f>IF(AND("" &lt;&gt; TRIM(AE35), IsBold(AE35)), AE35, SUBSTITUTE(IF("" &lt;&gt; AD35, AD35, AE35), ")", ""))</f>
        <v>EC1R 4QE</v>
      </c>
      <c r="I35" s="19">
        <f t="shared" si="5"/>
        <v>51.525505465136398</v>
      </c>
      <c r="J35" s="19">
        <f t="shared" si="6"/>
        <v>-0.109171692733864</v>
      </c>
      <c r="L35" s="19">
        <v>90</v>
      </c>
      <c r="R35" s="19"/>
      <c r="T35" s="19">
        <v>6856</v>
      </c>
      <c r="U35" s="19" t="s">
        <v>53</v>
      </c>
      <c r="W35" s="20" t="s">
        <v>971</v>
      </c>
      <c r="X35" s="19" t="s">
        <v>77</v>
      </c>
      <c r="Y35" s="26" t="s">
        <v>122</v>
      </c>
      <c r="Z35" s="26" t="s">
        <v>88</v>
      </c>
      <c r="AA35" s="26" t="s">
        <v>169</v>
      </c>
      <c r="AB35" s="82" t="str">
        <f t="shared" si="4"/>
        <v>https://www.google.co.uk/maps/search/?api=1&amp;query=51.5255054651364,-0.109171692733864</v>
      </c>
      <c r="AD35" s="19" t="s">
        <v>459</v>
      </c>
      <c r="AE35" s="19" t="s">
        <v>459</v>
      </c>
      <c r="AG35" s="19">
        <v>3</v>
      </c>
      <c r="AH35" s="19" t="s">
        <v>1130</v>
      </c>
      <c r="AK35" s="19">
        <v>51.525505465136398</v>
      </c>
      <c r="AL35" s="19">
        <v>-0.109171692733864</v>
      </c>
      <c r="AN35" s="19">
        <f t="shared" si="3"/>
        <v>33</v>
      </c>
      <c r="AP35" s="91" t="s">
        <v>972</v>
      </c>
    </row>
    <row r="36" spans="1:44" x14ac:dyDescent="0.25">
      <c r="A36" s="19" t="s">
        <v>615</v>
      </c>
      <c r="B36" s="26" t="s">
        <v>344</v>
      </c>
      <c r="C36" s="19" t="s">
        <v>71</v>
      </c>
      <c r="D36" s="19" t="s">
        <v>614</v>
      </c>
      <c r="H36" s="74" t="str">
        <f>IF(AND("" &lt;&gt; TRIM(AE36), IsBold(AE36)), AE36, SUBSTITUTE(IF("" &lt;&gt; AD36, AD36, AE36), ")", ""))</f>
        <v>N1 1BQ</v>
      </c>
      <c r="I36" s="19">
        <f t="shared" si="5"/>
        <v>51.541076389573497</v>
      </c>
      <c r="J36" s="19">
        <f t="shared" si="6"/>
        <v>-0.115256759678392</v>
      </c>
      <c r="L36" s="19">
        <v>103</v>
      </c>
      <c r="R36" s="19"/>
      <c r="T36" s="19" t="s">
        <v>77</v>
      </c>
      <c r="U36" s="19" t="s">
        <v>77</v>
      </c>
      <c r="W36" s="20" t="s">
        <v>974</v>
      </c>
      <c r="X36" s="19" t="s">
        <v>77</v>
      </c>
      <c r="Y36" s="19" t="s">
        <v>77</v>
      </c>
      <c r="Z36" s="25" t="s">
        <v>77</v>
      </c>
      <c r="AA36" s="25" t="s">
        <v>77</v>
      </c>
      <c r="AB36" s="82" t="str">
        <f t="shared" si="4"/>
        <v>https://www.google.co.uk/maps/search/?api=1&amp;query=51.5410763895735,-0.115256759678392</v>
      </c>
      <c r="AD36" s="19" t="s">
        <v>233</v>
      </c>
      <c r="AE36" s="19" t="s">
        <v>77</v>
      </c>
      <c r="AG36" s="19">
        <v>0</v>
      </c>
      <c r="AH36" s="19" t="s">
        <v>1132</v>
      </c>
      <c r="AK36" s="19">
        <v>51.541076389573497</v>
      </c>
      <c r="AL36" s="19">
        <v>-0.115256759678392</v>
      </c>
      <c r="AN36" s="19">
        <f t="shared" si="3"/>
        <v>34</v>
      </c>
      <c r="AP36" s="91" t="s">
        <v>959</v>
      </c>
    </row>
    <row r="37" spans="1:44" x14ac:dyDescent="0.25">
      <c r="A37" s="19" t="s">
        <v>608</v>
      </c>
      <c r="B37" s="26" t="s">
        <v>340</v>
      </c>
      <c r="C37" s="19" t="s">
        <v>71</v>
      </c>
      <c r="D37" s="19" t="s">
        <v>341</v>
      </c>
      <c r="H37" s="74" t="str">
        <f>IF(AND("" &lt;&gt; TRIM(AE37), IsBold(AE37)), AE37, SUBSTITUTE(IF("" &lt;&gt; AD37, AD37, AE37), ")", ""))</f>
        <v>N19 3TN</v>
      </c>
      <c r="I37" s="19">
        <f t="shared" si="5"/>
        <v>51.569445416505502</v>
      </c>
      <c r="J37" s="19">
        <f t="shared" si="6"/>
        <v>-0.13567321649257699</v>
      </c>
      <c r="L37" s="19">
        <v>44</v>
      </c>
      <c r="R37" s="19"/>
      <c r="T37" s="19">
        <v>6069</v>
      </c>
      <c r="U37" s="19" t="s">
        <v>62</v>
      </c>
      <c r="W37" s="20" t="s">
        <v>975</v>
      </c>
      <c r="X37" s="19" t="s">
        <v>77</v>
      </c>
      <c r="Y37" s="19"/>
      <c r="Z37" s="25">
        <v>0</v>
      </c>
      <c r="AA37" s="26" t="s">
        <v>177</v>
      </c>
      <c r="AB37" s="82" t="str">
        <f t="shared" si="4"/>
        <v>https://www.google.co.uk/maps/search/?api=1&amp;query=51.5694454165055,-0.135673216492577</v>
      </c>
      <c r="AD37" s="19" t="s">
        <v>245</v>
      </c>
      <c r="AE37" s="19" t="s">
        <v>245</v>
      </c>
      <c r="AG37" s="19">
        <v>3</v>
      </c>
      <c r="AH37" s="19" t="s">
        <v>1129</v>
      </c>
      <c r="AK37" s="19">
        <v>51.569445416505502</v>
      </c>
      <c r="AL37" s="19">
        <v>-0.13567321649257699</v>
      </c>
      <c r="AN37" s="19">
        <f t="shared" si="3"/>
        <v>35</v>
      </c>
      <c r="AP37" s="91" t="s">
        <v>976</v>
      </c>
    </row>
    <row r="38" spans="1:44" x14ac:dyDescent="0.25">
      <c r="A38" s="19" t="s">
        <v>622</v>
      </c>
      <c r="B38" s="26" t="s">
        <v>347</v>
      </c>
      <c r="C38" s="19" t="s">
        <v>71</v>
      </c>
      <c r="D38" s="19" t="s">
        <v>348</v>
      </c>
      <c r="H38" s="74" t="str">
        <f>IF(AND("" &lt;&gt; TRIM(AE38), IsBold(AE38)), AE38, SUBSTITUTE(IF("" &lt;&gt; AD38, AD38, AE38), ")", ""))</f>
        <v>N5 2DR</v>
      </c>
      <c r="I38" s="19">
        <f t="shared" si="5"/>
        <v>51.565567305267699</v>
      </c>
      <c r="J38" s="19">
        <f t="shared" si="6"/>
        <v>-0.100556015968322</v>
      </c>
      <c r="L38" s="19">
        <v>124</v>
      </c>
      <c r="R38" s="19"/>
      <c r="T38" s="19">
        <v>8377</v>
      </c>
      <c r="U38" s="19" t="s">
        <v>59</v>
      </c>
      <c r="W38" s="20" t="s">
        <v>979</v>
      </c>
      <c r="X38" s="19" t="s">
        <v>77</v>
      </c>
      <c r="Y38" s="26" t="s">
        <v>126</v>
      </c>
      <c r="Z38" s="25">
        <v>0</v>
      </c>
      <c r="AA38" s="26" t="s">
        <v>174</v>
      </c>
      <c r="AB38" s="82" t="str">
        <f t="shared" si="4"/>
        <v>https://www.google.co.uk/maps/search/?api=1&amp;query=51.5655673052677,-0.100556015968322</v>
      </c>
      <c r="AD38" s="19" t="s">
        <v>241</v>
      </c>
      <c r="AE38" s="19" t="s">
        <v>241</v>
      </c>
      <c r="AG38" s="19">
        <v>0</v>
      </c>
      <c r="AH38" s="19" t="s">
        <v>1132</v>
      </c>
      <c r="AK38" s="19">
        <v>51.565567305267699</v>
      </c>
      <c r="AL38" s="19">
        <v>-0.100556015968322</v>
      </c>
      <c r="AN38" s="19">
        <f t="shared" si="3"/>
        <v>36</v>
      </c>
      <c r="AP38" s="91" t="s">
        <v>980</v>
      </c>
    </row>
    <row r="39" spans="1:44" x14ac:dyDescent="0.25">
      <c r="A39" s="19" t="s">
        <v>674</v>
      </c>
      <c r="B39" s="26" t="s">
        <v>381</v>
      </c>
      <c r="C39" s="19" t="s">
        <v>71</v>
      </c>
      <c r="D39" s="19" t="s">
        <v>382</v>
      </c>
      <c r="H39" s="74" t="str">
        <f>IF(AND("" &lt;&gt; TRIM(AE39), IsBold(AE39)), AE39, SUBSTITUTE(IF("" &lt;&gt; AD39, AD39, AE39), ")", ""))</f>
        <v>EC1V 8DA</v>
      </c>
      <c r="I39" s="19">
        <f t="shared" si="5"/>
        <v>51.527822</v>
      </c>
      <c r="J39" s="19">
        <f t="shared" si="6"/>
        <v>-9.7649624000000004E-2</v>
      </c>
      <c r="L39" s="19">
        <v>83</v>
      </c>
      <c r="R39" s="19"/>
      <c r="T39" s="19">
        <v>6941</v>
      </c>
      <c r="U39" s="19" t="s">
        <v>56</v>
      </c>
      <c r="W39" s="20" t="s">
        <v>982</v>
      </c>
      <c r="X39" s="19" t="s">
        <v>77</v>
      </c>
      <c r="Y39" s="26" t="s">
        <v>123</v>
      </c>
      <c r="Z39" s="26" t="s">
        <v>90</v>
      </c>
      <c r="AA39" s="26" t="s">
        <v>171</v>
      </c>
      <c r="AB39" s="82" t="str">
        <f t="shared" si="4"/>
        <v>https://www.google.co.uk/maps/search/?api=1&amp;query=51.527822,-0.097649624</v>
      </c>
      <c r="AD39" s="19" t="s">
        <v>238</v>
      </c>
      <c r="AE39" s="19" t="s">
        <v>238</v>
      </c>
      <c r="AG39" s="19">
        <v>3</v>
      </c>
      <c r="AH39" s="19" t="s">
        <v>1130</v>
      </c>
      <c r="AK39" s="19">
        <v>51.527822</v>
      </c>
      <c r="AL39" s="19">
        <v>-9.7649624000000004E-2</v>
      </c>
      <c r="AN39" s="19">
        <f t="shared" si="3"/>
        <v>37</v>
      </c>
      <c r="AP39" s="91" t="s">
        <v>983</v>
      </c>
    </row>
    <row r="40" spans="1:44" x14ac:dyDescent="0.25">
      <c r="A40" s="19" t="s">
        <v>628</v>
      </c>
      <c r="B40" s="26" t="s">
        <v>351</v>
      </c>
      <c r="C40" s="19" t="s">
        <v>71</v>
      </c>
      <c r="D40" s="19" t="s">
        <v>3569</v>
      </c>
      <c r="H40" s="74" t="str">
        <f>IF(AND("" &lt;&gt; TRIM(AE40), IsBold(AE40)), AE40, SUBSTITUTE(IF("" &lt;&gt; AD40, AD40, AE40), ")", ""))</f>
        <v>N7 0ND</v>
      </c>
      <c r="I40" s="19">
        <f t="shared" si="5"/>
        <v>51.556881473099502</v>
      </c>
      <c r="J40" s="19">
        <f t="shared" si="6"/>
        <v>-0.12657019190899399</v>
      </c>
      <c r="L40" s="19">
        <v>44</v>
      </c>
      <c r="R40" s="19"/>
      <c r="T40" s="19">
        <v>12628</v>
      </c>
      <c r="U40" s="19" t="s">
        <v>70</v>
      </c>
      <c r="W40" s="20" t="s">
        <v>985</v>
      </c>
      <c r="X40" s="19" t="s">
        <v>77</v>
      </c>
      <c r="Y40" s="26" t="s">
        <v>132</v>
      </c>
      <c r="Z40" s="25">
        <v>0</v>
      </c>
      <c r="AA40" s="26" t="s">
        <v>184</v>
      </c>
      <c r="AB40" s="82" t="str">
        <f t="shared" si="4"/>
        <v>https://www.google.co.uk/maps/search/?api=1&amp;query=51.5568814730995,-0.126570191908994</v>
      </c>
      <c r="AD40" s="19" t="s">
        <v>250</v>
      </c>
      <c r="AE40" s="19" t="s">
        <v>250</v>
      </c>
      <c r="AG40" s="19">
        <v>3</v>
      </c>
      <c r="AH40" s="19" t="s">
        <v>1129</v>
      </c>
      <c r="AK40" s="19">
        <v>51.556881473099502</v>
      </c>
      <c r="AL40" s="19">
        <v>-0.12657019190899399</v>
      </c>
      <c r="AN40" s="19">
        <f t="shared" si="3"/>
        <v>38</v>
      </c>
      <c r="AP40" s="91" t="s">
        <v>986</v>
      </c>
    </row>
    <row r="41" spans="1:44" s="74" customFormat="1" x14ac:dyDescent="0.25">
      <c r="A41" s="74" t="s">
        <v>665</v>
      </c>
      <c r="B41" s="82" t="s">
        <v>375</v>
      </c>
      <c r="C41" s="74" t="s">
        <v>71</v>
      </c>
      <c r="D41" s="74" t="s">
        <v>1189</v>
      </c>
      <c r="F41" s="87"/>
      <c r="H41" s="74" t="str">
        <f>IF(AND("" &lt;&gt; TRIM(AE41), IsBold(AE41)), AE41, SUBSTITUTE(IF("" &lt;&gt; AD41, AD41, AE41), ")", ""))</f>
        <v>EC1R 0EA</v>
      </c>
      <c r="I41" s="74">
        <f t="shared" si="5"/>
        <v>51.523560341322202</v>
      </c>
      <c r="J41" s="74">
        <f t="shared" si="6"/>
        <v>-0.10558786565784101</v>
      </c>
      <c r="L41" s="74">
        <v>162</v>
      </c>
      <c r="T41" s="74">
        <v>6856</v>
      </c>
      <c r="U41" s="74" t="s">
        <v>54</v>
      </c>
      <c r="W41" s="83" t="s">
        <v>988</v>
      </c>
      <c r="X41" s="74" t="s">
        <v>77</v>
      </c>
      <c r="Y41" s="82" t="s">
        <v>122</v>
      </c>
      <c r="Z41" s="82" t="s">
        <v>89</v>
      </c>
      <c r="AA41" s="82" t="s">
        <v>170</v>
      </c>
      <c r="AB41" s="82" t="str">
        <f t="shared" si="4"/>
        <v>https://www.google.co.uk/maps/search/?api=1&amp;query=51.5235603413222,-0.105587865657841</v>
      </c>
      <c r="AD41" s="74" t="s">
        <v>236</v>
      </c>
      <c r="AE41" s="74" t="s">
        <v>237</v>
      </c>
      <c r="AG41" s="74">
        <v>0</v>
      </c>
      <c r="AH41" s="74" t="s">
        <v>1129</v>
      </c>
      <c r="AK41" s="74">
        <v>51.523560341322202</v>
      </c>
      <c r="AL41" s="74">
        <v>-0.10558786565784101</v>
      </c>
      <c r="AN41" s="74">
        <f t="shared" si="3"/>
        <v>39</v>
      </c>
      <c r="AP41" s="92" t="s">
        <v>989</v>
      </c>
      <c r="AQ41" s="92"/>
      <c r="AR41" s="74" t="s">
        <v>1190</v>
      </c>
    </row>
    <row r="42" spans="1:44" x14ac:dyDescent="0.25">
      <c r="A42" s="19" t="s">
        <v>631</v>
      </c>
      <c r="B42" s="26" t="s">
        <v>352</v>
      </c>
      <c r="C42" s="19" t="s">
        <v>71</v>
      </c>
      <c r="D42" s="19" t="s">
        <v>353</v>
      </c>
      <c r="H42" s="74" t="str">
        <f>IF(AND("" &lt;&gt; TRIM(AE42), IsBold(AE42)), AE42, SUBSTITUTE(IF("" &lt;&gt; AD42, AD42, AE42), ")", ""))</f>
        <v>N1 8PF</v>
      </c>
      <c r="I42" s="19">
        <f t="shared" si="5"/>
        <v>51.537165447157498</v>
      </c>
      <c r="J42" s="19">
        <f t="shared" si="6"/>
        <v>-9.5713957781238201E-2</v>
      </c>
      <c r="L42" s="19">
        <v>109</v>
      </c>
      <c r="R42" s="19"/>
      <c r="T42" s="19">
        <v>10339</v>
      </c>
      <c r="U42" s="19" t="s">
        <v>65</v>
      </c>
      <c r="W42" s="20" t="s">
        <v>991</v>
      </c>
      <c r="X42" s="19" t="s">
        <v>77</v>
      </c>
      <c r="Y42" s="26" t="s">
        <v>129</v>
      </c>
      <c r="Z42" s="26" t="s">
        <v>92</v>
      </c>
      <c r="AA42" s="26" t="s">
        <v>179</v>
      </c>
      <c r="AB42" s="82" t="str">
        <f t="shared" si="4"/>
        <v>https://www.google.co.uk/maps/search/?api=1&amp;query=51.5371654471575,-0.0957139577812382</v>
      </c>
      <c r="AD42" s="19" t="s">
        <v>267</v>
      </c>
      <c r="AE42" s="19" t="s">
        <v>267</v>
      </c>
      <c r="AG42" s="19">
        <v>0</v>
      </c>
      <c r="AH42" s="19" t="s">
        <v>1130</v>
      </c>
      <c r="AK42" s="19">
        <v>51.537165447157498</v>
      </c>
      <c r="AL42" s="19">
        <v>-9.5713957781238201E-2</v>
      </c>
      <c r="AN42" s="19">
        <f t="shared" si="3"/>
        <v>40</v>
      </c>
      <c r="AP42" s="91" t="s">
        <v>992</v>
      </c>
    </row>
    <row r="43" spans="1:44" x14ac:dyDescent="0.25">
      <c r="A43" s="19" t="s">
        <v>652</v>
      </c>
      <c r="B43" s="26" t="s">
        <v>366</v>
      </c>
      <c r="C43" s="19" t="s">
        <v>71</v>
      </c>
      <c r="D43" s="19" t="s">
        <v>3564</v>
      </c>
      <c r="H43" s="74" t="str">
        <f>IF(AND("" &lt;&gt; TRIM(AE43), IsBold(AE43)), AE43, SUBSTITUTE(IF("" &lt;&gt; AD43, AD43, AE43), ")", ""))</f>
        <v>N19 5RR</v>
      </c>
      <c r="I43" s="19">
        <f t="shared" si="5"/>
        <v>51.565559805618904</v>
      </c>
      <c r="J43" s="19">
        <f t="shared" si="6"/>
        <v>-0.100550651550292</v>
      </c>
      <c r="L43" s="19">
        <v>306</v>
      </c>
      <c r="R43" s="19"/>
      <c r="T43" s="19">
        <v>10719</v>
      </c>
      <c r="U43" s="19" t="s">
        <v>63</v>
      </c>
      <c r="W43" s="20" t="s">
        <v>994</v>
      </c>
      <c r="X43" s="19" t="s">
        <v>77</v>
      </c>
      <c r="Y43" s="26" t="s">
        <v>128</v>
      </c>
      <c r="Z43" s="25">
        <v>0</v>
      </c>
      <c r="AA43" s="26" t="s">
        <v>178</v>
      </c>
      <c r="AB43" s="82" t="str">
        <f t="shared" si="4"/>
        <v>https://www.google.co.uk/maps/search/?api=1&amp;query=51.5655598056189,-0.100550651550292</v>
      </c>
      <c r="AD43" s="19" t="s">
        <v>277</v>
      </c>
      <c r="AE43" s="19" t="s">
        <v>277</v>
      </c>
      <c r="AG43" s="19">
        <v>0</v>
      </c>
      <c r="AH43" s="19" t="s">
        <v>1129</v>
      </c>
      <c r="AK43" s="19">
        <v>51.565559805618904</v>
      </c>
      <c r="AL43" s="19">
        <v>-0.100550651550292</v>
      </c>
      <c r="AN43" s="19">
        <f t="shared" si="3"/>
        <v>41</v>
      </c>
      <c r="AP43" s="91" t="s">
        <v>986</v>
      </c>
    </row>
    <row r="44" spans="1:44" x14ac:dyDescent="0.25">
      <c r="A44" s="19" t="s">
        <v>634</v>
      </c>
      <c r="B44" s="26" t="s">
        <v>354</v>
      </c>
      <c r="C44" s="19" t="s">
        <v>71</v>
      </c>
      <c r="D44" s="19" t="s">
        <v>355</v>
      </c>
      <c r="H44" s="74" t="str">
        <f>IF(AND("" &lt;&gt; TRIM(AE44), IsBold(AE44)), AE44, SUBSTITUTE(IF("" &lt;&gt; AD44, AD44, AE44), ")", ""))</f>
        <v>N1 4PL</v>
      </c>
      <c r="I44" s="19">
        <f t="shared" si="5"/>
        <v>51.548848733814602</v>
      </c>
      <c r="J44" s="19">
        <f t="shared" si="6"/>
        <v>-8.0037133887809198E-2</v>
      </c>
      <c r="L44" s="19">
        <v>74</v>
      </c>
      <c r="R44" s="19"/>
      <c r="T44" s="19">
        <v>14995</v>
      </c>
      <c r="U44" s="19" t="s">
        <v>67</v>
      </c>
      <c r="W44" s="20" t="s">
        <v>997</v>
      </c>
      <c r="X44" s="19" t="s">
        <v>77</v>
      </c>
      <c r="Y44" s="19"/>
      <c r="Z44" s="25">
        <v>0</v>
      </c>
      <c r="AA44" s="26" t="s">
        <v>181</v>
      </c>
      <c r="AB44" s="82" t="str">
        <f t="shared" si="4"/>
        <v>https://www.google.co.uk/maps/search/?api=1&amp;query=51.5488487338146,-0.0800371338878092</v>
      </c>
      <c r="AD44" s="19" t="s">
        <v>280</v>
      </c>
      <c r="AE44" s="19" t="s">
        <v>280</v>
      </c>
      <c r="AG44" s="19">
        <v>0</v>
      </c>
      <c r="AH44" s="19" t="s">
        <v>1132</v>
      </c>
      <c r="AK44" s="19">
        <v>51.548848733814602</v>
      </c>
      <c r="AL44" s="19">
        <v>-8.0037133887809198E-2</v>
      </c>
      <c r="AN44" s="19">
        <f t="shared" si="3"/>
        <v>42</v>
      </c>
      <c r="AP44" s="91" t="s">
        <v>998</v>
      </c>
    </row>
    <row r="45" spans="1:44" x14ac:dyDescent="0.25">
      <c r="A45" s="19" t="s">
        <v>637</v>
      </c>
      <c r="B45" s="26" t="s">
        <v>356</v>
      </c>
      <c r="C45" s="19" t="s">
        <v>71</v>
      </c>
      <c r="D45" s="19" t="s">
        <v>357</v>
      </c>
      <c r="H45" s="74" t="str">
        <f>IF(AND("" &lt;&gt; TRIM(AE45), IsBold(AE45)), AE45, SUBSTITUTE(IF("" &lt;&gt; AD45, AD45, AE45), ")", ""))</f>
        <v>N7 9JE</v>
      </c>
      <c r="I45" s="19">
        <f t="shared" si="5"/>
        <v>51.552510339039401</v>
      </c>
      <c r="J45" s="19">
        <f t="shared" si="6"/>
        <v>-0.121301754601159</v>
      </c>
      <c r="L45" s="19">
        <v>268</v>
      </c>
      <c r="R45" s="19"/>
      <c r="T45" s="19">
        <v>13877</v>
      </c>
      <c r="U45" s="19" t="s">
        <v>60</v>
      </c>
      <c r="W45" s="20" t="s">
        <v>1000</v>
      </c>
      <c r="X45" s="19" t="s">
        <v>77</v>
      </c>
      <c r="Y45" s="19"/>
      <c r="Z45" s="25">
        <v>0</v>
      </c>
      <c r="AA45" s="26" t="s">
        <v>175</v>
      </c>
      <c r="AB45" s="82" t="str">
        <f t="shared" si="4"/>
        <v>https://www.google.co.uk/maps/search/?api=1&amp;query=51.5525103390394,-0.121301754601159</v>
      </c>
      <c r="AD45" s="19" t="s">
        <v>242</v>
      </c>
      <c r="AE45" s="19" t="s">
        <v>242</v>
      </c>
      <c r="AG45" s="19">
        <v>0</v>
      </c>
      <c r="AH45" s="19" t="s">
        <v>1132</v>
      </c>
      <c r="AK45" s="19">
        <v>51.552510339039401</v>
      </c>
      <c r="AL45" s="19">
        <v>-0.121301754601159</v>
      </c>
      <c r="AN45" s="19">
        <f t="shared" si="3"/>
        <v>43</v>
      </c>
      <c r="AP45" s="91" t="s">
        <v>1001</v>
      </c>
    </row>
    <row r="46" spans="1:44" x14ac:dyDescent="0.25">
      <c r="A46" s="19" t="s">
        <v>671</v>
      </c>
      <c r="B46" s="26" t="s">
        <v>379</v>
      </c>
      <c r="C46" s="19" t="s">
        <v>71</v>
      </c>
      <c r="D46" s="19" t="s">
        <v>380</v>
      </c>
      <c r="H46" s="74" t="str">
        <f>IF(AND("" &lt;&gt; TRIM(AE46), IsBold(AE46)), AE46, SUBSTITUTE(IF("" &lt;&gt; AD46, AD46, AE46), ")", ""))</f>
        <v>EC1R 1XX</v>
      </c>
      <c r="I46" s="19">
        <f t="shared" si="5"/>
        <v>51.530051380484103</v>
      </c>
      <c r="J46" s="19">
        <f t="shared" si="6"/>
        <v>-0.108695179224014</v>
      </c>
      <c r="L46" s="19">
        <v>72</v>
      </c>
      <c r="R46" s="19"/>
      <c r="T46" s="19" t="s">
        <v>77</v>
      </c>
      <c r="U46" s="19" t="s">
        <v>77</v>
      </c>
      <c r="W46" s="20" t="s">
        <v>1004</v>
      </c>
      <c r="X46" s="19" t="s">
        <v>77</v>
      </c>
      <c r="Y46" s="19" t="s">
        <v>77</v>
      </c>
      <c r="Z46" s="25" t="s">
        <v>77</v>
      </c>
      <c r="AA46" s="25" t="s">
        <v>77</v>
      </c>
      <c r="AB46" s="82" t="str">
        <f t="shared" si="4"/>
        <v>https://www.google.co.uk/maps/search/?api=1&amp;query=51.5300513804841,-0.108695179224014</v>
      </c>
      <c r="AD46" s="19" t="s">
        <v>237</v>
      </c>
      <c r="AE46" s="19" t="s">
        <v>77</v>
      </c>
      <c r="AG46" s="19">
        <v>3</v>
      </c>
      <c r="AH46" s="19" t="s">
        <v>1130</v>
      </c>
      <c r="AK46" s="19">
        <v>51.530051380484103</v>
      </c>
      <c r="AL46" s="19">
        <v>-0.108695179224014</v>
      </c>
      <c r="AN46" s="19">
        <f t="shared" si="3"/>
        <v>44</v>
      </c>
      <c r="AP46" s="91" t="s">
        <v>1005</v>
      </c>
    </row>
    <row r="47" spans="1:44" x14ac:dyDescent="0.25">
      <c r="A47" s="19" t="s">
        <v>640</v>
      </c>
      <c r="B47" s="26" t="s">
        <v>358</v>
      </c>
      <c r="C47" s="19" t="s">
        <v>71</v>
      </c>
      <c r="D47" s="19" t="s">
        <v>359</v>
      </c>
      <c r="H47" s="74" t="str">
        <f>IF(AND("" &lt;&gt; TRIM(AE47), IsBold(AE47)), AE47, SUBSTITUTE(IF("" &lt;&gt; AD47, AD47, AE47), ")", ""))</f>
        <v>N4 3LD</v>
      </c>
      <c r="I47" s="19">
        <f t="shared" si="5"/>
        <v>51.565784000000001</v>
      </c>
      <c r="J47" s="19">
        <f t="shared" si="6"/>
        <v>-0.11353868</v>
      </c>
      <c r="L47" s="19">
        <v>232</v>
      </c>
      <c r="R47" s="19"/>
      <c r="T47" s="19">
        <v>25345</v>
      </c>
      <c r="U47" s="19" t="s">
        <v>69</v>
      </c>
      <c r="W47" s="20" t="s">
        <v>1007</v>
      </c>
      <c r="X47" s="26" t="s">
        <v>83</v>
      </c>
      <c r="Y47" s="26" t="s">
        <v>131</v>
      </c>
      <c r="Z47" s="25">
        <v>0</v>
      </c>
      <c r="AA47" s="26" t="s">
        <v>183</v>
      </c>
      <c r="AB47" s="82" t="str">
        <f t="shared" si="4"/>
        <v>https://www.google.co.uk/maps/search/?api=1&amp;query=51.565784,-0.11353868</v>
      </c>
      <c r="AD47" s="19" t="s">
        <v>248</v>
      </c>
      <c r="AE47" s="19" t="s">
        <v>248</v>
      </c>
      <c r="AG47" s="19">
        <v>2</v>
      </c>
      <c r="AH47" s="19" t="s">
        <v>1129</v>
      </c>
      <c r="AK47" s="19">
        <v>51.565784000000001</v>
      </c>
      <c r="AL47" s="19">
        <v>-0.11353868</v>
      </c>
      <c r="AN47" s="19">
        <f t="shared" si="3"/>
        <v>45</v>
      </c>
      <c r="AP47" s="91" t="s">
        <v>1008</v>
      </c>
    </row>
    <row r="48" spans="1:44" x14ac:dyDescent="0.25">
      <c r="A48" s="19" t="s">
        <v>643</v>
      </c>
      <c r="B48" s="26" t="s">
        <v>360</v>
      </c>
      <c r="C48" s="19" t="s">
        <v>71</v>
      </c>
      <c r="D48" s="19" t="s">
        <v>361</v>
      </c>
      <c r="H48" s="74" t="str">
        <f>IF(AND("" &lt;&gt; TRIM(AE48), IsBold(AE48)), AE48, SUBSTITUTE(IF("" &lt;&gt; AD48, AD48, AE48), ")", ""))</f>
        <v>N19 3AD</v>
      </c>
      <c r="I48" s="19">
        <f t="shared" si="5"/>
        <v>51.571299616046403</v>
      </c>
      <c r="J48" s="19">
        <f t="shared" si="6"/>
        <v>-0.122906882918061</v>
      </c>
      <c r="L48" s="19">
        <v>81</v>
      </c>
      <c r="R48" s="19"/>
      <c r="T48" s="19">
        <v>9307</v>
      </c>
      <c r="U48" s="19" t="s">
        <v>61</v>
      </c>
      <c r="W48" s="20" t="s">
        <v>1011</v>
      </c>
      <c r="X48" s="19" t="s">
        <v>77</v>
      </c>
      <c r="Y48" s="26" t="s">
        <v>127</v>
      </c>
      <c r="Z48" s="25">
        <v>0</v>
      </c>
      <c r="AA48" s="26" t="s">
        <v>176</v>
      </c>
      <c r="AB48" s="82" t="str">
        <f t="shared" si="4"/>
        <v>https://www.google.co.uk/maps/search/?api=1&amp;query=51.5712996160464,-0.122906882918061</v>
      </c>
      <c r="AD48" s="19" t="s">
        <v>244</v>
      </c>
      <c r="AE48" s="19" t="s">
        <v>244</v>
      </c>
      <c r="AG48" s="19">
        <v>0</v>
      </c>
      <c r="AH48" s="19" t="s">
        <v>1129</v>
      </c>
      <c r="AK48" s="19">
        <v>51.571299616046403</v>
      </c>
      <c r="AL48" s="19">
        <v>-0.122906882918061</v>
      </c>
      <c r="AN48" s="19">
        <f t="shared" si="3"/>
        <v>46</v>
      </c>
      <c r="AP48" s="91" t="s">
        <v>1012</v>
      </c>
    </row>
    <row r="49" spans="1:42" x14ac:dyDescent="0.25">
      <c r="A49" s="19" t="s">
        <v>607</v>
      </c>
      <c r="B49" s="26" t="s">
        <v>338</v>
      </c>
      <c r="C49" s="19" t="s">
        <v>71</v>
      </c>
      <c r="D49" s="19" t="s">
        <v>339</v>
      </c>
      <c r="H49" s="74" t="str">
        <f>IF(AND("" &lt;&gt; TRIM(AE49), IsBold(AE49)), AE49, SUBSTITUTE(IF("" &lt;&gt; AD49, AD49, AE49), ")", ""))</f>
        <v>N1 2TX</v>
      </c>
      <c r="I49" s="19">
        <f t="shared" si="5"/>
        <v>51.538373999999997</v>
      </c>
      <c r="J49" s="19">
        <f t="shared" si="6"/>
        <v>-0.10180962</v>
      </c>
      <c r="L49" s="19">
        <v>207</v>
      </c>
      <c r="R49" s="19"/>
      <c r="T49" s="19">
        <v>6128</v>
      </c>
      <c r="U49" s="19" t="s">
        <v>66</v>
      </c>
      <c r="W49" s="20" t="s">
        <v>1014</v>
      </c>
      <c r="X49" s="19" t="s">
        <v>77</v>
      </c>
      <c r="Y49" s="26" t="s">
        <v>129</v>
      </c>
      <c r="Z49" s="26" t="s">
        <v>93</v>
      </c>
      <c r="AA49" s="26" t="s">
        <v>180</v>
      </c>
      <c r="AB49" s="82" t="str">
        <f t="shared" si="4"/>
        <v>https://www.google.co.uk/maps/search/?api=1&amp;query=51.538374,-0.10180962</v>
      </c>
      <c r="AD49" s="19" t="s">
        <v>246</v>
      </c>
      <c r="AE49" s="19" t="s">
        <v>246</v>
      </c>
      <c r="AG49" s="19">
        <v>3</v>
      </c>
      <c r="AH49" s="19" t="s">
        <v>1129</v>
      </c>
      <c r="AK49" s="19">
        <v>51.538373999999997</v>
      </c>
      <c r="AL49" s="19">
        <v>-0.10180962</v>
      </c>
      <c r="AN49" s="19">
        <f t="shared" si="3"/>
        <v>47</v>
      </c>
      <c r="AP49" s="91" t="s">
        <v>1015</v>
      </c>
    </row>
    <row r="50" spans="1:42" x14ac:dyDescent="0.25">
      <c r="A50" s="19" t="s">
        <v>653</v>
      </c>
      <c r="B50" s="26" t="s">
        <v>367</v>
      </c>
      <c r="C50" s="19" t="s">
        <v>71</v>
      </c>
      <c r="D50" s="19" t="s">
        <v>368</v>
      </c>
      <c r="H50" s="74" t="str">
        <f>IF(AND("" &lt;&gt; TRIM(AE50), IsBold(AE50)), AE50, SUBSTITUTE(IF("" &lt;&gt; AD50, AD50, AE50), ")", ""))</f>
        <v>N4 3DQ</v>
      </c>
      <c r="I50" s="19">
        <f t="shared" si="5"/>
        <v>51.570076999999998</v>
      </c>
      <c r="J50" s="19">
        <f t="shared" si="6"/>
        <v>-0.11657886000000001</v>
      </c>
      <c r="L50" s="19"/>
      <c r="R50" s="19"/>
      <c r="T50" s="19">
        <v>25345</v>
      </c>
      <c r="U50" s="19" t="s">
        <v>69</v>
      </c>
      <c r="W50" s="19"/>
      <c r="X50" s="26" t="s">
        <v>83</v>
      </c>
      <c r="Y50" s="26" t="s">
        <v>131</v>
      </c>
      <c r="Z50" s="25">
        <v>0</v>
      </c>
      <c r="AA50" s="26" t="s">
        <v>183</v>
      </c>
      <c r="AB50" s="82" t="str">
        <f t="shared" si="4"/>
        <v>https://www.google.co.uk/maps/search/?api=1&amp;query=51.570077,-0.11657886</v>
      </c>
      <c r="AD50" s="19" t="s">
        <v>460</v>
      </c>
      <c r="AE50" s="19" t="s">
        <v>460</v>
      </c>
      <c r="AG50" s="19">
        <v>3</v>
      </c>
      <c r="AH50" s="19" t="s">
        <v>1129</v>
      </c>
      <c r="AK50" s="19">
        <v>51.570076999999998</v>
      </c>
      <c r="AL50" s="19">
        <v>-0.11657886000000001</v>
      </c>
      <c r="AN50" s="19">
        <f t="shared" si="3"/>
        <v>48</v>
      </c>
    </row>
    <row r="51" spans="1:42" x14ac:dyDescent="0.25">
      <c r="A51" s="19" t="s">
        <v>656</v>
      </c>
      <c r="B51" s="26" t="s">
        <v>369</v>
      </c>
      <c r="C51" s="19" t="s">
        <v>71</v>
      </c>
      <c r="D51" s="19" t="s">
        <v>370</v>
      </c>
      <c r="H51" s="74" t="str">
        <f>IF(AND("" &lt;&gt; TRIM(AE51), IsBold(AE51)), AE51, SUBSTITUTE(IF("" &lt;&gt; AD51, AD51, AE51), ")", ""))</f>
        <v>N1 9UL</v>
      </c>
      <c r="I51" s="19">
        <f t="shared" si="5"/>
        <v>51.533426749770904</v>
      </c>
      <c r="J51" s="19">
        <f t="shared" si="6"/>
        <v>-0.11202074867818899</v>
      </c>
      <c r="L51" s="19">
        <v>70</v>
      </c>
      <c r="R51" s="19"/>
      <c r="T51" s="19">
        <v>5972</v>
      </c>
      <c r="U51" s="19" t="s">
        <v>68</v>
      </c>
      <c r="W51" s="20" t="s">
        <v>1018</v>
      </c>
      <c r="X51" s="19" t="s">
        <v>77</v>
      </c>
      <c r="Y51" s="26" t="s">
        <v>130</v>
      </c>
      <c r="Z51" s="25">
        <v>0</v>
      </c>
      <c r="AA51" s="26" t="s">
        <v>182</v>
      </c>
      <c r="AB51" s="82" t="str">
        <f t="shared" si="4"/>
        <v>https://www.google.co.uk/maps/search/?api=1&amp;query=51.5334267497709,-0.112020748678189</v>
      </c>
      <c r="AD51" s="19" t="s">
        <v>247</v>
      </c>
      <c r="AE51" s="19" t="s">
        <v>247</v>
      </c>
      <c r="AG51" s="19">
        <v>4</v>
      </c>
      <c r="AH51" s="19" t="s">
        <v>1130</v>
      </c>
      <c r="AK51" s="19">
        <v>51.533426749770904</v>
      </c>
      <c r="AL51" s="19">
        <v>-0.11202074867818899</v>
      </c>
      <c r="AN51" s="19">
        <f t="shared" si="3"/>
        <v>49</v>
      </c>
      <c r="AP51" s="91" t="s">
        <v>1019</v>
      </c>
    </row>
    <row r="52" spans="1:42" x14ac:dyDescent="0.25">
      <c r="A52" s="19" t="s">
        <v>659</v>
      </c>
      <c r="B52" s="26" t="s">
        <v>371</v>
      </c>
      <c r="C52" s="19" t="s">
        <v>71</v>
      </c>
      <c r="D52" s="19" t="s">
        <v>372</v>
      </c>
      <c r="H52" s="74" t="str">
        <f>IF(AND("" &lt;&gt; TRIM(AE52), IsBold(AE52)), AE52, SUBSTITUTE(IF("" &lt;&gt; AD52, AD52, AE52), ")", ""))</f>
        <v>N1 2DF</v>
      </c>
      <c r="I52" s="19">
        <f t="shared" si="5"/>
        <v>51.540949565646301</v>
      </c>
      <c r="J52" s="19">
        <f t="shared" si="6"/>
        <v>-9.7240249247532107E-2</v>
      </c>
      <c r="L52" s="19">
        <v>136</v>
      </c>
      <c r="R52" s="19"/>
      <c r="T52" s="19">
        <v>8039</v>
      </c>
      <c r="U52" s="19" t="s">
        <v>52</v>
      </c>
      <c r="W52" s="20" t="s">
        <v>1021</v>
      </c>
      <c r="X52" s="19" t="s">
        <v>77</v>
      </c>
      <c r="Y52" s="26" t="s">
        <v>121</v>
      </c>
      <c r="Z52" s="25">
        <v>0</v>
      </c>
      <c r="AA52" s="26" t="s">
        <v>168</v>
      </c>
      <c r="AB52" s="82" t="str">
        <f t="shared" si="4"/>
        <v>https://www.google.co.uk/maps/search/?api=1&amp;query=51.5409495656463,-0.0972402492475321</v>
      </c>
      <c r="AD52" s="19" t="s">
        <v>235</v>
      </c>
      <c r="AE52" s="19" t="s">
        <v>235</v>
      </c>
      <c r="AG52" s="19">
        <v>0</v>
      </c>
      <c r="AH52" s="19" t="s">
        <v>1132</v>
      </c>
      <c r="AK52" s="19">
        <v>51.540949565646301</v>
      </c>
      <c r="AL52" s="19">
        <v>-9.7240249247532107E-2</v>
      </c>
      <c r="AN52" s="19">
        <f t="shared" si="3"/>
        <v>50</v>
      </c>
      <c r="AP52" s="91" t="s">
        <v>1022</v>
      </c>
    </row>
    <row r="53" spans="1:42" x14ac:dyDescent="0.25">
      <c r="A53" s="19" t="s">
        <v>662</v>
      </c>
      <c r="B53" s="26" t="s">
        <v>373</v>
      </c>
      <c r="C53" s="19" t="s">
        <v>71</v>
      </c>
      <c r="D53" s="19" t="s">
        <v>374</v>
      </c>
      <c r="H53" s="74" t="str">
        <f>IF(AND("" &lt;&gt; TRIM(AE53), IsBold(AE53)), AE53, SUBSTITUTE(IF("" &lt;&gt; AD53, AD53, AE53), ")", ""))</f>
        <v>N4 2QP</v>
      </c>
      <c r="I53" s="19">
        <f t="shared" si="5"/>
        <v>51.559954458674099</v>
      </c>
      <c r="J53" s="19">
        <f t="shared" si="6"/>
        <v>-0.10392889380455</v>
      </c>
      <c r="L53" s="19">
        <v>155</v>
      </c>
      <c r="R53" s="19"/>
      <c r="T53" s="19">
        <v>8196</v>
      </c>
      <c r="U53" s="19" t="s">
        <v>57</v>
      </c>
      <c r="W53" s="20" t="s">
        <v>1024</v>
      </c>
      <c r="X53" s="19" t="s">
        <v>77</v>
      </c>
      <c r="Y53" s="26" t="s">
        <v>124</v>
      </c>
      <c r="Z53" s="25">
        <v>0</v>
      </c>
      <c r="AA53" s="26" t="s">
        <v>172</v>
      </c>
      <c r="AB53" s="82" t="str">
        <f t="shared" si="4"/>
        <v>https://www.google.co.uk/maps/search/?api=1&amp;query=51.5599544586741,-0.10392889380455</v>
      </c>
      <c r="AD53" s="19" t="s">
        <v>239</v>
      </c>
      <c r="AE53" s="19" t="s">
        <v>239</v>
      </c>
      <c r="AG53" s="19">
        <v>0</v>
      </c>
      <c r="AH53" s="19" t="s">
        <v>1132</v>
      </c>
      <c r="AK53" s="19">
        <v>51.559954458674099</v>
      </c>
      <c r="AL53" s="19">
        <v>-0.10392889380455</v>
      </c>
      <c r="AN53" s="19">
        <f t="shared" si="3"/>
        <v>51</v>
      </c>
      <c r="AP53" s="91" t="s">
        <v>1025</v>
      </c>
    </row>
    <row r="54" spans="1:42" x14ac:dyDescent="0.25">
      <c r="A54" s="19" t="s">
        <v>615</v>
      </c>
      <c r="B54" s="26" t="s">
        <v>346</v>
      </c>
      <c r="C54" s="19" t="s">
        <v>71</v>
      </c>
      <c r="D54" s="19" t="s">
        <v>51</v>
      </c>
      <c r="H54" s="74" t="str">
        <f>IF(AND("" &lt;&gt; TRIM(AE54), IsBold(AE54)), AE54, SUBSTITUTE(IF("" &lt;&gt; AD54, AD54, AE54), ")", ""))</f>
        <v>N1 0ES</v>
      </c>
      <c r="I54" s="19">
        <f t="shared" si="5"/>
        <v>51.535916660772003</v>
      </c>
      <c r="J54" s="19">
        <f t="shared" si="6"/>
        <v>-0.110737476021272</v>
      </c>
      <c r="L54" s="19">
        <v>66</v>
      </c>
      <c r="R54" s="19"/>
      <c r="T54" s="19" t="s">
        <v>77</v>
      </c>
      <c r="U54" s="19" t="s">
        <v>77</v>
      </c>
      <c r="W54" s="20" t="s">
        <v>1028</v>
      </c>
      <c r="X54" s="20" t="s">
        <v>82</v>
      </c>
      <c r="Y54" s="19" t="s">
        <v>77</v>
      </c>
      <c r="Z54" s="25" t="s">
        <v>77</v>
      </c>
      <c r="AA54" s="25" t="s">
        <v>77</v>
      </c>
      <c r="AB54" s="82" t="str">
        <f t="shared" si="4"/>
        <v>https://www.google.co.uk/maps/search/?api=1&amp;query=51.535916660772,-0.110737476021272</v>
      </c>
      <c r="AD54" s="19" t="s">
        <v>234</v>
      </c>
      <c r="AE54" s="19" t="s">
        <v>77</v>
      </c>
      <c r="AG54" s="19">
        <v>0</v>
      </c>
      <c r="AH54" s="19" t="s">
        <v>1132</v>
      </c>
      <c r="AK54" s="19">
        <v>51.535916660772003</v>
      </c>
      <c r="AL54" s="19">
        <v>-0.110737476021272</v>
      </c>
      <c r="AN54" s="19">
        <f t="shared" si="3"/>
        <v>52</v>
      </c>
      <c r="AP54" s="91" t="s">
        <v>959</v>
      </c>
    </row>
    <row r="55" spans="1:42" x14ac:dyDescent="0.25">
      <c r="A55" s="19" t="s">
        <v>679</v>
      </c>
      <c r="B55" s="26" t="s">
        <v>387</v>
      </c>
      <c r="C55" s="19" t="s">
        <v>71</v>
      </c>
      <c r="D55" s="19" t="s">
        <v>3570</v>
      </c>
      <c r="H55" s="74" t="str">
        <f>IF(AND("" &lt;&gt; TRIM(AE55), IsBold(AE55)), AE55, SUBSTITUTE(IF("" &lt;&gt; AD55, AD55, AE55), ")", ""))</f>
        <v>EC1R 1XX</v>
      </c>
      <c r="I55" s="19">
        <f t="shared" si="5"/>
        <v>51.5300671090815</v>
      </c>
      <c r="J55" s="19">
        <f t="shared" si="6"/>
        <v>-0.108815501266303</v>
      </c>
      <c r="L55" s="19"/>
      <c r="R55" s="19"/>
      <c r="T55" s="19">
        <v>6856</v>
      </c>
      <c r="U55" s="19" t="s">
        <v>54</v>
      </c>
      <c r="W55" s="20" t="s">
        <v>1029</v>
      </c>
      <c r="X55" s="19" t="s">
        <v>77</v>
      </c>
      <c r="Y55" s="26" t="s">
        <v>122</v>
      </c>
      <c r="Z55" s="25">
        <v>0</v>
      </c>
      <c r="AA55" s="26" t="s">
        <v>170</v>
      </c>
      <c r="AB55" s="82" t="str">
        <f t="shared" si="4"/>
        <v>https://www.google.co.uk/maps/search/?api=1&amp;query=51.5300671090815,-0.108815501266303</v>
      </c>
      <c r="AE55" s="19" t="s">
        <v>237</v>
      </c>
      <c r="AG55" s="19">
        <v>0</v>
      </c>
      <c r="AH55" s="19" t="s">
        <v>1132</v>
      </c>
      <c r="AK55" s="19">
        <v>51.5300671090815</v>
      </c>
      <c r="AL55" s="19">
        <v>-0.108815501266303</v>
      </c>
      <c r="AN55" s="19">
        <f t="shared" si="3"/>
        <v>53</v>
      </c>
    </row>
    <row r="56" spans="1:42" x14ac:dyDescent="0.25">
      <c r="A56" s="19" t="s">
        <v>766</v>
      </c>
      <c r="B56" s="26" t="s">
        <v>423</v>
      </c>
      <c r="C56" s="19" t="s">
        <v>50</v>
      </c>
      <c r="D56" s="19" t="s">
        <v>424</v>
      </c>
      <c r="H56" s="74" t="str">
        <f>IF(AND("" &lt;&gt; TRIM(AE56), IsBold(AE56)), AE56, SUBSTITUTE(IF("" &lt;&gt; AD56, AD56, AE56), ")", ""))</f>
        <v>E3 3PN</v>
      </c>
      <c r="I56" s="19">
        <f t="shared" si="5"/>
        <v>51.520519005954199</v>
      </c>
      <c r="J56" s="19">
        <f t="shared" si="6"/>
        <v>-2.0099205887675799E-2</v>
      </c>
      <c r="L56" s="19">
        <v>161</v>
      </c>
      <c r="R56" s="19"/>
      <c r="T56" s="19">
        <v>6196</v>
      </c>
      <c r="U56" s="19" t="s">
        <v>37</v>
      </c>
      <c r="W56" s="20" t="s">
        <v>1031</v>
      </c>
      <c r="X56" s="19" t="s">
        <v>77</v>
      </c>
      <c r="Y56" s="26" t="s">
        <v>136</v>
      </c>
      <c r="Z56" s="26" t="s">
        <v>100</v>
      </c>
      <c r="AA56" s="26" t="s">
        <v>191</v>
      </c>
      <c r="AB56" s="82" t="str">
        <f t="shared" si="4"/>
        <v>https://www.google.co.uk/maps/search/?api=1&amp;query=51.5205190059542,-0.0200992058876758</v>
      </c>
      <c r="AD56" s="19" t="s">
        <v>1030</v>
      </c>
      <c r="AE56" s="19" t="s">
        <v>254</v>
      </c>
      <c r="AG56" s="19">
        <v>2</v>
      </c>
      <c r="AH56" s="19" t="s">
        <v>1129</v>
      </c>
      <c r="AK56" s="19">
        <v>51.520519005954199</v>
      </c>
      <c r="AL56" s="19">
        <v>-2.0099205887675799E-2</v>
      </c>
      <c r="AN56" s="19">
        <f t="shared" si="3"/>
        <v>54</v>
      </c>
      <c r="AP56" s="91" t="s">
        <v>1032</v>
      </c>
    </row>
    <row r="57" spans="1:42" x14ac:dyDescent="0.25">
      <c r="A57" s="19" t="s">
        <v>754</v>
      </c>
      <c r="B57" s="26" t="s">
        <v>415</v>
      </c>
      <c r="C57" s="19" t="s">
        <v>50</v>
      </c>
      <c r="D57" s="19" t="s">
        <v>753</v>
      </c>
      <c r="H57" s="74" t="str">
        <f>IF(AND("" &lt;&gt; TRIM(AE57), IsBold(AE57)), AE57, SUBSTITUTE(IF("" &lt;&gt; AD57, AD57, AE57), ")", ""))</f>
        <v>E14 0EY</v>
      </c>
      <c r="I57" s="19">
        <f t="shared" si="5"/>
        <v>51.510534327410198</v>
      </c>
      <c r="J57" s="19">
        <f t="shared" si="6"/>
        <v>-1.1635422706604E-2</v>
      </c>
      <c r="L57" s="19">
        <v>344</v>
      </c>
      <c r="R57" s="19"/>
      <c r="T57" s="19" t="s">
        <v>77</v>
      </c>
      <c r="U57" s="19" t="s">
        <v>77</v>
      </c>
      <c r="W57" s="20" t="s">
        <v>1034</v>
      </c>
      <c r="X57" s="19" t="s">
        <v>77</v>
      </c>
      <c r="Y57" s="19" t="s">
        <v>77</v>
      </c>
      <c r="Z57" s="25" t="s">
        <v>77</v>
      </c>
      <c r="AA57" s="25" t="s">
        <v>77</v>
      </c>
      <c r="AB57" s="82" t="str">
        <f t="shared" si="4"/>
        <v>https://www.google.co.uk/maps/search/?api=1&amp;query=51.5105343274102,-0.011635422706604</v>
      </c>
      <c r="AD57" s="19" t="s">
        <v>260</v>
      </c>
      <c r="AE57" s="19" t="s">
        <v>77</v>
      </c>
      <c r="AG57" s="19">
        <v>0</v>
      </c>
      <c r="AH57" s="19" t="s">
        <v>1132</v>
      </c>
      <c r="AK57" s="19">
        <v>51.510534327410198</v>
      </c>
      <c r="AL57" s="19">
        <v>-1.1635422706604E-2</v>
      </c>
      <c r="AN57" s="19">
        <f t="shared" si="3"/>
        <v>55</v>
      </c>
      <c r="AP57" s="91" t="s">
        <v>1035</v>
      </c>
    </row>
    <row r="58" spans="1:42" x14ac:dyDescent="0.25">
      <c r="A58" s="19" t="s">
        <v>758</v>
      </c>
      <c r="B58" s="26" t="s">
        <v>417</v>
      </c>
      <c r="C58" s="19" t="s">
        <v>50</v>
      </c>
      <c r="D58" s="19" t="s">
        <v>3563</v>
      </c>
      <c r="H58" s="74" t="str">
        <f>IF(AND("" &lt;&gt; TRIM(AE58), IsBold(AE58)), AE58, SUBSTITUTE(IF("" &lt;&gt; AD58, AD58, AE58), ")", ""))</f>
        <v>E14 8LH</v>
      </c>
      <c r="I58" s="19">
        <f t="shared" si="5"/>
        <v>51.499136</v>
      </c>
      <c r="J58" s="19">
        <f t="shared" si="6"/>
        <v>-2.3736838999999999E-2</v>
      </c>
      <c r="L58" s="19">
        <v>151</v>
      </c>
      <c r="R58" s="19"/>
      <c r="T58" s="19" t="s">
        <v>77</v>
      </c>
      <c r="U58" s="19" t="s">
        <v>77</v>
      </c>
      <c r="W58" s="20" t="s">
        <v>1038</v>
      </c>
      <c r="X58" s="19" t="s">
        <v>77</v>
      </c>
      <c r="Y58" s="19" t="s">
        <v>77</v>
      </c>
      <c r="Z58" s="25" t="s">
        <v>77</v>
      </c>
      <c r="AA58" s="25" t="s">
        <v>77</v>
      </c>
      <c r="AB58" s="82" t="str">
        <f t="shared" si="4"/>
        <v>https://www.google.co.uk/maps/search/?api=1&amp;query=51.499136,-0.023736839</v>
      </c>
      <c r="AD58" s="19" t="s">
        <v>256</v>
      </c>
      <c r="AE58" s="19" t="s">
        <v>77</v>
      </c>
      <c r="AG58" s="19">
        <v>0</v>
      </c>
      <c r="AH58" s="19" t="s">
        <v>1132</v>
      </c>
      <c r="AK58" s="19">
        <v>51.499136</v>
      </c>
      <c r="AL58" s="19">
        <v>-2.3736838999999999E-2</v>
      </c>
      <c r="AN58" s="19">
        <f t="shared" si="3"/>
        <v>56</v>
      </c>
      <c r="AP58" s="91" t="s">
        <v>1039</v>
      </c>
    </row>
    <row r="59" spans="1:42" x14ac:dyDescent="0.25">
      <c r="A59" s="19" t="s">
        <v>762</v>
      </c>
      <c r="B59" s="26" t="s">
        <v>419</v>
      </c>
      <c r="C59" s="19" t="s">
        <v>50</v>
      </c>
      <c r="D59" s="19" t="s">
        <v>420</v>
      </c>
      <c r="H59" s="74" t="str">
        <f>IF(AND("" &lt;&gt; TRIM(AE59), IsBold(AE59)), AE59, SUBSTITUTE(IF("" &lt;&gt; AD59, AD59, AE59), ")", ""))</f>
        <v>E14 3BN</v>
      </c>
      <c r="I59" s="19">
        <f t="shared" si="5"/>
        <v>51.4890609954114</v>
      </c>
      <c r="J59" s="19">
        <f t="shared" si="6"/>
        <v>-6.2535703182220398E-3</v>
      </c>
      <c r="L59" s="19">
        <v>99</v>
      </c>
      <c r="R59" s="19"/>
      <c r="T59" s="19">
        <v>32052</v>
      </c>
      <c r="U59" s="19" t="s">
        <v>38</v>
      </c>
      <c r="W59" s="20" t="s">
        <v>1042</v>
      </c>
      <c r="X59" s="19" t="s">
        <v>77</v>
      </c>
      <c r="Y59" s="26" t="s">
        <v>137</v>
      </c>
      <c r="Z59" s="25">
        <v>0</v>
      </c>
      <c r="AA59" s="26" t="s">
        <v>192</v>
      </c>
      <c r="AB59" s="82" t="str">
        <f t="shared" ref="AB59:AB78" si="7">IF("" = I59, "", SUBSTITUTE(SUBSTITUTE(GoogleStreetViewLinkFormat, "$lat$", I59), "$long$", J59))</f>
        <v>https://www.google.co.uk/maps/search/?api=1&amp;query=51.4890609954114,-0.00625357031822204</v>
      </c>
      <c r="AD59" s="19" t="s">
        <v>255</v>
      </c>
      <c r="AE59" s="19" t="s">
        <v>255</v>
      </c>
      <c r="AG59" s="19">
        <v>3</v>
      </c>
      <c r="AH59" s="19" t="s">
        <v>1130</v>
      </c>
      <c r="AK59" s="19">
        <v>51.4890609954114</v>
      </c>
      <c r="AL59" s="19">
        <v>-6.2535703182220398E-3</v>
      </c>
      <c r="AN59" s="19">
        <f t="shared" si="3"/>
        <v>57</v>
      </c>
      <c r="AP59" s="91" t="s">
        <v>1039</v>
      </c>
    </row>
    <row r="60" spans="1:42" x14ac:dyDescent="0.25">
      <c r="A60" s="19" t="s">
        <v>797</v>
      </c>
      <c r="B60" s="26" t="s">
        <v>442</v>
      </c>
      <c r="C60" s="19" t="s">
        <v>50</v>
      </c>
      <c r="D60" s="19" t="s">
        <v>443</v>
      </c>
      <c r="H60" s="74" t="str">
        <f>IF(AND("" &lt;&gt; TRIM(AE60), IsBold(AE60)), AE60, SUBSTITUTE(IF("" &lt;&gt; AD60, AD60, AE60), ")", ""))</f>
        <v>E1 6LY</v>
      </c>
      <c r="I60" s="19">
        <f t="shared" si="5"/>
        <v>51.519075999999998</v>
      </c>
      <c r="J60" s="19">
        <f t="shared" si="6"/>
        <v>-7.3683262999999999E-2</v>
      </c>
      <c r="L60" s="19">
        <v>207</v>
      </c>
      <c r="R60" s="19"/>
      <c r="T60" s="19">
        <v>12526</v>
      </c>
      <c r="U60" s="19" t="s">
        <v>44</v>
      </c>
      <c r="W60" s="20" t="s">
        <v>1043</v>
      </c>
      <c r="X60" s="19" t="s">
        <v>77</v>
      </c>
      <c r="Y60" s="26" t="s">
        <v>142</v>
      </c>
      <c r="Z60" s="26" t="s">
        <v>105</v>
      </c>
      <c r="AA60" s="26" t="s">
        <v>197</v>
      </c>
      <c r="AB60" s="82" t="str">
        <f t="shared" si="7"/>
        <v>https://www.google.co.uk/maps/search/?api=1&amp;query=51.519076,-0.073683263</v>
      </c>
      <c r="AD60" s="19" t="s">
        <v>263</v>
      </c>
      <c r="AE60" s="19" t="s">
        <v>263</v>
      </c>
      <c r="AG60" s="19">
        <v>1</v>
      </c>
      <c r="AH60" s="19" t="s">
        <v>1129</v>
      </c>
      <c r="AK60" s="19">
        <v>51.519075999999998</v>
      </c>
      <c r="AL60" s="19">
        <v>-7.3683262999999999E-2</v>
      </c>
      <c r="AN60" s="19">
        <f t="shared" ref="AN60:AN80" si="8">ROW() - 2</f>
        <v>58</v>
      </c>
      <c r="AP60" s="91" t="s">
        <v>1044</v>
      </c>
    </row>
    <row r="61" spans="1:42" x14ac:dyDescent="0.25">
      <c r="A61" s="19" t="s">
        <v>750</v>
      </c>
      <c r="B61" s="26" t="s">
        <v>413</v>
      </c>
      <c r="C61" s="19" t="s">
        <v>50</v>
      </c>
      <c r="D61" s="19" t="s">
        <v>414</v>
      </c>
      <c r="H61" s="74" t="str">
        <f>IF(AND("" &lt;&gt; TRIM(AE61), IsBold(AE61)), AE61, SUBSTITUTE(IF("" &lt;&gt; AD61, AD61, AE61), ")", ""))</f>
        <v>E14 0EY</v>
      </c>
      <c r="I61" s="19">
        <f t="shared" si="5"/>
        <v>51.510557353971699</v>
      </c>
      <c r="J61" s="19">
        <f t="shared" si="6"/>
        <v>-1.16386820278369E-2</v>
      </c>
      <c r="L61" s="19"/>
      <c r="R61" s="19"/>
      <c r="T61" s="19" t="s">
        <v>77</v>
      </c>
      <c r="U61" s="19" t="s">
        <v>77</v>
      </c>
      <c r="W61" s="19"/>
      <c r="X61" s="19" t="s">
        <v>77</v>
      </c>
      <c r="Y61" s="19" t="s">
        <v>77</v>
      </c>
      <c r="Z61" s="25" t="s">
        <v>77</v>
      </c>
      <c r="AA61" s="25" t="s">
        <v>77</v>
      </c>
      <c r="AB61" s="82" t="str">
        <f t="shared" si="7"/>
        <v>https://www.google.co.uk/maps/search/?api=1&amp;query=51.5105573539717,-0.0116386820278369</v>
      </c>
      <c r="AE61" s="19" t="s">
        <v>260</v>
      </c>
      <c r="AG61" s="19">
        <v>3</v>
      </c>
      <c r="AH61" s="19" t="s">
        <v>1130</v>
      </c>
      <c r="AK61" s="19">
        <v>51.510557353971699</v>
      </c>
      <c r="AL61" s="19">
        <v>-1.16386820278369E-2</v>
      </c>
      <c r="AN61" s="19">
        <f t="shared" si="8"/>
        <v>59</v>
      </c>
    </row>
    <row r="62" spans="1:42" x14ac:dyDescent="0.25">
      <c r="A62" s="19" t="s">
        <v>775</v>
      </c>
      <c r="B62" s="26" t="s">
        <v>428</v>
      </c>
      <c r="C62" s="19" t="s">
        <v>50</v>
      </c>
      <c r="D62" s="19" t="s">
        <v>429</v>
      </c>
      <c r="F62" s="86" t="s">
        <v>1184</v>
      </c>
      <c r="H62" s="74" t="str">
        <f>IF(AND("" &lt;&gt; TRIM(AE62), IsBold(AE62)), AE62, SUBSTITUTE(IF("" &lt;&gt; AD62, AD62, AE62), ")", ""))</f>
        <v>E14 7HA</v>
      </c>
      <c r="I62" s="19">
        <f t="shared" si="5"/>
        <v>51.51144</v>
      </c>
      <c r="J62" s="19">
        <f t="shared" si="6"/>
        <v>-2.8652011000000002E-2</v>
      </c>
      <c r="L62" s="19">
        <v>109</v>
      </c>
      <c r="R62" s="19"/>
      <c r="T62" s="19" t="s">
        <v>77</v>
      </c>
      <c r="U62" s="19" t="s">
        <v>77</v>
      </c>
      <c r="W62" s="20" t="s">
        <v>1049</v>
      </c>
      <c r="X62" s="19" t="s">
        <v>77</v>
      </c>
      <c r="Y62" s="19" t="s">
        <v>77</v>
      </c>
      <c r="Z62" s="25" t="s">
        <v>77</v>
      </c>
      <c r="AA62" s="25" t="s">
        <v>77</v>
      </c>
      <c r="AB62" s="82" t="str">
        <f t="shared" si="7"/>
        <v>https://www.google.co.uk/maps/search/?api=1&amp;query=51.51144,-0.028652011</v>
      </c>
      <c r="AD62" s="19" t="s">
        <v>257</v>
      </c>
      <c r="AE62" s="19" t="s">
        <v>77</v>
      </c>
      <c r="AG62" s="19">
        <v>2</v>
      </c>
      <c r="AH62" s="19" t="s">
        <v>1129</v>
      </c>
      <c r="AK62" s="19">
        <v>51.51144</v>
      </c>
      <c r="AL62" s="19">
        <v>-2.8652011000000002E-2</v>
      </c>
      <c r="AN62" s="19">
        <f t="shared" si="8"/>
        <v>60</v>
      </c>
      <c r="AP62" s="91" t="s">
        <v>1050</v>
      </c>
    </row>
    <row r="63" spans="1:42" x14ac:dyDescent="0.25">
      <c r="A63" s="19" t="s">
        <v>778</v>
      </c>
      <c r="B63" s="26" t="s">
        <v>430</v>
      </c>
      <c r="C63" s="19" t="s">
        <v>50</v>
      </c>
      <c r="D63" s="19" t="s">
        <v>40</v>
      </c>
      <c r="H63" s="74" t="str">
        <f>IF(AND("" &lt;&gt; TRIM(AE63), IsBold(AE63)), AE63, SUBSTITUTE(IF("" &lt;&gt; AD63, AD63, AE63), ")", ""))</f>
        <v>E14 7HP</v>
      </c>
      <c r="I63" s="19">
        <f t="shared" si="5"/>
        <v>51.511521000000002</v>
      </c>
      <c r="J63" s="19">
        <f t="shared" si="6"/>
        <v>-3.1357896000000003E-2</v>
      </c>
      <c r="L63" s="19"/>
      <c r="R63" s="19"/>
      <c r="T63" s="19">
        <v>13115</v>
      </c>
      <c r="U63" s="19" t="s">
        <v>39</v>
      </c>
      <c r="W63" s="19"/>
      <c r="X63" s="19" t="s">
        <v>77</v>
      </c>
      <c r="Y63" s="26" t="s">
        <v>138</v>
      </c>
      <c r="Z63" s="26" t="s">
        <v>101</v>
      </c>
      <c r="AA63" s="26" t="s">
        <v>193</v>
      </c>
      <c r="AB63" s="82" t="str">
        <f t="shared" si="7"/>
        <v>https://www.google.co.uk/maps/search/?api=1&amp;query=51.511521,-0.031357896</v>
      </c>
      <c r="AD63" s="19" t="s">
        <v>1052</v>
      </c>
      <c r="AE63" s="19" t="s">
        <v>257</v>
      </c>
      <c r="AG63" s="19">
        <v>0</v>
      </c>
      <c r="AH63" s="19" t="s">
        <v>1132</v>
      </c>
      <c r="AK63" s="19">
        <v>51.511521000000002</v>
      </c>
      <c r="AL63" s="19">
        <v>-3.1357896000000003E-2</v>
      </c>
      <c r="AN63" s="19">
        <f t="shared" si="8"/>
        <v>61</v>
      </c>
    </row>
    <row r="64" spans="1:42" x14ac:dyDescent="0.25">
      <c r="A64" s="19" t="s">
        <v>738</v>
      </c>
      <c r="B64" s="26" t="s">
        <v>406</v>
      </c>
      <c r="C64" s="19" t="s">
        <v>50</v>
      </c>
      <c r="D64" s="19" t="s">
        <v>407</v>
      </c>
      <c r="H64" s="74" t="str">
        <f>IF(AND("" &lt;&gt; TRIM(AE64), IsBold(AE64)), AE64, SUBSTITUTE(IF("" &lt;&gt; AD64, AD64, AE64), ")", ""))</f>
        <v>E3 5TG</v>
      </c>
      <c r="I64" s="19">
        <f t="shared" si="5"/>
        <v>51.531114268152002</v>
      </c>
      <c r="J64" s="19">
        <f t="shared" si="6"/>
        <v>-3.9985030889511101E-2</v>
      </c>
      <c r="L64" s="19">
        <v>104</v>
      </c>
      <c r="R64" s="19"/>
      <c r="T64" s="19">
        <v>3649</v>
      </c>
      <c r="U64" s="19" t="s">
        <v>30</v>
      </c>
      <c r="W64" s="20" t="s">
        <v>1053</v>
      </c>
      <c r="X64" s="19" t="s">
        <v>77</v>
      </c>
      <c r="Y64" s="26" t="s">
        <v>133</v>
      </c>
      <c r="Z64" s="26" t="s">
        <v>94</v>
      </c>
      <c r="AA64" s="26" t="s">
        <v>185</v>
      </c>
      <c r="AB64" s="82" t="str">
        <f t="shared" si="7"/>
        <v>https://www.google.co.uk/maps/search/?api=1&amp;query=51.531114268152,-0.0399850308895111</v>
      </c>
      <c r="AD64" s="19" t="s">
        <v>268</v>
      </c>
      <c r="AE64" s="19" t="s">
        <v>268</v>
      </c>
      <c r="AG64" s="19">
        <v>4</v>
      </c>
      <c r="AH64" s="19" t="s">
        <v>1130</v>
      </c>
      <c r="AK64" s="19">
        <v>51.531114268152002</v>
      </c>
      <c r="AL64" s="19">
        <v>-3.9985030889511101E-2</v>
      </c>
      <c r="AN64" s="19">
        <f t="shared" si="8"/>
        <v>62</v>
      </c>
      <c r="AP64" s="91" t="s">
        <v>1054</v>
      </c>
    </row>
    <row r="65" spans="1:44" x14ac:dyDescent="0.25">
      <c r="A65" s="19" t="s">
        <v>791</v>
      </c>
      <c r="B65" s="26" t="s">
        <v>439</v>
      </c>
      <c r="C65" s="19" t="s">
        <v>50</v>
      </c>
      <c r="D65" s="19" t="s">
        <v>3561</v>
      </c>
      <c r="H65" s="74" t="str">
        <f>IF(AND("" &lt;&gt; TRIM(AE65), IsBold(AE65)), AE65, SUBSTITUTE(IF("" &lt;&gt; AD65, AD65, AE65), ")", ""))</f>
        <v>E1 0NR</v>
      </c>
      <c r="I65" s="19">
        <f t="shared" si="5"/>
        <v>51.516883</v>
      </c>
      <c r="J65" s="19">
        <f t="shared" si="6"/>
        <v>-4.1691713999999998E-2</v>
      </c>
      <c r="L65" s="19">
        <v>107</v>
      </c>
      <c r="R65" s="19"/>
      <c r="T65" s="19">
        <v>28415</v>
      </c>
      <c r="U65" s="19" t="s">
        <v>49</v>
      </c>
      <c r="W65" s="20" t="s">
        <v>1056</v>
      </c>
      <c r="X65" s="19" t="s">
        <v>77</v>
      </c>
      <c r="Y65" s="26" t="s">
        <v>144</v>
      </c>
      <c r="Z65" s="25">
        <v>0</v>
      </c>
      <c r="AA65" s="26" t="s">
        <v>201</v>
      </c>
      <c r="AB65" s="82" t="str">
        <f t="shared" si="7"/>
        <v>https://www.google.co.uk/maps/search/?api=1&amp;query=51.516883,-0.041691714</v>
      </c>
      <c r="AD65" s="19" t="s">
        <v>266</v>
      </c>
      <c r="AE65" s="19" t="s">
        <v>266</v>
      </c>
      <c r="AG65" s="19">
        <v>4</v>
      </c>
      <c r="AH65" s="19" t="s">
        <v>1130</v>
      </c>
      <c r="AK65" s="19">
        <v>51.516883</v>
      </c>
      <c r="AL65" s="19">
        <v>-4.1691713999999998E-2</v>
      </c>
      <c r="AN65" s="19">
        <f t="shared" si="8"/>
        <v>63</v>
      </c>
      <c r="AP65" s="91" t="s">
        <v>1057</v>
      </c>
    </row>
    <row r="66" spans="1:44" x14ac:dyDescent="0.25">
      <c r="A66" s="19" t="s">
        <v>781</v>
      </c>
      <c r="B66" s="26" t="s">
        <v>431</v>
      </c>
      <c r="C66" s="19" t="s">
        <v>50</v>
      </c>
      <c r="D66" s="19" t="s">
        <v>432</v>
      </c>
      <c r="H66" s="74" t="str">
        <f>IF(AND("" &lt;&gt; TRIM(AE66), IsBold(AE66)), AE66, SUBSTITUTE(IF("" &lt;&gt; AD66, AD66, AE66), ")", ""))</f>
        <v>E1 0BH</v>
      </c>
      <c r="I66" s="19">
        <f t="shared" ref="I66:I81" si="9">IF(0 = AK66, "", AK66)</f>
        <v>51.510041200987303</v>
      </c>
      <c r="J66" s="19">
        <f t="shared" ref="J66:J81" si="10">IF(0 = AL66, "", AL66)</f>
        <v>-5.9716701507568297E-2</v>
      </c>
      <c r="L66" s="19">
        <v>51</v>
      </c>
      <c r="R66" s="19"/>
      <c r="T66" s="19">
        <v>12241</v>
      </c>
      <c r="U66" s="19" t="s">
        <v>46</v>
      </c>
      <c r="W66" s="20" t="s">
        <v>1060</v>
      </c>
      <c r="X66" s="19" t="s">
        <v>77</v>
      </c>
      <c r="Y66" s="19"/>
      <c r="Z66" s="26" t="s">
        <v>106</v>
      </c>
      <c r="AA66" s="26" t="s">
        <v>199</v>
      </c>
      <c r="AB66" s="82" t="str">
        <f t="shared" si="7"/>
        <v>https://www.google.co.uk/maps/search/?api=1&amp;query=51.5100412009873,-0.0597167015075683</v>
      </c>
      <c r="AD66" s="19" t="s">
        <v>1059</v>
      </c>
      <c r="AE66" s="19" t="s">
        <v>265</v>
      </c>
      <c r="AG66" s="19">
        <v>2</v>
      </c>
      <c r="AH66" s="19" t="s">
        <v>1130</v>
      </c>
      <c r="AI66" s="75" t="s">
        <v>1133</v>
      </c>
      <c r="AK66" s="19">
        <v>51.510041200987303</v>
      </c>
      <c r="AL66" s="19">
        <v>-5.9716701507568297E-2</v>
      </c>
      <c r="AN66" s="19">
        <f t="shared" si="8"/>
        <v>64</v>
      </c>
      <c r="AP66" s="91" t="s">
        <v>1061</v>
      </c>
    </row>
    <row r="67" spans="1:44" x14ac:dyDescent="0.25">
      <c r="A67" s="19" t="s">
        <v>741</v>
      </c>
      <c r="B67" s="26" t="s">
        <v>408</v>
      </c>
      <c r="C67" s="19" t="s">
        <v>50</v>
      </c>
      <c r="D67" s="19" t="s">
        <v>409</v>
      </c>
      <c r="H67" s="74" t="str">
        <f>IF(AND("" &lt;&gt; TRIM(AE67), IsBold(AE67)), AE67, SUBSTITUTE(IF("" &lt;&gt; AD67, AD67, AE67), ")", ""))</f>
        <v>E2 9JD</v>
      </c>
      <c r="I67" s="19">
        <f t="shared" si="9"/>
        <v>51.531837036825003</v>
      </c>
      <c r="J67" s="19">
        <f t="shared" si="10"/>
        <v>-4.7868043184280402E-2</v>
      </c>
      <c r="L67" s="19">
        <v>42</v>
      </c>
      <c r="R67" s="19"/>
      <c r="T67" s="19">
        <v>5641</v>
      </c>
      <c r="U67" s="19" t="s">
        <v>31</v>
      </c>
      <c r="W67" s="20" t="s">
        <v>1063</v>
      </c>
      <c r="X67" s="19" t="s">
        <v>77</v>
      </c>
      <c r="Y67" s="26" t="s">
        <v>133</v>
      </c>
      <c r="Z67" s="26" t="s">
        <v>95</v>
      </c>
      <c r="AA67" s="26" t="s">
        <v>186</v>
      </c>
      <c r="AB67" s="82" t="str">
        <f t="shared" si="7"/>
        <v>https://www.google.co.uk/maps/search/?api=1&amp;query=51.531837036825,-0.0478680431842804</v>
      </c>
      <c r="AD67" s="19" t="s">
        <v>251</v>
      </c>
      <c r="AE67" s="19" t="s">
        <v>251</v>
      </c>
      <c r="AG67" s="19">
        <v>4</v>
      </c>
      <c r="AH67" s="19" t="s">
        <v>1128</v>
      </c>
      <c r="AK67" s="19">
        <v>51.531837036825003</v>
      </c>
      <c r="AL67" s="19">
        <v>-4.7868043184280402E-2</v>
      </c>
      <c r="AN67" s="19">
        <f t="shared" si="8"/>
        <v>65</v>
      </c>
      <c r="AP67" s="91" t="s">
        <v>1064</v>
      </c>
    </row>
    <row r="68" spans="1:44" x14ac:dyDescent="0.25">
      <c r="A68" s="19" t="s">
        <v>744</v>
      </c>
      <c r="B68" s="26" t="s">
        <v>410</v>
      </c>
      <c r="C68" s="19" t="s">
        <v>50</v>
      </c>
      <c r="D68" s="19" t="s">
        <v>48</v>
      </c>
      <c r="H68" s="74" t="str">
        <f>IF(AND("" &lt;&gt; TRIM(AE68), IsBold(AE68)), AE68, SUBSTITUTE(IF("" &lt;&gt; AD68, AD68, AE68), ")", ""))</f>
        <v>E2 9PA</v>
      </c>
      <c r="I68" s="19">
        <f t="shared" si="9"/>
        <v>51.5275758467278</v>
      </c>
      <c r="J68" s="19">
        <f t="shared" si="10"/>
        <v>-5.49061596393585E-2</v>
      </c>
      <c r="L68" s="19">
        <v>92</v>
      </c>
      <c r="R68" s="19"/>
      <c r="T68" s="19">
        <v>21869</v>
      </c>
      <c r="U68" s="19" t="s">
        <v>47</v>
      </c>
      <c r="W68" s="20" t="s">
        <v>1066</v>
      </c>
      <c r="X68" s="19" t="s">
        <v>77</v>
      </c>
      <c r="Y68" s="26" t="s">
        <v>107</v>
      </c>
      <c r="Z68" s="26" t="s">
        <v>107</v>
      </c>
      <c r="AA68" s="26" t="s">
        <v>200</v>
      </c>
      <c r="AB68" s="82" t="str">
        <f t="shared" si="7"/>
        <v>https://www.google.co.uk/maps/search/?api=1&amp;query=51.5275758467278,-0.0549061596393585</v>
      </c>
      <c r="AD68" s="19" t="s">
        <v>279</v>
      </c>
      <c r="AE68" s="19" t="s">
        <v>279</v>
      </c>
      <c r="AG68" s="19">
        <v>0</v>
      </c>
      <c r="AH68" s="19" t="s">
        <v>1130</v>
      </c>
      <c r="AK68" s="19">
        <v>51.5275758467278</v>
      </c>
      <c r="AL68" s="19">
        <v>-5.49061596393585E-2</v>
      </c>
      <c r="AN68" s="19">
        <f t="shared" si="8"/>
        <v>66</v>
      </c>
      <c r="AP68" s="91" t="s">
        <v>1067</v>
      </c>
    </row>
    <row r="69" spans="1:44" s="74" customFormat="1" x14ac:dyDescent="0.25">
      <c r="A69" s="74" t="s">
        <v>765</v>
      </c>
      <c r="B69" s="82" t="s">
        <v>421</v>
      </c>
      <c r="C69" s="74" t="s">
        <v>50</v>
      </c>
      <c r="D69" s="74" t="s">
        <v>1198</v>
      </c>
      <c r="F69" s="87"/>
      <c r="H69" s="74" t="str">
        <f>IF(AND("" &lt;&gt; TRIM(AE69), IsBold(AE69)), AE69, SUBSTITUTE(IF("" &lt;&gt; AD69, AD69, AE69), ")", ""))</f>
        <v>E14 8LH</v>
      </c>
      <c r="I69" s="74">
        <f t="shared" si="9"/>
        <v>51.499764567856403</v>
      </c>
      <c r="J69" s="74">
        <f t="shared" si="10"/>
        <v>-2.3431991046805E-2</v>
      </c>
      <c r="L69" s="74">
        <v>40</v>
      </c>
      <c r="T69" s="74">
        <v>32052</v>
      </c>
      <c r="U69" s="74" t="s">
        <v>38</v>
      </c>
      <c r="W69" s="83" t="s">
        <v>81</v>
      </c>
      <c r="X69" s="74" t="s">
        <v>77</v>
      </c>
      <c r="Y69" s="82" t="s">
        <v>137</v>
      </c>
      <c r="Z69" s="84">
        <v>0</v>
      </c>
      <c r="AA69" s="82" t="s">
        <v>192</v>
      </c>
      <c r="AB69" s="82" t="str">
        <f t="shared" si="7"/>
        <v>https://www.google.co.uk/maps/search/?api=1&amp;query=51.4997645678564,-0.023431991046805</v>
      </c>
      <c r="AD69" s="74" t="s">
        <v>256</v>
      </c>
      <c r="AE69" s="74" t="s">
        <v>256</v>
      </c>
      <c r="AG69" s="74">
        <v>3</v>
      </c>
      <c r="AH69" s="74" t="s">
        <v>1129</v>
      </c>
      <c r="AK69" s="74">
        <v>51.499764567856403</v>
      </c>
      <c r="AL69" s="74">
        <v>-2.3431991046805E-2</v>
      </c>
      <c r="AN69" s="74">
        <f t="shared" si="8"/>
        <v>67</v>
      </c>
      <c r="AP69" s="92" t="s">
        <v>1039</v>
      </c>
      <c r="AQ69" s="92"/>
      <c r="AR69" s="74" t="s">
        <v>1196</v>
      </c>
    </row>
    <row r="70" spans="1:44" x14ac:dyDescent="0.25">
      <c r="A70" s="19" t="s">
        <v>769</v>
      </c>
      <c r="B70" s="26" t="s">
        <v>425</v>
      </c>
      <c r="C70" s="19" t="s">
        <v>50</v>
      </c>
      <c r="D70" s="19" t="s">
        <v>3565</v>
      </c>
      <c r="H70" s="74" t="str">
        <f>IF(AND("" &lt;&gt; TRIM(AE70), IsBold(AE70)), AE70, SUBSTITUTE(IF("" &lt;&gt; AD70, AD70, AE70), ")", ""))</f>
        <v>E3 3AH</v>
      </c>
      <c r="I70" s="19">
        <f t="shared" si="9"/>
        <v>51.528793808418399</v>
      </c>
      <c r="J70" s="19">
        <f t="shared" si="10"/>
        <v>-1.6676858990480801E-2</v>
      </c>
      <c r="L70" s="19">
        <v>90</v>
      </c>
      <c r="R70" s="19"/>
      <c r="T70" s="19">
        <v>23145</v>
      </c>
      <c r="U70" s="19" t="s">
        <v>34</v>
      </c>
      <c r="W70" s="20" t="s">
        <v>1069</v>
      </c>
      <c r="X70" s="19" t="s">
        <v>77</v>
      </c>
      <c r="Y70" s="26" t="s">
        <v>134</v>
      </c>
      <c r="Z70" s="26" t="s">
        <v>98</v>
      </c>
      <c r="AA70" s="26" t="s">
        <v>189</v>
      </c>
      <c r="AB70" s="82" t="str">
        <f t="shared" si="7"/>
        <v>https://www.google.co.uk/maps/search/?api=1&amp;query=51.5287938084184,-0.0166768589904808</v>
      </c>
      <c r="AD70" s="19" t="s">
        <v>278</v>
      </c>
      <c r="AE70" s="19" t="s">
        <v>278</v>
      </c>
      <c r="AG70" s="19">
        <v>3</v>
      </c>
      <c r="AH70" s="19" t="s">
        <v>1129</v>
      </c>
      <c r="AK70" s="19">
        <v>51.528793808418399</v>
      </c>
      <c r="AL70" s="19">
        <v>-1.6676858990480801E-2</v>
      </c>
      <c r="AN70" s="19">
        <f t="shared" si="8"/>
        <v>68</v>
      </c>
      <c r="AP70" s="91" t="s">
        <v>1070</v>
      </c>
    </row>
    <row r="71" spans="1:44" x14ac:dyDescent="0.25">
      <c r="A71" s="19" t="s">
        <v>782</v>
      </c>
      <c r="B71" s="26" t="s">
        <v>433</v>
      </c>
      <c r="C71" s="19" t="s">
        <v>50</v>
      </c>
      <c r="D71" s="19" t="s">
        <v>434</v>
      </c>
      <c r="H71" s="74" t="str">
        <f>IF(AND("" &lt;&gt; TRIM(AE71), IsBold(AE71)), AE71, SUBSTITUTE(IF("" &lt;&gt; AD71, AD71, AE71), ")", ""))</f>
        <v>E1 0BQ</v>
      </c>
      <c r="I71" s="19">
        <f t="shared" si="9"/>
        <v>51.511239326369399</v>
      </c>
      <c r="J71" s="19">
        <f t="shared" si="10"/>
        <v>-5.0697428427437498E-2</v>
      </c>
      <c r="L71" s="19">
        <v>60</v>
      </c>
      <c r="R71" s="19"/>
      <c r="T71" s="19">
        <v>5686</v>
      </c>
      <c r="U71" s="19" t="s">
        <v>45</v>
      </c>
      <c r="W71" s="20" t="s">
        <v>1072</v>
      </c>
      <c r="X71" s="19" t="s">
        <v>77</v>
      </c>
      <c r="Y71" s="26" t="s">
        <v>143</v>
      </c>
      <c r="Z71" s="25">
        <v>0</v>
      </c>
      <c r="AA71" s="26" t="s">
        <v>198</v>
      </c>
      <c r="AB71" s="82" t="str">
        <f t="shared" si="7"/>
        <v>https://www.google.co.uk/maps/search/?api=1&amp;query=51.5112393263694,-0.0506974284274375</v>
      </c>
      <c r="AD71" s="19" t="s">
        <v>264</v>
      </c>
      <c r="AE71" s="19" t="s">
        <v>264</v>
      </c>
      <c r="AG71" s="19">
        <v>4</v>
      </c>
      <c r="AH71" s="19" t="s">
        <v>1130</v>
      </c>
      <c r="AK71" s="19">
        <v>51.511239326369399</v>
      </c>
      <c r="AL71" s="19">
        <v>-5.0697428427437498E-2</v>
      </c>
      <c r="AN71" s="19">
        <f t="shared" si="8"/>
        <v>69</v>
      </c>
      <c r="AP71" s="91" t="s">
        <v>1073</v>
      </c>
    </row>
    <row r="72" spans="1:44" x14ac:dyDescent="0.25">
      <c r="A72" s="19" t="s">
        <v>734</v>
      </c>
      <c r="B72" s="26" t="s">
        <v>404</v>
      </c>
      <c r="C72" s="19" t="s">
        <v>50</v>
      </c>
      <c r="D72" s="19" t="s">
        <v>405</v>
      </c>
      <c r="H72" s="74" t="str">
        <f>IF(AND("" &lt;&gt; TRIM(AE72), IsBold(AE72)), AE72, SUBSTITUTE(IF("" &lt;&gt; AD72, AD72, AE72), ")", ""))</f>
        <v>E2 6DT</v>
      </c>
      <c r="I72" s="19">
        <f t="shared" si="9"/>
        <v>51.525150034037502</v>
      </c>
      <c r="J72" s="19">
        <f t="shared" si="10"/>
        <v>-6.7168489755466895E-2</v>
      </c>
      <c r="L72" s="19">
        <v>63</v>
      </c>
      <c r="R72" s="19"/>
      <c r="T72" s="19">
        <v>12272</v>
      </c>
      <c r="U72" s="19" t="s">
        <v>32</v>
      </c>
      <c r="W72" s="20" t="s">
        <v>80</v>
      </c>
      <c r="X72" s="19" t="s">
        <v>77</v>
      </c>
      <c r="Y72" s="26" t="s">
        <v>133</v>
      </c>
      <c r="Z72" s="26" t="s">
        <v>96</v>
      </c>
      <c r="AA72" s="26" t="s">
        <v>187</v>
      </c>
      <c r="AB72" s="82" t="str">
        <f t="shared" si="7"/>
        <v>https://www.google.co.uk/maps/search/?api=1&amp;query=51.5251500340375,-0.0671684897554669</v>
      </c>
      <c r="AD72" s="19" t="s">
        <v>269</v>
      </c>
      <c r="AE72" s="19" t="s">
        <v>269</v>
      </c>
      <c r="AG72" s="19">
        <v>3</v>
      </c>
      <c r="AH72" s="19" t="s">
        <v>1130</v>
      </c>
      <c r="AK72" s="19">
        <v>51.525150034037502</v>
      </c>
      <c r="AL72" s="19">
        <v>-6.7168489755466895E-2</v>
      </c>
      <c r="AN72" s="19">
        <f t="shared" si="8"/>
        <v>70</v>
      </c>
      <c r="AP72" s="91" t="s">
        <v>1075</v>
      </c>
    </row>
    <row r="73" spans="1:44" x14ac:dyDescent="0.25">
      <c r="A73" s="19" t="s">
        <v>754</v>
      </c>
      <c r="B73" s="26" t="s">
        <v>416</v>
      </c>
      <c r="C73" s="19" t="s">
        <v>50</v>
      </c>
      <c r="D73" s="19" t="s">
        <v>755</v>
      </c>
      <c r="H73" s="74" t="str">
        <f>IF(AND("" &lt;&gt; TRIM(AE73), IsBold(AE73)), AE73, SUBSTITUTE(IF("" &lt;&gt; AD73, AD73, AE73), ")", ""))</f>
        <v>E14 0PT</v>
      </c>
      <c r="I73" s="19">
        <f t="shared" si="9"/>
        <v>51.514217405491202</v>
      </c>
      <c r="J73" s="19">
        <f t="shared" si="10"/>
        <v>-5.61118125915527E-3</v>
      </c>
      <c r="L73" s="19">
        <v>344</v>
      </c>
      <c r="R73" s="19"/>
      <c r="T73" s="19" t="s">
        <v>77</v>
      </c>
      <c r="U73" s="19" t="s">
        <v>77</v>
      </c>
      <c r="W73" s="20" t="s">
        <v>1077</v>
      </c>
      <c r="X73" s="19" t="s">
        <v>77</v>
      </c>
      <c r="Y73" s="19" t="s">
        <v>77</v>
      </c>
      <c r="Z73" s="25" t="s">
        <v>77</v>
      </c>
      <c r="AA73" s="25" t="s">
        <v>77</v>
      </c>
      <c r="AB73" s="82" t="str">
        <f t="shared" si="7"/>
        <v>https://www.google.co.uk/maps/search/?api=1&amp;query=51.5142174054912,-0.00561118125915527</v>
      </c>
      <c r="AD73" s="19" t="s">
        <v>261</v>
      </c>
      <c r="AG73" s="19">
        <v>0</v>
      </c>
      <c r="AH73" s="19" t="s">
        <v>1132</v>
      </c>
      <c r="AK73" s="19">
        <v>51.514217405491202</v>
      </c>
      <c r="AL73" s="19">
        <v>-5.61118125915527E-3</v>
      </c>
      <c r="AN73" s="19">
        <f t="shared" si="8"/>
        <v>71</v>
      </c>
    </row>
    <row r="74" spans="1:44" s="74" customFormat="1" ht="19.5" x14ac:dyDescent="0.3">
      <c r="A74" s="74" t="s">
        <v>772</v>
      </c>
      <c r="B74" s="82" t="s">
        <v>426</v>
      </c>
      <c r="C74" s="74" t="s">
        <v>50</v>
      </c>
      <c r="D74" s="74" t="s">
        <v>427</v>
      </c>
      <c r="F74" s="87"/>
      <c r="H74" s="74" t="str">
        <f>IF(AND("" &lt;&gt; TRIM(AE74), IsBold(AE74)), AE74, SUBSTITUTE(IF("" &lt;&gt; AD74, AD74, AE74), ")", ""))</f>
        <v>E3 5JL</v>
      </c>
      <c r="I74" s="74">
        <f t="shared" si="9"/>
        <v>51.533165339799098</v>
      </c>
      <c r="J74" s="74">
        <f t="shared" si="10"/>
        <v>-3.2346099615096997E-2</v>
      </c>
      <c r="L74" s="74">
        <v>129</v>
      </c>
      <c r="T74" s="74">
        <v>15551</v>
      </c>
      <c r="U74" s="74" t="s">
        <v>42</v>
      </c>
      <c r="W74" s="83" t="s">
        <v>1079</v>
      </c>
      <c r="X74" s="74" t="s">
        <v>77</v>
      </c>
      <c r="Y74" s="82" t="s">
        <v>140</v>
      </c>
      <c r="Z74" s="82" t="s">
        <v>103</v>
      </c>
      <c r="AA74" s="82" t="s">
        <v>195</v>
      </c>
      <c r="AB74" s="82" t="str">
        <f t="shared" si="7"/>
        <v>https://www.google.co.uk/maps/search/?api=1&amp;query=51.5331653397991,-0.032346099615097</v>
      </c>
      <c r="AD74" s="74" t="s">
        <v>1078</v>
      </c>
      <c r="AE74" s="89" t="s">
        <v>259</v>
      </c>
      <c r="AG74" s="74">
        <v>2</v>
      </c>
      <c r="AH74" s="74" t="s">
        <v>1128</v>
      </c>
      <c r="AK74" s="74">
        <v>51.533165339799098</v>
      </c>
      <c r="AL74" s="74">
        <v>-3.2346099615096997E-2</v>
      </c>
      <c r="AN74" s="74">
        <f t="shared" si="8"/>
        <v>72</v>
      </c>
      <c r="AP74" s="92" t="s">
        <v>1080</v>
      </c>
      <c r="AQ74" s="92"/>
      <c r="AR74" s="74" t="s">
        <v>1185</v>
      </c>
    </row>
    <row r="75" spans="1:44" x14ac:dyDescent="0.25">
      <c r="A75" s="19" t="s">
        <v>794</v>
      </c>
      <c r="B75" s="26" t="s">
        <v>440</v>
      </c>
      <c r="C75" s="19" t="s">
        <v>50</v>
      </c>
      <c r="D75" s="19" t="s">
        <v>441</v>
      </c>
      <c r="H75" s="74" t="str">
        <f>IF(AND("" &lt;&gt; TRIM(AE75), IsBold(AE75)), AE75, SUBSTITUTE(IF("" &lt;&gt; AD75, AD75, AE75), ")", ""))</f>
        <v>E3 4AR</v>
      </c>
      <c r="I75" s="19">
        <f t="shared" si="9"/>
        <v>51.517570669620198</v>
      </c>
      <c r="J75" s="19">
        <f t="shared" si="10"/>
        <v>-2.9391646385192802E-2</v>
      </c>
      <c r="L75" s="19">
        <v>79</v>
      </c>
      <c r="R75" s="19"/>
      <c r="T75" s="19">
        <v>6912</v>
      </c>
      <c r="U75" s="19" t="s">
        <v>36</v>
      </c>
      <c r="W75" s="20" t="s">
        <v>1082</v>
      </c>
      <c r="X75" s="19" t="s">
        <v>77</v>
      </c>
      <c r="Y75" s="26" t="s">
        <v>135</v>
      </c>
      <c r="Z75" s="26" t="s">
        <v>99</v>
      </c>
      <c r="AA75" s="26" t="s">
        <v>190</v>
      </c>
      <c r="AB75" s="82" t="str">
        <f t="shared" si="7"/>
        <v>https://www.google.co.uk/maps/search/?api=1&amp;query=51.5175706696202,-0.0293916463851928</v>
      </c>
      <c r="AD75" s="19" t="s">
        <v>253</v>
      </c>
      <c r="AE75" s="19" t="s">
        <v>253</v>
      </c>
      <c r="AG75" s="19">
        <v>4</v>
      </c>
      <c r="AH75" s="19" t="s">
        <v>1130</v>
      </c>
      <c r="AK75" s="19">
        <v>51.517570669620198</v>
      </c>
      <c r="AL75" s="19">
        <v>-2.9391646385192802E-2</v>
      </c>
      <c r="AN75" s="19">
        <f t="shared" si="8"/>
        <v>73</v>
      </c>
      <c r="AP75" s="91" t="s">
        <v>1083</v>
      </c>
    </row>
    <row r="76" spans="1:44" x14ac:dyDescent="0.25">
      <c r="A76" s="19" t="s">
        <v>788</v>
      </c>
      <c r="B76" s="26" t="s">
        <v>437</v>
      </c>
      <c r="C76" s="19" t="s">
        <v>50</v>
      </c>
      <c r="D76" s="19" t="s">
        <v>438</v>
      </c>
      <c r="H76" s="74" t="str">
        <f>IF(AND("" &lt;&gt; TRIM(AE76), IsBold(AE76)), AE76, SUBSTITUTE(IF("" &lt;&gt; AD76, AD76, AE76), ")", ""))</f>
        <v>E1W 3DH</v>
      </c>
      <c r="I76" s="19">
        <f t="shared" si="9"/>
        <v>51.509417577712</v>
      </c>
      <c r="J76" s="19">
        <f t="shared" si="10"/>
        <v>-5.2039264968477501E-2</v>
      </c>
      <c r="L76" s="19">
        <v>244</v>
      </c>
      <c r="R76" s="19"/>
      <c r="T76" s="19">
        <v>6088</v>
      </c>
      <c r="U76" s="19" t="s">
        <v>43</v>
      </c>
      <c r="W76" s="20" t="s">
        <v>1085</v>
      </c>
      <c r="X76" s="19" t="s">
        <v>77</v>
      </c>
      <c r="Y76" s="26" t="s">
        <v>141</v>
      </c>
      <c r="Z76" s="26" t="s">
        <v>104</v>
      </c>
      <c r="AA76" s="26" t="s">
        <v>196</v>
      </c>
      <c r="AB76" s="82" t="str">
        <f t="shared" si="7"/>
        <v>https://www.google.co.uk/maps/search/?api=1&amp;query=51.509417577712,-0.0520392649684775</v>
      </c>
      <c r="AD76" s="19" t="s">
        <v>262</v>
      </c>
      <c r="AE76" s="19" t="s">
        <v>262</v>
      </c>
      <c r="AG76" s="19">
        <v>1</v>
      </c>
      <c r="AH76" s="19" t="s">
        <v>1129</v>
      </c>
      <c r="AK76" s="19">
        <v>51.509417577712</v>
      </c>
      <c r="AL76" s="19">
        <v>-5.2039264968477501E-2</v>
      </c>
      <c r="AN76" s="19">
        <f t="shared" si="8"/>
        <v>74</v>
      </c>
      <c r="AP76" s="91" t="s">
        <v>1086</v>
      </c>
    </row>
    <row r="77" spans="1:44" x14ac:dyDescent="0.25">
      <c r="A77" s="19" t="s">
        <v>747</v>
      </c>
      <c r="B77" s="26" t="s">
        <v>411</v>
      </c>
      <c r="C77" s="19" t="s">
        <v>50</v>
      </c>
      <c r="D77" s="19" t="s">
        <v>412</v>
      </c>
      <c r="H77" s="74" t="str">
        <f>IF(AND("" &lt;&gt; TRIM(AE77), IsBold(AE77)), AE77, SUBSTITUTE(IF("" &lt;&gt; AD77, AD77, AE77), ")", ""))</f>
        <v>E2 7AE</v>
      </c>
      <c r="I77" s="19">
        <f t="shared" si="9"/>
        <v>51.530219022745698</v>
      </c>
      <c r="J77" s="19">
        <f t="shared" si="10"/>
        <v>-6.4495056867599501E-2</v>
      </c>
      <c r="L77" s="19">
        <v>119</v>
      </c>
      <c r="R77" s="19"/>
      <c r="T77" s="19">
        <v>9069</v>
      </c>
      <c r="U77" s="19" t="s">
        <v>33</v>
      </c>
      <c r="W77" s="20" t="s">
        <v>1090</v>
      </c>
      <c r="X77" s="19" t="s">
        <v>77</v>
      </c>
      <c r="Y77" s="26" t="s">
        <v>133</v>
      </c>
      <c r="Z77" s="26" t="s">
        <v>97</v>
      </c>
      <c r="AA77" s="26" t="s">
        <v>188</v>
      </c>
      <c r="AB77" s="82" t="str">
        <f t="shared" si="7"/>
        <v>https://www.google.co.uk/maps/search/?api=1&amp;query=51.5302190227457,-0.0644950568675995</v>
      </c>
      <c r="AD77" s="19" t="s">
        <v>252</v>
      </c>
      <c r="AE77" s="19" t="s">
        <v>252</v>
      </c>
      <c r="AG77" s="19">
        <v>4</v>
      </c>
      <c r="AH77" s="19" t="s">
        <v>1129</v>
      </c>
      <c r="AK77" s="19">
        <v>51.530219022745698</v>
      </c>
      <c r="AL77" s="19">
        <v>-6.4495056867599501E-2</v>
      </c>
      <c r="AN77" s="19">
        <f t="shared" si="8"/>
        <v>75</v>
      </c>
      <c r="AP77" s="91" t="s">
        <v>1091</v>
      </c>
    </row>
    <row r="78" spans="1:44" x14ac:dyDescent="0.25">
      <c r="A78" s="19" t="s">
        <v>785</v>
      </c>
      <c r="B78" s="26" t="s">
        <v>435</v>
      </c>
      <c r="C78" s="19" t="s">
        <v>50</v>
      </c>
      <c r="D78" s="19" t="s">
        <v>436</v>
      </c>
      <c r="H78" s="74" t="str">
        <f>IF(AND("" &lt;&gt; TRIM(AE78), IsBold(AE78)), AE78, SUBSTITUTE(IF("" &lt;&gt; AD78, AD78, AE78), ")", ""))</f>
        <v>E1W 2RW</v>
      </c>
      <c r="I78" s="19">
        <f t="shared" si="9"/>
        <v>51.506199445269402</v>
      </c>
      <c r="J78" s="19">
        <f t="shared" si="10"/>
        <v>-5.8042992253317598E-2</v>
      </c>
      <c r="L78" s="19">
        <v>104</v>
      </c>
      <c r="R78" s="19"/>
      <c r="T78" s="19">
        <v>8933</v>
      </c>
      <c r="U78" s="19" t="s">
        <v>41</v>
      </c>
      <c r="W78" s="20" t="s">
        <v>1093</v>
      </c>
      <c r="X78" s="19" t="s">
        <v>77</v>
      </c>
      <c r="Y78" s="26" t="s">
        <v>139</v>
      </c>
      <c r="Z78" s="26" t="s">
        <v>102</v>
      </c>
      <c r="AA78" s="26" t="s">
        <v>194</v>
      </c>
      <c r="AB78" s="82" t="str">
        <f t="shared" si="7"/>
        <v>https://www.google.co.uk/maps/search/?api=1&amp;query=51.5061994452694,-0.0580429922533176</v>
      </c>
      <c r="AD78" s="19" t="s">
        <v>258</v>
      </c>
      <c r="AE78" s="19" t="s">
        <v>258</v>
      </c>
      <c r="AG78" s="19">
        <v>4</v>
      </c>
      <c r="AH78" s="19" t="s">
        <v>1130</v>
      </c>
      <c r="AK78" s="19">
        <v>51.506199445269402</v>
      </c>
      <c r="AL78" s="19">
        <v>-5.8042992253317598E-2</v>
      </c>
      <c r="AN78" s="19">
        <f t="shared" si="8"/>
        <v>76</v>
      </c>
      <c r="AP78" s="91" t="s">
        <v>1094</v>
      </c>
    </row>
    <row r="79" spans="1:44" x14ac:dyDescent="0.25">
      <c r="A79" s="19" t="s">
        <v>800</v>
      </c>
      <c r="B79" s="26" t="s">
        <v>444</v>
      </c>
      <c r="C79" s="19" t="s">
        <v>50</v>
      </c>
      <c r="D79" s="19" t="s">
        <v>465</v>
      </c>
      <c r="H79" s="74" t="str">
        <f>IF(AND("" &lt;&gt; TRIM(AE79), IsBold(AE79)), AE79, SUBSTITUTE(IF("" &lt;&gt; AD79, AD79, AE79), ")", ""))</f>
        <v>E14 4AL</v>
      </c>
      <c r="I79" s="19">
        <f t="shared" si="9"/>
        <v>51.507479886186999</v>
      </c>
      <c r="J79" s="19">
        <f t="shared" si="10"/>
        <v>-2.4196207523345899E-2</v>
      </c>
      <c r="L79" s="19"/>
      <c r="R79" s="19"/>
      <c r="T79" s="19">
        <v>13115</v>
      </c>
      <c r="U79" s="19" t="s">
        <v>39</v>
      </c>
      <c r="W79" s="20" t="s">
        <v>1096</v>
      </c>
      <c r="X79" s="19" t="s">
        <v>77</v>
      </c>
      <c r="Y79" s="26" t="s">
        <v>138</v>
      </c>
      <c r="Z79" s="25">
        <v>0</v>
      </c>
      <c r="AA79" s="26" t="s">
        <v>193</v>
      </c>
      <c r="AB79" s="82" t="str">
        <f t="shared" ref="AB79:AB80" si="11">IF("" = I79, "", SUBSTITUTE(SUBSTITUTE(GoogleStreetViewLinkFormat, "$lat$", I79), "$long$", J79))</f>
        <v>https://www.google.co.uk/maps/search/?api=1&amp;query=51.507479886187,-0.0241962075233459</v>
      </c>
      <c r="AE79" s="19" t="s">
        <v>1131</v>
      </c>
      <c r="AG79" s="19">
        <v>0</v>
      </c>
      <c r="AH79" s="19" t="s">
        <v>1129</v>
      </c>
      <c r="AK79" s="19">
        <v>51.507479886186999</v>
      </c>
      <c r="AL79" s="19">
        <v>-2.4196207523345899E-2</v>
      </c>
      <c r="AN79" s="19">
        <f t="shared" si="8"/>
        <v>77</v>
      </c>
    </row>
    <row r="80" spans="1:44" s="74" customFormat="1" x14ac:dyDescent="0.25">
      <c r="A80" s="93" t="s">
        <v>1192</v>
      </c>
      <c r="B80" s="94"/>
      <c r="C80" s="93" t="s">
        <v>71</v>
      </c>
      <c r="D80" s="93" t="s">
        <v>1170</v>
      </c>
      <c r="E80" s="93"/>
      <c r="F80" s="95"/>
      <c r="G80" s="93"/>
      <c r="H80" s="74" t="str">
        <f>IF(AND("" &lt;&gt; TRIM(AE80), IsBold(AE80)), AE80, SUBSTITUTE(IF("" &lt;&gt; AD80, AD80, AE80), ")", ""))</f>
        <v>N1 9NG</v>
      </c>
      <c r="I80" s="74">
        <f t="shared" si="9"/>
        <v>51.530901378264602</v>
      </c>
      <c r="J80" s="74">
        <f t="shared" si="10"/>
        <v>-0.118424455932755</v>
      </c>
      <c r="K80" s="93"/>
      <c r="L80" s="96"/>
      <c r="M80" s="93"/>
      <c r="N80" s="93"/>
      <c r="O80" s="93"/>
      <c r="P80" s="93"/>
      <c r="Q80" s="93"/>
      <c r="R80" s="94"/>
      <c r="S80" s="93"/>
      <c r="T80" s="93"/>
      <c r="U80" s="93"/>
      <c r="V80" s="93"/>
      <c r="W80" s="97" t="s">
        <v>1193</v>
      </c>
      <c r="X80" s="94"/>
      <c r="Y80" s="94"/>
      <c r="Z80" s="94"/>
      <c r="AA80" s="94"/>
      <c r="AB80" s="82" t="str">
        <f t="shared" si="11"/>
        <v>https://www.google.co.uk/maps/search/?api=1&amp;query=51.5309013782646,-0.118424455932755</v>
      </c>
      <c r="AC80" s="93"/>
      <c r="AD80" s="93"/>
      <c r="AE80" s="93" t="s">
        <v>1194</v>
      </c>
      <c r="AF80" s="93"/>
      <c r="AG80" s="93">
        <v>0</v>
      </c>
      <c r="AH80" s="93" t="s">
        <v>1132</v>
      </c>
      <c r="AI80" s="93"/>
      <c r="AJ80" s="93"/>
      <c r="AK80" s="93">
        <v>51.530901378264602</v>
      </c>
      <c r="AL80" s="93">
        <v>-0.118424455932755</v>
      </c>
      <c r="AM80" s="93"/>
      <c r="AN80" s="74">
        <f t="shared" si="8"/>
        <v>78</v>
      </c>
      <c r="AO80" s="93"/>
      <c r="AP80" s="98"/>
      <c r="AQ80" s="98"/>
      <c r="AR80" s="74" t="s">
        <v>1195</v>
      </c>
    </row>
    <row r="81" spans="8:10" x14ac:dyDescent="0.25">
      <c r="H81" s="73"/>
      <c r="I81" s="19" t="str">
        <f t="shared" si="9"/>
        <v/>
      </c>
      <c r="J81" s="19" t="str">
        <f t="shared" si="10"/>
        <v/>
      </c>
    </row>
  </sheetData>
  <autoFilter ref="A1:AR80"/>
  <conditionalFormatting sqref="AP1:AQ1 AD30 X2:AC2 AE2:AJ2 X80:AA80 AO80:XFD80 A80:G80 K80:V80 A1:K2 I3:K3 A81:H81 AJ47:AJ78 AF47:AF78 AG47:AI79 AF3:AJ46 M2:O78 AK2:AL78 AR1:XFD78 AM1:AO78 S2:V78 X3:AA78 AC3:AC78 A3:G78 H3:H80 AE3:AE78 K4:K78 I4:J81 AB3:AB80 L1:AL1 A82:XFD1048576 AC80:AM80 K81:XFD81">
    <cfRule type="expression" dxfId="8" priority="12">
      <formula>_xlfn.ISFORMULA(A1)</formula>
    </cfRule>
  </conditionalFormatting>
  <conditionalFormatting sqref="A79:D79 M79:O79 S79:V79 X79:AA79 AR79:XFD79 AJ79:AN79 AE79:AF79 AN80 AC79">
    <cfRule type="expression" dxfId="7" priority="7">
      <formula>_xlfn.ISFORMULA(A79)</formula>
    </cfRule>
  </conditionalFormatting>
  <conditionalFormatting sqref="AO79">
    <cfRule type="expression" dxfId="6" priority="6">
      <formula>_xlfn.ISFORMULA(AO79)</formula>
    </cfRule>
  </conditionalFormatting>
  <conditionalFormatting sqref="E79:G79">
    <cfRule type="expression" dxfId="5" priority="5">
      <formula>_xlfn.ISFORMULA(E79)</formula>
    </cfRule>
  </conditionalFormatting>
  <conditionalFormatting sqref="K79">
    <cfRule type="expression" dxfId="4" priority="4">
      <formula>_xlfn.ISFORMULA(K79)</formula>
    </cfRule>
  </conditionalFormatting>
  <dataValidations count="1">
    <dataValidation type="list" showInputMessage="1" showErrorMessage="1" sqref="AH2:AH79">
      <formula1>ChurchmanshipOptions</formula1>
    </dataValidation>
  </dataValidations>
  <hyperlinks>
    <hyperlink ref="B8" r:id="rId1"/>
    <hyperlink ref="B2" r:id="rId2"/>
    <hyperlink ref="B3" r:id="rId3"/>
    <hyperlink ref="B4" r:id="rId4"/>
    <hyperlink ref="B5" r:id="rId5"/>
    <hyperlink ref="B6" r:id="rId6"/>
    <hyperlink ref="B7" r:id="rId7"/>
    <hyperlink ref="B9" r:id="rId8"/>
    <hyperlink ref="B10" r:id="rId9"/>
    <hyperlink ref="B11" r:id="rId10"/>
    <hyperlink ref="B12" r:id="rId11"/>
    <hyperlink ref="B13" r:id="rId12"/>
    <hyperlink ref="B14" r:id="rId13"/>
    <hyperlink ref="B15" r:id="rId14"/>
    <hyperlink ref="B16" r:id="rId15"/>
    <hyperlink ref="B17" r:id="rId16"/>
    <hyperlink ref="B18" r:id="rId17"/>
    <hyperlink ref="B19" r:id="rId18"/>
    <hyperlink ref="B20" r:id="rId19"/>
    <hyperlink ref="B21" r:id="rId20"/>
    <hyperlink ref="B22" r:id="rId21"/>
    <hyperlink ref="B23" r:id="rId22"/>
    <hyperlink ref="B24" r:id="rId23"/>
    <hyperlink ref="B25" r:id="rId24"/>
    <hyperlink ref="B26" r:id="rId25"/>
    <hyperlink ref="B27" r:id="rId26"/>
    <hyperlink ref="B28" r:id="rId27"/>
    <hyperlink ref="B29" r:id="rId28"/>
    <hyperlink ref="B30" r:id="rId29"/>
    <hyperlink ref="B31" r:id="rId30"/>
    <hyperlink ref="B32" r:id="rId31"/>
    <hyperlink ref="B33" r:id="rId32"/>
    <hyperlink ref="B34" r:id="rId33"/>
    <hyperlink ref="B35" r:id="rId34"/>
    <hyperlink ref="B36" r:id="rId35"/>
    <hyperlink ref="B37" r:id="rId36"/>
    <hyperlink ref="B38" r:id="rId37"/>
    <hyperlink ref="B39" r:id="rId38"/>
    <hyperlink ref="B40" r:id="rId39"/>
    <hyperlink ref="B41" r:id="rId40"/>
    <hyperlink ref="B42" r:id="rId41"/>
    <hyperlink ref="B43" r:id="rId42"/>
    <hyperlink ref="B44" r:id="rId43"/>
    <hyperlink ref="B45" r:id="rId44"/>
    <hyperlink ref="B46" r:id="rId45"/>
    <hyperlink ref="B47" r:id="rId46"/>
    <hyperlink ref="B48" r:id="rId47"/>
    <hyperlink ref="B49" r:id="rId48"/>
    <hyperlink ref="B50" r:id="rId49"/>
    <hyperlink ref="B51" r:id="rId50"/>
    <hyperlink ref="B52" r:id="rId51"/>
    <hyperlink ref="B53" r:id="rId52"/>
    <hyperlink ref="B54" r:id="rId53"/>
    <hyperlink ref="B55" r:id="rId54"/>
    <hyperlink ref="B56" r:id="rId55"/>
    <hyperlink ref="B57" r:id="rId56"/>
    <hyperlink ref="B58" r:id="rId57"/>
    <hyperlink ref="B59" r:id="rId58"/>
    <hyperlink ref="B60" r:id="rId59"/>
    <hyperlink ref="B61" r:id="rId60"/>
    <hyperlink ref="B62" r:id="rId61"/>
    <hyperlink ref="B63" r:id="rId62"/>
    <hyperlink ref="B64" r:id="rId63"/>
    <hyperlink ref="B65" r:id="rId64"/>
    <hyperlink ref="B66" r:id="rId65"/>
    <hyperlink ref="B67" r:id="rId66"/>
    <hyperlink ref="B68" r:id="rId67"/>
    <hyperlink ref="B69" r:id="rId68"/>
    <hyperlink ref="B70" r:id="rId69"/>
    <hyperlink ref="B71" r:id="rId70"/>
    <hyperlink ref="B72" r:id="rId71"/>
    <hyperlink ref="B73" r:id="rId72"/>
    <hyperlink ref="B74" r:id="rId73"/>
    <hyperlink ref="B75" r:id="rId74"/>
    <hyperlink ref="B76" r:id="rId75"/>
    <hyperlink ref="B77" r:id="rId76"/>
    <hyperlink ref="B78" r:id="rId77"/>
    <hyperlink ref="X47" r:id="rId78" display="=IFERROR(VLOOKUP($C50, DataFromWikipedia!A:T, 17, FALSE), &quot;&quot;)"/>
    <hyperlink ref="X50" r:id="rId79" display="=IFERROR(VLOOKUP($C54, DataFromWikipedia!A:T, 17, FALSE), &quot;&quot;)"/>
    <hyperlink ref="Y5" r:id="rId80"/>
    <hyperlink ref="Y6" r:id="rId81"/>
    <hyperlink ref="Y7" r:id="rId82"/>
    <hyperlink ref="Y9" r:id="rId83"/>
    <hyperlink ref="Y10" r:id="rId84"/>
    <hyperlink ref="Y13" r:id="rId85"/>
    <hyperlink ref="Y14" r:id="rId86"/>
    <hyperlink ref="Y15" r:id="rId87"/>
    <hyperlink ref="Y16" r:id="rId88"/>
    <hyperlink ref="Y17" r:id="rId89"/>
    <hyperlink ref="Y19" r:id="rId90"/>
    <hyperlink ref="Y20" r:id="rId91"/>
    <hyperlink ref="Y21" r:id="rId92"/>
    <hyperlink ref="Y22" r:id="rId93"/>
    <hyperlink ref="Y23" r:id="rId94"/>
    <hyperlink ref="Y25" r:id="rId95"/>
    <hyperlink ref="Y26" r:id="rId96"/>
    <hyperlink ref="Y27" r:id="rId97"/>
    <hyperlink ref="Y28" r:id="rId98"/>
    <hyperlink ref="Y29" r:id="rId99"/>
    <hyperlink ref="Y30" r:id="rId100"/>
    <hyperlink ref="Y32" r:id="rId101"/>
    <hyperlink ref="Y33" r:id="rId102"/>
    <hyperlink ref="Y35" r:id="rId103"/>
    <hyperlink ref="Y38" r:id="rId104"/>
    <hyperlink ref="Y39" r:id="rId105"/>
    <hyperlink ref="Y40" r:id="rId106"/>
    <hyperlink ref="Y41" r:id="rId107"/>
    <hyperlink ref="Y42" r:id="rId108"/>
    <hyperlink ref="Y43" r:id="rId109"/>
    <hyperlink ref="Y47" r:id="rId110"/>
    <hyperlink ref="Y48" r:id="rId111"/>
    <hyperlink ref="Y49" r:id="rId112"/>
    <hyperlink ref="Y50" r:id="rId113"/>
    <hyperlink ref="Y51" r:id="rId114"/>
    <hyperlink ref="Y52" r:id="rId115"/>
    <hyperlink ref="Y53" r:id="rId116"/>
    <hyperlink ref="Y55" r:id="rId117"/>
    <hyperlink ref="Y56" r:id="rId118"/>
    <hyperlink ref="Y59" r:id="rId119"/>
    <hyperlink ref="Y60" r:id="rId120"/>
    <hyperlink ref="Y63" r:id="rId121"/>
    <hyperlink ref="Y64" r:id="rId122"/>
    <hyperlink ref="Y65" r:id="rId123"/>
    <hyperlink ref="Y67" r:id="rId124"/>
    <hyperlink ref="Y68" r:id="rId125"/>
    <hyperlink ref="Y69" r:id="rId126"/>
    <hyperlink ref="Y70" r:id="rId127"/>
    <hyperlink ref="Y71" r:id="rId128"/>
    <hyperlink ref="Y72" r:id="rId129"/>
    <hyperlink ref="Y74" r:id="rId130"/>
    <hyperlink ref="Y75" r:id="rId131"/>
    <hyperlink ref="Y76" r:id="rId132"/>
    <hyperlink ref="Y77" r:id="rId133"/>
    <hyperlink ref="Y78" r:id="rId134"/>
    <hyperlink ref="Z9" r:id="rId135"/>
    <hyperlink ref="Z17" r:id="rId136"/>
    <hyperlink ref="Z19" r:id="rId137"/>
    <hyperlink ref="Z24" r:id="rId138"/>
    <hyperlink ref="Z32" r:id="rId139"/>
    <hyperlink ref="Z35" r:id="rId140"/>
    <hyperlink ref="Z39" r:id="rId141"/>
    <hyperlink ref="Z41" r:id="rId142"/>
    <hyperlink ref="Z42" r:id="rId143"/>
    <hyperlink ref="Z49" r:id="rId144"/>
    <hyperlink ref="Z56" r:id="rId145"/>
    <hyperlink ref="Z60" r:id="rId146"/>
    <hyperlink ref="Z63" r:id="rId147"/>
    <hyperlink ref="Z64" r:id="rId148"/>
    <hyperlink ref="Z66" r:id="rId149"/>
    <hyperlink ref="Z67" r:id="rId150"/>
    <hyperlink ref="Z68" r:id="rId151"/>
    <hyperlink ref="Z70" r:id="rId152"/>
    <hyperlink ref="Z72" r:id="rId153"/>
    <hyperlink ref="Z74" r:id="rId154"/>
    <hyperlink ref="Z75" r:id="rId155"/>
    <hyperlink ref="Z76" r:id="rId156"/>
    <hyperlink ref="Z77" r:id="rId157"/>
    <hyperlink ref="Z78" r:id="rId158"/>
    <hyperlink ref="AA5" r:id="rId159"/>
    <hyperlink ref="AA6" r:id="rId160"/>
    <hyperlink ref="AA7" r:id="rId161"/>
    <hyperlink ref="AA9" r:id="rId162"/>
    <hyperlink ref="AA10" r:id="rId163"/>
    <hyperlink ref="AA11" r:id="rId164"/>
    <hyperlink ref="AA13" r:id="rId165"/>
    <hyperlink ref="AA14" r:id="rId166"/>
    <hyperlink ref="AA15" r:id="rId167"/>
    <hyperlink ref="AA16" r:id="rId168"/>
    <hyperlink ref="AA17" r:id="rId169"/>
    <hyperlink ref="AA18" r:id="rId170"/>
    <hyperlink ref="AA19" r:id="rId171"/>
    <hyperlink ref="AA20" r:id="rId172"/>
    <hyperlink ref="AA21" r:id="rId173"/>
    <hyperlink ref="AA22" r:id="rId174"/>
    <hyperlink ref="AA23" r:id="rId175"/>
    <hyperlink ref="AA24" r:id="rId176"/>
    <hyperlink ref="AA25" r:id="rId177"/>
    <hyperlink ref="AA26" r:id="rId178"/>
    <hyperlink ref="AA27" r:id="rId179"/>
    <hyperlink ref="AA28" r:id="rId180"/>
    <hyperlink ref="AA29" r:id="rId181"/>
    <hyperlink ref="AA30" r:id="rId182"/>
    <hyperlink ref="AA32" r:id="rId183"/>
    <hyperlink ref="AA33" r:id="rId184"/>
    <hyperlink ref="AA35" r:id="rId185"/>
    <hyperlink ref="AA37" r:id="rId186"/>
    <hyperlink ref="AA38" r:id="rId187"/>
    <hyperlink ref="AA39" r:id="rId188"/>
    <hyperlink ref="AA40" r:id="rId189"/>
    <hyperlink ref="AA41" r:id="rId190"/>
    <hyperlink ref="AA42" r:id="rId191"/>
    <hyperlink ref="AA43" r:id="rId192"/>
    <hyperlink ref="AA44" r:id="rId193"/>
    <hyperlink ref="AA45" r:id="rId194"/>
    <hyperlink ref="AA47" r:id="rId195"/>
    <hyperlink ref="AA48" r:id="rId196"/>
    <hyperlink ref="AA49" r:id="rId197"/>
    <hyperlink ref="AA50" r:id="rId198"/>
    <hyperlink ref="AA51" r:id="rId199"/>
    <hyperlink ref="AA52" r:id="rId200"/>
    <hyperlink ref="AA53" r:id="rId201"/>
    <hyperlink ref="AA55" r:id="rId202"/>
    <hyperlink ref="AA56" r:id="rId203"/>
    <hyperlink ref="AA59" r:id="rId204"/>
    <hyperlink ref="AA60" r:id="rId205"/>
    <hyperlink ref="AA63" r:id="rId206"/>
    <hyperlink ref="AA64" r:id="rId207"/>
    <hyperlink ref="AA65" r:id="rId208"/>
    <hyperlink ref="AA66" r:id="rId209"/>
    <hyperlink ref="AA67" r:id="rId210"/>
    <hyperlink ref="AA68" r:id="rId211"/>
    <hyperlink ref="AA69" r:id="rId212"/>
    <hyperlink ref="AA70" r:id="rId213"/>
    <hyperlink ref="AA71" r:id="rId214"/>
    <hyperlink ref="AA72" r:id="rId215"/>
    <hyperlink ref="AA74" r:id="rId216"/>
    <hyperlink ref="AA75" r:id="rId217"/>
    <hyperlink ref="AA76" r:id="rId218"/>
    <hyperlink ref="AA77" r:id="rId219"/>
    <hyperlink ref="AA78" r:id="rId220"/>
    <hyperlink ref="X31" r:id="rId221"/>
    <hyperlink ref="X54" r:id="rId222"/>
    <hyperlink ref="X33" r:id="rId223" display="=IFERROR(VLOOKUP($C50, DataFromWikipedia!A:T, 17, FALSE), &quot;&quot;)"/>
    <hyperlink ref="AB2" r:id="rId224" display="https://www.google.co.uk/maps/search/?api=1&amp;query=51.539088,-0.073342"/>
    <hyperlink ref="AB3" r:id="rId225" display="https://www.google.co.uk/maps/search/?api=1&amp;query=51.556048,-0.04167"/>
    <hyperlink ref="AB4" r:id="rId226" display="https://www.google.co.uk/maps/search/?api=1&amp;query=51.504806,0.112953"/>
    <hyperlink ref="AB5" r:id="rId227" display="https://www.google.co.uk/maps/search/?api=1&amp;query=51.533785,-0.082290279"/>
    <hyperlink ref="AB6" r:id="rId228" display="https://www.google.co.uk/maps/search/?api=1&amp;query=51.544907,-0.073299"/>
    <hyperlink ref="AB7" r:id="rId229" display="https://www.google.co.uk/maps/search/?api=1&amp;query=51.531055,-0.091797"/>
    <hyperlink ref="AB8" r:id="rId230" display="https://www.google.co.uk/maps/search/?api=1&amp;query=51.549724,-0.061133"/>
    <hyperlink ref="AB9" r:id="rId231" display="https://www.google.co.uk/maps/search/?api=1&amp;query=51.570606,-0.080285"/>
    <hyperlink ref="AB10" r:id="rId232" display="https://www.google.co.uk/maps/search/?api=1&amp;query=51.534498,-0.081228"/>
    <hyperlink ref="AB11" r:id="rId233" display="https://www.google.co.uk/maps/search/?api=1&amp;query=51.548629,-0.043458629"/>
    <hyperlink ref="AB12" r:id="rId234" display="https://www.google.co.uk/maps/search/?api=1&amp;query=51.548829,-0.042604"/>
    <hyperlink ref="AB13" r:id="rId235" display="https://www.google.co.uk/maps/search/?api=1&amp;query=51.576473,-0.06956"/>
    <hyperlink ref="AB14" r:id="rId236" display="https://www.google.co.uk/maps/search/?api=1&amp;query=51.531642,-0.073274"/>
    <hyperlink ref="AB15" r:id="rId237" display="https://www.google.co.uk/maps/search/?api=1&amp;query=51.549911,-0.061197"/>
    <hyperlink ref="AB16" r:id="rId238" display="https://www.google.co.uk/maps/search/?api=1&amp;query=51.540365,-0.046082"/>
    <hyperlink ref="AB17" r:id="rId239" display="https://www.google.co.uk/maps/search/?api=1&amp;query=51.53046,-0.083416"/>
    <hyperlink ref="AB18" r:id="rId240" display="https://www.google.co.uk/maps/search/?api=1&amp;query=51.565583,-0.10072"/>
    <hyperlink ref="AB19" r:id="rId241" display="https://www.google.co.uk/maps/search/?api=1&amp;query=51.526761,-0.077228"/>
    <hyperlink ref="AB20" r:id="rId242" display="https://www.google.co.uk/maps/search/?api=1&amp;query=51.549436,-0.070424"/>
    <hyperlink ref="AB21" r:id="rId243" display="https://www.google.co.uk/maps/search/?api=1&amp;query=51.545324,-0.030726"/>
    <hyperlink ref="AB22" r:id="rId244" display="https://www.google.co.uk/maps/search/?api=1&amp;query=51.560782,-0.08445"/>
    <hyperlink ref="AB23" r:id="rId245" display="https://www.google.co.uk/maps/search/?api=1&amp;query=51.563403,-0.058989"/>
    <hyperlink ref="AB24" r:id="rId246" display="https://www.google.co.uk/maps/search/?api=1&amp;query=51.55266,-0.079265"/>
    <hyperlink ref="AB25" r:id="rId247" display="https://www.google.co.uk/maps/search/?api=1&amp;query=51.540672,-0.064067"/>
    <hyperlink ref="AB26" r:id="rId248" display="https://www.google.co.uk/maps/search/?api=1&amp;query=51.562711,-0.066117"/>
    <hyperlink ref="AB27" r:id="rId249" display="https://www.google.co.uk/maps/search/?api=1&amp;query=51.571391,-0.092576"/>
    <hyperlink ref="AB28" r:id="rId250" display="https://www.google.co.uk/maps/search/?api=1&amp;query=51.556929,-0.074008"/>
    <hyperlink ref="AB29" r:id="rId251" display="https://www.google.co.uk/maps/search/?api=1&amp;query=51.54085,-0.080358"/>
    <hyperlink ref="AB30" r:id="rId252" display="https://www.google.co.uk/maps/search/?api=1&amp;query=51.569841,-0.064587"/>
    <hyperlink ref="AB31" r:id="rId253" display="https://www.google.co.uk/maps/search/?api=1&amp;query=51.535258,-0.116601"/>
    <hyperlink ref="AB32" r:id="rId254" display="https://www.google.co.uk/maps/search/?api=1&amp;query=51.552526,-0.098727"/>
    <hyperlink ref="AB34" r:id="rId255" display="https://www.google.co.uk/maps/search/?api=1&amp;query=51.54787,-0.10632"/>
    <hyperlink ref="AB35" r:id="rId256" display="https://www.google.co.uk/maps/search/?api=1&amp;query=51.525483,-0.109214"/>
    <hyperlink ref="AB36" r:id="rId257" display="https://www.google.co.uk/maps/search/?api=1&amp;query=51.541003,-0.115216"/>
    <hyperlink ref="AB37" r:id="rId258" display="https://www.google.co.uk/maps/search/?api=1&amp;query=51.569478,-0.135682"/>
    <hyperlink ref="AB38" r:id="rId259" display="https://www.google.co.uk/maps/search/?api=1&amp;query=51.554687,-0.092225"/>
    <hyperlink ref="AB39" r:id="rId260" display="https://www.google.co.uk/maps/search/?api=1&amp;query=51.527725,-0.097732"/>
    <hyperlink ref="AB40" r:id="rId261" display="https://www.google.co.uk/maps/search/?api=1&amp;query=51.556822,-0.126171"/>
    <hyperlink ref="AB41" r:id="rId262" display="https://www.google.co.uk/maps/search/?api=1&amp;query=51.523574,-0.105679"/>
    <hyperlink ref="AB42" r:id="rId263" display="https://www.google.co.uk/maps/search/?api=1&amp;query=51.536527,-0.096514"/>
    <hyperlink ref="AB43" r:id="rId264" display="https://www.google.co.uk/maps/search/?api=1&amp;query=51.561657,-0.131321"/>
    <hyperlink ref="AB44" r:id="rId265" display="https://www.google.co.uk/maps/search/?api=1&amp;query=51.549097,-0.080931"/>
    <hyperlink ref="AB45" r:id="rId266" display="https://www.google.co.uk/maps/search/?api=1&amp;query=51.552457,-0.121323"/>
    <hyperlink ref="AB46" r:id="rId267" display="https://www.google.co.uk/maps/search/?api=1&amp;query=51.530047,-0.108996"/>
    <hyperlink ref="AB47" r:id="rId268" display="https://www.google.co.uk/maps/search/?api=1&amp;query=51.565186,-0.115699"/>
    <hyperlink ref="AB48" r:id="rId269" display="https://www.google.co.uk/maps/search/?api=1&amp;query=51.571335,-0.122738"/>
    <hyperlink ref="AB49" r:id="rId270" display="https://www.google.co.uk/maps/search/?api=1&amp;query=51.538358,-0.101831"/>
    <hyperlink ref="AB51" r:id="rId271" display="https://www.google.co.uk/maps/search/?api=1&amp;query=51.533362,-0.111962"/>
    <hyperlink ref="AB52" r:id="rId272" display="https://www.google.co.uk/maps/search/?api=1&amp;query=51.540907,-0.097067"/>
    <hyperlink ref="AB53" r:id="rId273" display="https://www.google.co.uk/maps/search/?api=1&amp;query=51.559874,-0.103849"/>
    <hyperlink ref="AB54" r:id="rId274" display="https://www.google.co.uk/maps/search/?api=1&amp;query=51.535938,-0.110871"/>
    <hyperlink ref="AB55" r:id="rId275" display="https://www.google.co.uk/maps/search/?api=1&amp;query=51.530245,-0.10960161"/>
    <hyperlink ref="AB56" r:id="rId276" display="https://www.google.co.uk/maps/search/?api=1&amp;query=51.520814,-0.020428"/>
    <hyperlink ref="AB57" r:id="rId277" display="https://www.google.co.uk/maps/search/?api=1&amp;query=51.510539,-0.011906"/>
    <hyperlink ref="AB58" r:id="rId278" display="https://www.google.co.uk/maps/search/?api=1&amp;query=51.489075,-0.006311"/>
    <hyperlink ref="AB59" r:id="rId279" display="https://www.google.co.uk/maps/search/?api=1&amp;query=51.489075,-0.006311"/>
    <hyperlink ref="AB60" r:id="rId280" display="https://www.google.co.uk/maps/search/?api=1&amp;query=51.519104,-0.074071"/>
    <hyperlink ref="AB62" r:id="rId281" display="https://www.google.co.uk/maps/search/?api=1&amp;query=51.512027,-0.031135"/>
    <hyperlink ref="AB64" r:id="rId282" display="https://www.google.co.uk/maps/search/?api=1&amp;query=51.531134,-0.039997"/>
    <hyperlink ref="AB65" r:id="rId283" display="https://www.google.co.uk/maps/search/?api=1&amp;query=51.516798,-0.041729"/>
    <hyperlink ref="AB66" r:id="rId284" display="https://www.google.co.uk/maps/search/?api=1&amp;query=51.509994,-0.059872"/>
    <hyperlink ref="AB67" r:id="rId285" display="https://www.google.co.uk/maps/search/?api=1&amp;query=51.531754,-0.048054"/>
    <hyperlink ref="AB68" r:id="rId286" display="https://www.google.co.uk/maps/search/?api=1&amp;query=51.527596,-0.055146"/>
    <hyperlink ref="AB69" r:id="rId287" display="https://www.google.co.uk/maps/search/?api=1&amp;query=51.499704,-0.023281"/>
    <hyperlink ref="AB70" r:id="rId288" display="https://www.google.co.uk/maps/search/?api=1&amp;query=51.52861,-0.017306"/>
    <hyperlink ref="AB71" r:id="rId289" display="https://www.google.co.uk/maps/search/?api=1&amp;query=51.511173,-0.05064"/>
    <hyperlink ref="AB72" r:id="rId290" display="https://www.google.co.uk/maps/search/?api=1&amp;query=51.525101,-0.067163"/>
    <hyperlink ref="AB74" r:id="rId291" display="https://www.google.co.uk/maps/search/?api=1&amp;query=51.53262,-0.03081"/>
    <hyperlink ref="AB75" r:id="rId292" display="https://www.google.co.uk/maps/search/?api=1&amp;query=51.517783,-0.029182"/>
    <hyperlink ref="AB76" r:id="rId293" display="https://www.google.co.uk/maps/search/?api=1&amp;query=51.509422,-0.052067"/>
    <hyperlink ref="AB77" r:id="rId294" display="https://www.google.co.uk/maps/search/?api=1&amp;query=51.530373,-0.064759"/>
    <hyperlink ref="AB78" r:id="rId295" display="https://www.google.co.uk/maps/search/?api=1&amp;query=51.506167,-0.058075"/>
    <hyperlink ref="B79" r:id="rId296"/>
    <hyperlink ref="Y79" r:id="rId297"/>
    <hyperlink ref="AA79" r:id="rId298"/>
    <hyperlink ref="AB79" r:id="rId299" display="https://www.google.co.uk/maps/search/?api=1&amp;query=51.507645,-0.023844205"/>
    <hyperlink ref="W3" r:id="rId300" display="https://http/www.hackneymarshteam.org.uk"/>
    <hyperlink ref="W4" r:id="rId301" display="http://www.hackneymarshteam.org.uk/"/>
    <hyperlink ref="W5" r:id="rId302" display="https://www.gracechurchhackney.org.uk/"/>
    <hyperlink ref="W8" r:id="rId303" display="https://hackney.church/"/>
    <hyperlink ref="W9" r:id="rId304" display="http://www.standrewsn16.org/"/>
    <hyperlink ref="W10" r:id="rId305" display="http://www.hoxtonchurch.org.uk/"/>
    <hyperlink ref="W11" r:id="rId306" display="https://saintbarnabasdalston.org.uk/"/>
    <hyperlink ref="W13" r:id="rId307" display="https://www.holybart.com/"/>
    <hyperlink ref="W15" r:id="rId308" display="https://www.stjamesclapton.co.uk/"/>
    <hyperlink ref="W16" r:id="rId309" display="http://www.sjoj.co.uk/"/>
    <hyperlink ref="W17" r:id="rId310" display="https://www.stjohnshoxton.org.uk/"/>
    <hyperlink ref="W18" r:id="rId311" display="https://www.sjebp.com/"/>
    <hyperlink ref="W19" r:id="rId312"/>
    <hyperlink ref="W20" r:id="rId313"/>
    <hyperlink ref="W21" r:id="rId314" display="http://www.stmaryofeton.org.uk/"/>
    <hyperlink ref="W22" r:id="rId315" display="https://www.stmaryn16.org/"/>
    <hyperlink ref="W23" r:id="rId316"/>
    <hyperlink ref="W24" r:id="rId317" display="https://www.stmchurch.co.uk/"/>
    <hyperlink ref="W25" r:id="rId318" display="https://www.stmichaelslondonfields.org.uk/"/>
    <hyperlink ref="W27" r:id="rId319" display="http://www.stolaveschurch.co.uk/"/>
    <hyperlink ref="W28" r:id="rId320" display="http://stpaulswesthackney.org/"/>
    <hyperlink ref="W29" r:id="rId321" display="http://www.stpeterdebeauvoir.org.uk/"/>
    <hyperlink ref="W30" r:id="rId322" display="https://www.saintthomasclapton.org/"/>
    <hyperlink ref="W31" r:id="rId323" display="http://www.allsaintsislington.org/"/>
    <hyperlink ref="W32" r:id="rId324" display="http://www.christchurchhighbury.com/"/>
    <hyperlink ref="W34" r:id="rId325" display="http://www.hopechurchislington.org/"/>
    <hyperlink ref="W35" r:id="rId326" display="http://www.holyredeemerclerkenwell.com/"/>
    <hyperlink ref="W36" r:id="rId327" display="https://www.standrewsislington.com/"/>
    <hyperlink ref="W37" r:id="rId328" display="http://www.standrewsn19.org/"/>
    <hyperlink ref="W38" r:id="rId329" display="http://www.staugustine.org.uk/"/>
    <hyperlink ref="W39" r:id="rId330" display="https://www.stclementfinsbury.org/"/>
    <hyperlink ref="W40" r:id="rId331" display="http://www.stgeorgestufnellpark.org/"/>
    <hyperlink ref="W41" r:id="rId332"/>
    <hyperlink ref="W42" r:id="rId333" display="https://www.stjamesislington.org/"/>
    <hyperlink ref="W43" r:id="rId334" display="http://www.stjohnsupperholloway.church/"/>
    <hyperlink ref="W44" r:id="rId335" display="http://www.sjsp.org.uk/"/>
    <hyperlink ref="W45" r:id="rId336" display="http://www.saintlukeschurch.org.uk/"/>
    <hyperlink ref="W46" r:id="rId337" display="https://www.stmarks-clerkenwell.co.uk/"/>
    <hyperlink ref="W47" r:id="rId338" display="https://www.tollingtonparish.org.uk/"/>
    <hyperlink ref="W48" r:id="rId339" display="http://www.stmaryshornseyrise.org.uk/"/>
    <hyperlink ref="W49" r:id="rId340" display="https://www.stmaryislington.org/"/>
    <hyperlink ref="W51" r:id="rId341" display="https://www.saint-silas.org.uk/"/>
    <hyperlink ref="W52" r:id="rId342" display="http://www.ststephenscanonbury.org.uk/"/>
    <hyperlink ref="W53" r:id="rId343" display="https://www.stthomaschurch.co.uk/"/>
    <hyperlink ref="W54" r:id="rId344" display="http://www.churchonthecorner.org.uk/"/>
    <hyperlink ref="W55" r:id="rId345" display="https://www.trinityislington.org/"/>
    <hyperlink ref="W56" r:id="rId346" display="http://www.allhallowsbow.org.uk/"/>
    <hyperlink ref="W57" r:id="rId347" display="http://www.parishofpoplar.org/"/>
    <hyperlink ref="W58" r:id="rId348" display="http://www.parishiod.org.uk/"/>
    <hyperlink ref="W59" r:id="rId349" display="https://www.parishiod.org.uk/"/>
    <hyperlink ref="W60" r:id="rId350" display="http://www.ccspits.org/"/>
    <hyperlink ref="W62" r:id="rId351" display="http://www.stanneslimehouse.org/"/>
    <hyperlink ref="W64" r:id="rId352" display="http://www.stbarnabasbethnalgreen.org/"/>
    <hyperlink ref="W65" r:id="rId353" display="http://www.stdunstanstepney.com/"/>
    <hyperlink ref="W66" r:id="rId354" display="http://www.stgeorgeintheeast.org/"/>
    <hyperlink ref="W67" r:id="rId355" display="http://stjamesthelessbg.org.uk/"/>
    <hyperlink ref="W68" r:id="rId356" display="https://www.stjohnonbethnalgreen.org/"/>
    <hyperlink ref="W69" r:id="rId357"/>
    <hyperlink ref="W70" r:id="rId358"/>
    <hyperlink ref="W71" r:id="rId359" display="http://stmaryscablest.blogspot.com/"/>
    <hyperlink ref="W72" r:id="rId360"/>
    <hyperlink ref="W73" r:id="rId361" display="http://stnicholaspoplar.org/"/>
    <hyperlink ref="W74" r:id="rId362" display="http://www.stpauloldford.com/"/>
    <hyperlink ref="W75" r:id="rId363" display="http://www.stpaulsbowcommon.org.uk/"/>
    <hyperlink ref="W76" r:id="rId364" display="http://sps.church/"/>
    <hyperlink ref="W77" r:id="rId365" display="https://www.stpetersbethnalgreen.org/"/>
    <hyperlink ref="W78" r:id="rId366" display="http://www.stpeterslondondocks.org.uk/"/>
    <hyperlink ref="W79" r:id="rId367" display="https://www.stpetersbarge.org/"/>
    <hyperlink ref="Y2" r:id="rId368"/>
    <hyperlink ref="AA2" r:id="rId369"/>
    <hyperlink ref="W80" r:id="rId370"/>
    <hyperlink ref="AB80" r:id="rId371" display="https://www.google.co.uk/maps/search/?api=1&amp;query=51.507645,-0.023844205"/>
  </hyperlinks>
  <pageMargins left="0.7" right="0.7" top="0.75" bottom="0.75" header="0.3" footer="0.3"/>
  <pageSetup paperSize="9" orientation="portrait" r:id="rId37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29"/>
  <sheetViews>
    <sheetView showGridLines="0" workbookViewId="0">
      <selection activeCell="A3" sqref="A3:XFD3"/>
    </sheetView>
  </sheetViews>
  <sheetFormatPr defaultRowHeight="15" x14ac:dyDescent="0.25"/>
  <cols>
    <col min="1" max="1" width="6" style="2" customWidth="1"/>
    <col min="2" max="3" width="52.42578125" style="2" customWidth="1"/>
    <col min="4" max="4" width="2.42578125" style="46" customWidth="1"/>
    <col min="5" max="5" width="52.42578125" style="42" customWidth="1"/>
    <col min="6" max="6" width="17.5703125" style="42" customWidth="1"/>
    <col min="7" max="7" width="23" style="42" customWidth="1"/>
    <col min="8" max="8" width="4.140625" style="42" customWidth="1"/>
    <col min="9" max="9" width="60.140625" style="42" customWidth="1"/>
    <col min="10" max="16384" width="9.140625" style="2"/>
  </cols>
  <sheetData>
    <row r="1" spans="1:8" ht="33.75" customHeight="1" x14ac:dyDescent="0.25">
      <c r="A1" s="16" t="s">
        <v>212</v>
      </c>
      <c r="E1" s="44" t="s">
        <v>1117</v>
      </c>
    </row>
    <row r="2" spans="1:8" x14ac:dyDescent="0.25">
      <c r="B2" s="17" t="s">
        <v>213</v>
      </c>
      <c r="G2" s="45"/>
      <c r="H2" s="45"/>
    </row>
    <row r="3" spans="1:8" ht="333" customHeight="1" x14ac:dyDescent="0.25">
      <c r="B3" s="18" t="s">
        <v>3575</v>
      </c>
      <c r="C3" s="7"/>
      <c r="D3" s="47"/>
      <c r="G3" s="43"/>
    </row>
    <row r="6" spans="1:8" x14ac:dyDescent="0.25">
      <c r="B6" s="14" t="s">
        <v>208</v>
      </c>
      <c r="C6" s="15" t="s">
        <v>209</v>
      </c>
    </row>
    <row r="7" spans="1:8" x14ac:dyDescent="0.25">
      <c r="B7" s="8" t="s">
        <v>205</v>
      </c>
      <c r="C7" s="9" t="s">
        <v>28</v>
      </c>
    </row>
    <row r="8" spans="1:8" x14ac:dyDescent="0.25">
      <c r="B8" s="31" t="s">
        <v>1108</v>
      </c>
      <c r="C8" s="32" t="s">
        <v>470</v>
      </c>
    </row>
    <row r="9" spans="1:8" x14ac:dyDescent="0.25">
      <c r="B9" s="10" t="s">
        <v>206</v>
      </c>
      <c r="C9" s="11" t="s">
        <v>76</v>
      </c>
    </row>
    <row r="10" spans="1:8" x14ac:dyDescent="0.25">
      <c r="B10" s="10" t="s">
        <v>211</v>
      </c>
      <c r="C10" s="11" t="s">
        <v>108</v>
      </c>
    </row>
    <row r="11" spans="1:8" x14ac:dyDescent="0.25">
      <c r="B11" s="10" t="s">
        <v>207</v>
      </c>
      <c r="C11" s="11" t="s">
        <v>1104</v>
      </c>
    </row>
    <row r="12" spans="1:8" x14ac:dyDescent="0.25">
      <c r="B12" s="52" t="s">
        <v>1123</v>
      </c>
      <c r="C12" s="53" t="s">
        <v>467</v>
      </c>
    </row>
    <row r="13" spans="1:8" x14ac:dyDescent="0.25">
      <c r="B13" s="12" t="s">
        <v>1120</v>
      </c>
      <c r="C13" s="13" t="s">
        <v>1121</v>
      </c>
    </row>
    <row r="14" spans="1:8" x14ac:dyDescent="0.25">
      <c r="B14" s="122" t="s">
        <v>210</v>
      </c>
      <c r="C14" s="123"/>
    </row>
    <row r="17" spans="1:3" x14ac:dyDescent="0.25">
      <c r="A17" s="16" t="s">
        <v>1118</v>
      </c>
      <c r="B17" s="51"/>
    </row>
    <row r="18" spans="1:3" x14ac:dyDescent="0.25">
      <c r="B18" s="124" t="s">
        <v>1119</v>
      </c>
      <c r="C18" s="124"/>
    </row>
    <row r="21" spans="1:3" x14ac:dyDescent="0.25">
      <c r="A21" s="16" t="s">
        <v>1127</v>
      </c>
    </row>
    <row r="22" spans="1:3" x14ac:dyDescent="0.25">
      <c r="B22" s="55" t="s">
        <v>1128</v>
      </c>
    </row>
    <row r="23" spans="1:3" x14ac:dyDescent="0.25">
      <c r="B23" s="56" t="s">
        <v>1129</v>
      </c>
    </row>
    <row r="24" spans="1:3" x14ac:dyDescent="0.25">
      <c r="B24" s="58" t="s">
        <v>1130</v>
      </c>
    </row>
    <row r="25" spans="1:3" x14ac:dyDescent="0.25">
      <c r="B25" s="57" t="s">
        <v>1132</v>
      </c>
    </row>
    <row r="28" spans="1:3" x14ac:dyDescent="0.25">
      <c r="A28" s="99" t="s">
        <v>1199</v>
      </c>
    </row>
    <row r="29" spans="1:3" x14ac:dyDescent="0.25">
      <c r="B29" s="2" t="s">
        <v>1200</v>
      </c>
    </row>
  </sheetData>
  <mergeCells count="2">
    <mergeCell ref="B14:C14"/>
    <mergeCell ref="B18:C18"/>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34998626667073579"/>
  </sheetPr>
  <dimension ref="A1:X133"/>
  <sheetViews>
    <sheetView workbookViewId="0">
      <pane xSplit="2" ySplit="1" topLeftCell="I2" activePane="bottomRight" state="frozen"/>
      <selection pane="topRight" activeCell="C1" sqref="C1"/>
      <selection pane="bottomLeft" activeCell="A2" sqref="A2"/>
      <selection pane="bottomRight" activeCell="C2" sqref="C2"/>
    </sheetView>
  </sheetViews>
  <sheetFormatPr defaultColWidth="13.85546875" defaultRowHeight="15" x14ac:dyDescent="0.25"/>
  <cols>
    <col min="1" max="1" width="14" style="19" bestFit="1" customWidth="1"/>
    <col min="2" max="2" width="55.85546875" style="19" customWidth="1"/>
    <col min="3" max="3" width="31.5703125" style="19" bestFit="1" customWidth="1"/>
    <col min="4" max="6" width="31.5703125" style="19" customWidth="1"/>
    <col min="7" max="7" width="10.5703125" style="19" bestFit="1" customWidth="1"/>
    <col min="8" max="8" width="12.140625" style="19" bestFit="1" customWidth="1"/>
    <col min="9" max="9" width="96" style="25" bestFit="1" customWidth="1"/>
    <col min="10" max="10" width="15" style="19" bestFit="1" customWidth="1"/>
    <col min="11" max="12" width="15" style="19" customWidth="1"/>
    <col min="13" max="13" width="34.7109375" style="19" bestFit="1" customWidth="1"/>
    <col min="14" max="14" width="26.85546875" style="19" bestFit="1" customWidth="1"/>
    <col min="15" max="15" width="65.28515625" style="25" bestFit="1" customWidth="1"/>
    <col min="16" max="16" width="48.7109375" style="25" bestFit="1" customWidth="1"/>
    <col min="17" max="17" width="34.28515625" style="25" bestFit="1" customWidth="1"/>
    <col min="18" max="18" width="30.28515625" style="19" bestFit="1" customWidth="1"/>
    <col min="19" max="19" width="74.7109375" style="19" bestFit="1" customWidth="1"/>
    <col min="20" max="20" width="58.140625" style="25" bestFit="1" customWidth="1"/>
    <col min="21" max="22" width="74.7109375" style="25" customWidth="1"/>
    <col min="23" max="16384" width="13.85546875" style="19"/>
  </cols>
  <sheetData>
    <row r="1" spans="1:24" s="21" customFormat="1" x14ac:dyDescent="0.25">
      <c r="A1" s="21" t="s">
        <v>214</v>
      </c>
      <c r="B1" s="21" t="s">
        <v>27</v>
      </c>
      <c r="C1" s="21" t="s">
        <v>466</v>
      </c>
      <c r="D1" s="29" t="s">
        <v>1107</v>
      </c>
      <c r="E1" s="23" t="s">
        <v>1101</v>
      </c>
      <c r="F1" s="23" t="s">
        <v>204</v>
      </c>
      <c r="G1" s="23" t="s">
        <v>202</v>
      </c>
      <c r="H1" s="23" t="s">
        <v>203</v>
      </c>
      <c r="I1" s="21" t="s">
        <v>467</v>
      </c>
      <c r="J1" s="29" t="s">
        <v>72</v>
      </c>
      <c r="K1" s="29" t="s">
        <v>73</v>
      </c>
      <c r="L1" s="29" t="s">
        <v>74</v>
      </c>
      <c r="M1" s="29" t="s">
        <v>468</v>
      </c>
      <c r="N1" s="29" t="s">
        <v>469</v>
      </c>
      <c r="O1" s="30" t="s">
        <v>470</v>
      </c>
      <c r="P1" s="30" t="s">
        <v>28</v>
      </c>
      <c r="Q1" s="27" t="s">
        <v>1105</v>
      </c>
      <c r="R1" s="22" t="s">
        <v>1103</v>
      </c>
      <c r="S1" s="22" t="s">
        <v>1102</v>
      </c>
      <c r="T1" s="28" t="s">
        <v>108</v>
      </c>
      <c r="U1" s="24" t="s">
        <v>76</v>
      </c>
      <c r="V1" s="24" t="s">
        <v>1106</v>
      </c>
      <c r="W1" s="21" t="s">
        <v>872</v>
      </c>
      <c r="X1" s="21" t="s">
        <v>873</v>
      </c>
    </row>
    <row r="2" spans="1:24" x14ac:dyDescent="0.25">
      <c r="A2" s="19" t="s">
        <v>29</v>
      </c>
      <c r="B2" s="19" t="s">
        <v>26</v>
      </c>
      <c r="C2" s="19" t="s">
        <v>485</v>
      </c>
      <c r="D2" s="19" t="s">
        <v>272</v>
      </c>
      <c r="E2" s="19" t="str">
        <f>IFERROR(VLOOKUP(C2,#REF!, 9, FALSE), "")</f>
        <v/>
      </c>
      <c r="F2" s="19" t="str">
        <f>IF("" &lt;&gt; D2, D2, E2)</f>
        <v>E8 4EZ</v>
      </c>
      <c r="G2">
        <v>51.538626000000001</v>
      </c>
      <c r="H2">
        <v>-7.0954411999999994E-2</v>
      </c>
      <c r="I2" s="26" t="s">
        <v>291</v>
      </c>
      <c r="J2" s="19">
        <v>230</v>
      </c>
      <c r="P2"/>
      <c r="Q2" s="26" t="str">
        <f>IFERROR(VLOOKUP($C2,#REF!, 17, FALSE), "")</f>
        <v/>
      </c>
      <c r="R2" s="19" t="str">
        <f>IFERROR(VLOOKUP(C2,#REF!, 15, FALSE), "")</f>
        <v/>
      </c>
      <c r="S2" s="19" t="str">
        <f>IFERROR(VLOOKUP(C2,#REF!, 14, FALSE), "")</f>
        <v/>
      </c>
      <c r="T2" t="s">
        <v>77</v>
      </c>
      <c r="U2" s="25" t="s">
        <v>77</v>
      </c>
      <c r="V2" s="25" t="s">
        <v>77</v>
      </c>
      <c r="W2" s="19" t="s">
        <v>874</v>
      </c>
      <c r="X2" s="19" t="s">
        <v>875</v>
      </c>
    </row>
    <row r="3" spans="1:24" x14ac:dyDescent="0.25">
      <c r="A3" s="19" t="s">
        <v>29</v>
      </c>
      <c r="B3" s="19" t="s">
        <v>490</v>
      </c>
      <c r="C3" s="19" t="s">
        <v>491</v>
      </c>
      <c r="D3" s="19" t="s">
        <v>221</v>
      </c>
      <c r="E3" s="19" t="str">
        <f>IFERROR(VLOOKUP(C3,#REF!, 9, FALSE), "")</f>
        <v/>
      </c>
      <c r="F3" s="19" t="str">
        <f t="shared" ref="F3:F66" si="0">IF("" &lt;&gt; D3, D3, E3)</f>
        <v>E5 0AJ</v>
      </c>
      <c r="G3">
        <v>51.555081000000001</v>
      </c>
      <c r="H3">
        <v>-4.1003534000000001E-2</v>
      </c>
      <c r="I3" s="26" t="s">
        <v>295</v>
      </c>
      <c r="J3" s="19">
        <v>33</v>
      </c>
      <c r="P3" s="26" t="s">
        <v>876</v>
      </c>
      <c r="Q3" s="26" t="str">
        <f>IFERROR(VLOOKUP($C3,#REF!, 17, FALSE), "")</f>
        <v/>
      </c>
      <c r="R3" s="19" t="str">
        <f>IFERROR(VLOOKUP(C3,#REF!, 15, FALSE), "")</f>
        <v/>
      </c>
      <c r="S3" s="19" t="str">
        <f>IFERROR(VLOOKUP(C3,#REF!, 14, FALSE), "")</f>
        <v/>
      </c>
      <c r="T3" t="s">
        <v>77</v>
      </c>
      <c r="U3" s="25" t="s">
        <v>77</v>
      </c>
      <c r="V3" s="25" t="s">
        <v>77</v>
      </c>
      <c r="W3" s="19" t="s">
        <v>877</v>
      </c>
      <c r="X3" s="19" t="s">
        <v>878</v>
      </c>
    </row>
    <row r="4" spans="1:24" x14ac:dyDescent="0.25">
      <c r="A4" s="19" t="s">
        <v>29</v>
      </c>
      <c r="B4" s="19" t="s">
        <v>495</v>
      </c>
      <c r="C4" s="19" t="s">
        <v>491</v>
      </c>
      <c r="D4" s="19" t="s">
        <v>879</v>
      </c>
      <c r="E4" s="19" t="str">
        <f>IFERROR(VLOOKUP(C4,#REF!, 9, FALSE), "")</f>
        <v/>
      </c>
      <c r="F4" s="19" t="str">
        <f t="shared" si="0"/>
        <v>E9 5QB</v>
      </c>
      <c r="G4">
        <v>51.550069000000001</v>
      </c>
      <c r="H4">
        <v>-3.4872372999999998E-2</v>
      </c>
      <c r="I4" s="26" t="s">
        <v>296</v>
      </c>
      <c r="J4" s="19">
        <v>26</v>
      </c>
      <c r="M4" s="19" t="s">
        <v>497</v>
      </c>
      <c r="N4" s="19" t="s">
        <v>498</v>
      </c>
      <c r="O4" s="26" t="s">
        <v>499</v>
      </c>
      <c r="P4" s="26" t="s">
        <v>880</v>
      </c>
      <c r="Q4" s="26" t="str">
        <f>IFERROR(VLOOKUP($C4,#REF!, 17, FALSE), "")</f>
        <v/>
      </c>
      <c r="R4" s="19" t="str">
        <f>IFERROR(VLOOKUP(C4,#REF!, 15, FALSE), "")</f>
        <v/>
      </c>
      <c r="S4" s="19" t="str">
        <f>IFERROR(VLOOKUP(C4,#REF!, 14, FALSE), "")</f>
        <v/>
      </c>
      <c r="T4" t="s">
        <v>77</v>
      </c>
      <c r="U4" s="25" t="s">
        <v>77</v>
      </c>
      <c r="V4" s="25" t="s">
        <v>77</v>
      </c>
      <c r="W4" s="19" t="s">
        <v>881</v>
      </c>
      <c r="X4" s="19" t="s">
        <v>882</v>
      </c>
    </row>
    <row r="5" spans="1:24" x14ac:dyDescent="0.25">
      <c r="A5" s="19" t="s">
        <v>29</v>
      </c>
      <c r="B5" s="19" t="s">
        <v>17</v>
      </c>
      <c r="C5" s="19" t="s">
        <v>555</v>
      </c>
      <c r="E5" s="19" t="str">
        <f>IFERROR(VLOOKUP(C5,#REF!, 9, FALSE), "")</f>
        <v/>
      </c>
      <c r="F5" s="19" t="str">
        <f t="shared" si="0"/>
        <v/>
      </c>
      <c r="G5">
        <v>51.533785000000002</v>
      </c>
      <c r="H5">
        <v>-8.2290278999999994E-2</v>
      </c>
      <c r="I5" s="26" t="s">
        <v>332</v>
      </c>
      <c r="J5" s="19">
        <v>0</v>
      </c>
      <c r="M5" s="19" t="s">
        <v>557</v>
      </c>
      <c r="N5" s="19" t="s">
        <v>558</v>
      </c>
      <c r="O5" s="26" t="s">
        <v>559</v>
      </c>
      <c r="P5" s="26" t="s">
        <v>883</v>
      </c>
      <c r="Q5" s="26" t="str">
        <f>IFERROR(VLOOKUP($C5,#REF!, 17, FALSE), "")</f>
        <v/>
      </c>
      <c r="R5" s="19" t="str">
        <f>IFERROR(VLOOKUP(C5,#REF!, 15, FALSE), "")</f>
        <v/>
      </c>
      <c r="S5" s="19" t="str">
        <f>IFERROR(VLOOKUP(C5,#REF!, 14, FALSE), "")</f>
        <v/>
      </c>
      <c r="T5" s="26" t="s">
        <v>117</v>
      </c>
      <c r="U5" s="25">
        <v>0</v>
      </c>
      <c r="V5" s="26" t="s">
        <v>159</v>
      </c>
    </row>
    <row r="6" spans="1:24" x14ac:dyDescent="0.25">
      <c r="A6" s="19" t="s">
        <v>29</v>
      </c>
      <c r="B6" s="19" t="s">
        <v>596</v>
      </c>
      <c r="C6" s="19" t="s">
        <v>597</v>
      </c>
      <c r="E6" s="19" t="str">
        <f>IFERROR(VLOOKUP(C6,#REF!, 9, FALSE), "")</f>
        <v/>
      </c>
      <c r="F6" s="19" t="str">
        <f t="shared" si="0"/>
        <v/>
      </c>
      <c r="G6"/>
      <c r="H6"/>
      <c r="I6" s="26" t="s">
        <v>598</v>
      </c>
      <c r="J6" s="19">
        <v>0</v>
      </c>
      <c r="M6" s="19" t="s">
        <v>580</v>
      </c>
      <c r="N6" s="19" t="s">
        <v>570</v>
      </c>
      <c r="O6" s="26" t="s">
        <v>602</v>
      </c>
      <c r="P6" s="26" t="s">
        <v>884</v>
      </c>
      <c r="Q6" s="26" t="str">
        <f>IFERROR(VLOOKUP($C6,#REF!, 17, FALSE), "")</f>
        <v/>
      </c>
      <c r="R6" s="19" t="str">
        <f>IFERROR(VLOOKUP(C6,#REF!, 15, FALSE), "")</f>
        <v/>
      </c>
      <c r="S6" s="19" t="str">
        <f>IFERROR(VLOOKUP(C6,#REF!, 14, FALSE), "")</f>
        <v/>
      </c>
      <c r="T6" t="s">
        <v>77</v>
      </c>
      <c r="U6" s="25" t="s">
        <v>77</v>
      </c>
      <c r="V6" s="25" t="s">
        <v>77</v>
      </c>
    </row>
    <row r="7" spans="1:24" x14ac:dyDescent="0.25">
      <c r="A7" s="19" t="s">
        <v>29</v>
      </c>
      <c r="B7" s="19" t="s">
        <v>290</v>
      </c>
      <c r="C7" s="19" t="s">
        <v>482</v>
      </c>
      <c r="D7" s="19" t="s">
        <v>885</v>
      </c>
      <c r="E7" s="19" t="str">
        <f>IFERROR(VLOOKUP(C7,#REF!, 9, FALSE), "")</f>
        <v/>
      </c>
      <c r="F7" s="19" t="str">
        <f t="shared" si="0"/>
        <v>E8 3DY</v>
      </c>
      <c r="G7">
        <v>51.545293999999998</v>
      </c>
      <c r="H7">
        <v>-7.3383817000000004E-2</v>
      </c>
      <c r="I7" s="26" t="s">
        <v>289</v>
      </c>
      <c r="J7" s="19">
        <v>230</v>
      </c>
      <c r="P7"/>
      <c r="Q7" s="26" t="str">
        <f>IFERROR(VLOOKUP($C7,#REF!, 17, FALSE), "")</f>
        <v/>
      </c>
      <c r="R7" s="19" t="str">
        <f>IFERROR(VLOOKUP(C7,#REF!, 15, FALSE), "")</f>
        <v/>
      </c>
      <c r="S7" s="19" t="str">
        <f>IFERROR(VLOOKUP(C7,#REF!, 14, FALSE), "")</f>
        <v/>
      </c>
      <c r="T7" s="26" t="s">
        <v>111</v>
      </c>
      <c r="U7" s="25">
        <v>0</v>
      </c>
      <c r="V7" s="26" t="s">
        <v>149</v>
      </c>
      <c r="W7" s="19" t="s">
        <v>874</v>
      </c>
      <c r="X7" s="19" t="s">
        <v>875</v>
      </c>
    </row>
    <row r="8" spans="1:24" x14ac:dyDescent="0.25">
      <c r="A8" s="19" t="s">
        <v>29</v>
      </c>
      <c r="B8" s="19" t="s">
        <v>288</v>
      </c>
      <c r="C8" s="19" t="s">
        <v>479</v>
      </c>
      <c r="D8" s="19" t="s">
        <v>271</v>
      </c>
      <c r="E8" s="19" t="str">
        <f>IFERROR(VLOOKUP(C8,#REF!, 9, FALSE), "")</f>
        <v/>
      </c>
      <c r="F8" s="19" t="str">
        <f t="shared" si="0"/>
        <v>E8 4EP</v>
      </c>
      <c r="G8">
        <v>51.540160999999998</v>
      </c>
      <c r="H8">
        <v>-7.4624451999999994E-2</v>
      </c>
      <c r="I8" s="26" t="s">
        <v>287</v>
      </c>
      <c r="J8" s="19">
        <v>230</v>
      </c>
      <c r="M8" s="19" t="s">
        <v>483</v>
      </c>
      <c r="N8" s="19" t="s">
        <v>468</v>
      </c>
      <c r="O8" s="26" t="s">
        <v>484</v>
      </c>
      <c r="P8"/>
      <c r="Q8" s="26" t="str">
        <f>IFERROR(VLOOKUP($C8,#REF!, 17, FALSE), "")</f>
        <v/>
      </c>
      <c r="R8" s="19" t="str">
        <f>IFERROR(VLOOKUP(C8,#REF!, 15, FALSE), "")</f>
        <v/>
      </c>
      <c r="S8" s="19" t="str">
        <f>IFERROR(VLOOKUP(C8,#REF!, 14, FALSE), "")</f>
        <v/>
      </c>
      <c r="T8" s="26" t="s">
        <v>111</v>
      </c>
      <c r="U8" s="25">
        <v>0</v>
      </c>
      <c r="V8" s="26" t="s">
        <v>149</v>
      </c>
      <c r="W8" s="19" t="s">
        <v>874</v>
      </c>
      <c r="X8" s="19" t="s">
        <v>875</v>
      </c>
    </row>
    <row r="9" spans="1:24" x14ac:dyDescent="0.25">
      <c r="A9" s="19" t="s">
        <v>29</v>
      </c>
      <c r="B9" s="19" t="s">
        <v>321</v>
      </c>
      <c r="C9" s="19" t="s">
        <v>536</v>
      </c>
      <c r="D9" s="19" t="s">
        <v>274</v>
      </c>
      <c r="E9" s="19" t="str">
        <f>IFERROR(VLOOKUP(C9,#REF!, 9, FALSE), "")</f>
        <v/>
      </c>
      <c r="F9" s="19" t="str">
        <f t="shared" si="0"/>
        <v>N1 7QG</v>
      </c>
      <c r="G9">
        <v>51.530898000000001</v>
      </c>
      <c r="H9">
        <v>-9.1624536000000006E-2</v>
      </c>
      <c r="I9" s="26" t="s">
        <v>320</v>
      </c>
      <c r="J9" s="19">
        <v>53</v>
      </c>
      <c r="M9" s="19" t="s">
        <v>540</v>
      </c>
      <c r="N9" s="19" t="s">
        <v>468</v>
      </c>
      <c r="O9" s="26" t="s">
        <v>541</v>
      </c>
      <c r="P9"/>
      <c r="Q9" s="26" t="str">
        <f>IFERROR(VLOOKUP($C9,#REF!, 17, FALSE), "")</f>
        <v/>
      </c>
      <c r="R9" s="19" t="str">
        <f>IFERROR(VLOOKUP(C9,#REF!, 15, FALSE), "")</f>
        <v/>
      </c>
      <c r="S9" s="19" t="str">
        <f>IFERROR(VLOOKUP(C9,#REF!, 14, FALSE), "")</f>
        <v/>
      </c>
      <c r="T9" s="26" t="s">
        <v>117</v>
      </c>
      <c r="U9" s="25">
        <v>0</v>
      </c>
      <c r="V9" s="26" t="s">
        <v>158</v>
      </c>
      <c r="W9" s="19" t="s">
        <v>886</v>
      </c>
      <c r="X9" s="19" t="s">
        <v>887</v>
      </c>
    </row>
    <row r="10" spans="1:24" x14ac:dyDescent="0.25">
      <c r="A10" s="19" t="s">
        <v>29</v>
      </c>
      <c r="B10" s="19" t="s">
        <v>337</v>
      </c>
      <c r="C10" s="19" t="s">
        <v>603</v>
      </c>
      <c r="E10" s="19" t="str">
        <f>IFERROR(VLOOKUP(C10,#REF!, 9, FALSE), "")</f>
        <v/>
      </c>
      <c r="F10" s="19" t="str">
        <f t="shared" si="0"/>
        <v/>
      </c>
      <c r="G10"/>
      <c r="H10"/>
      <c r="I10" s="26" t="s">
        <v>336</v>
      </c>
      <c r="J10" s="19">
        <v>0</v>
      </c>
      <c r="P10"/>
      <c r="Q10" s="26" t="str">
        <f>IFERROR(VLOOKUP($C10,#REF!, 17, FALSE), "")</f>
        <v/>
      </c>
      <c r="R10" s="19" t="str">
        <f>IFERROR(VLOOKUP(C10,#REF!, 15, FALSE), "")</f>
        <v/>
      </c>
      <c r="S10" s="19" t="str">
        <f>IFERROR(VLOOKUP(C10,#REF!, 14, FALSE), "")</f>
        <v/>
      </c>
      <c r="T10" t="s">
        <v>77</v>
      </c>
      <c r="U10" s="25" t="s">
        <v>77</v>
      </c>
      <c r="V10" s="25" t="s">
        <v>77</v>
      </c>
    </row>
    <row r="11" spans="1:24" x14ac:dyDescent="0.25">
      <c r="A11" s="19" t="s">
        <v>29</v>
      </c>
      <c r="B11" s="19" t="s">
        <v>282</v>
      </c>
      <c r="C11" s="19" t="s">
        <v>471</v>
      </c>
      <c r="D11" s="19" t="s">
        <v>888</v>
      </c>
      <c r="E11" s="19" t="str">
        <f>IFERROR(VLOOKUP(C11,#REF!, 9, FALSE), "")</f>
        <v/>
      </c>
      <c r="F11" s="19" t="str">
        <f t="shared" si="0"/>
        <v>E5 0PD</v>
      </c>
      <c r="G11">
        <v>51.550592000000002</v>
      </c>
      <c r="H11">
        <v>-5.2230775E-2</v>
      </c>
      <c r="I11" s="26" t="s">
        <v>281</v>
      </c>
      <c r="J11" s="19">
        <v>251</v>
      </c>
      <c r="M11" s="19" t="s">
        <v>473</v>
      </c>
      <c r="N11" s="19" t="s">
        <v>468</v>
      </c>
      <c r="O11" s="26" t="s">
        <v>474</v>
      </c>
      <c r="P11" s="26" t="s">
        <v>889</v>
      </c>
      <c r="Q11" s="26" t="str">
        <f>IFERROR(VLOOKUP($C11,#REF!, 17, FALSE), "")</f>
        <v/>
      </c>
      <c r="R11" s="19" t="str">
        <f>IFERROR(VLOOKUP(C11,#REF!, 15, FALSE), "")</f>
        <v/>
      </c>
      <c r="S11" s="19" t="str">
        <f>IFERROR(VLOOKUP(C11,#REF!, 14, FALSE), "")</f>
        <v/>
      </c>
      <c r="T11" t="s">
        <v>77</v>
      </c>
      <c r="U11" s="25" t="s">
        <v>77</v>
      </c>
      <c r="V11" s="25" t="s">
        <v>77</v>
      </c>
      <c r="W11" s="19" t="s">
        <v>890</v>
      </c>
      <c r="X11" s="19" t="s">
        <v>891</v>
      </c>
    </row>
    <row r="12" spans="1:24" x14ac:dyDescent="0.25">
      <c r="A12" s="19" t="s">
        <v>29</v>
      </c>
      <c r="B12" s="19" t="s">
        <v>334</v>
      </c>
      <c r="C12" s="19" t="s">
        <v>556</v>
      </c>
      <c r="E12" s="19" t="str">
        <f>IFERROR(VLOOKUP(C12,#REF!, 9, FALSE), "")</f>
        <v/>
      </c>
      <c r="F12" s="19" t="str">
        <f t="shared" si="0"/>
        <v/>
      </c>
      <c r="G12"/>
      <c r="H12"/>
      <c r="I12" s="26" t="s">
        <v>333</v>
      </c>
      <c r="J12" s="19">
        <v>0</v>
      </c>
      <c r="M12" s="19" t="s">
        <v>563</v>
      </c>
      <c r="N12" s="19" t="s">
        <v>564</v>
      </c>
      <c r="O12" s="26" t="s">
        <v>565</v>
      </c>
      <c r="P12" s="26" t="s">
        <v>892</v>
      </c>
      <c r="Q12" s="26" t="str">
        <f>IFERROR(VLOOKUP($C12,#REF!, 17, FALSE), "")</f>
        <v/>
      </c>
      <c r="R12" s="19" t="str">
        <f>IFERROR(VLOOKUP(C12,#REF!, 15, FALSE), "")</f>
        <v/>
      </c>
      <c r="S12" s="19" t="str">
        <f>IFERROR(VLOOKUP(C12,#REF!, 14, FALSE), "")</f>
        <v/>
      </c>
      <c r="T12" t="s">
        <v>77</v>
      </c>
      <c r="U12" s="25" t="s">
        <v>77</v>
      </c>
      <c r="V12" s="25" t="s">
        <v>77</v>
      </c>
    </row>
    <row r="13" spans="1:24" x14ac:dyDescent="0.25">
      <c r="A13" s="19" t="s">
        <v>29</v>
      </c>
      <c r="B13" s="19" t="s">
        <v>308</v>
      </c>
      <c r="C13" s="19" t="s">
        <v>515</v>
      </c>
      <c r="D13" s="19" t="s">
        <v>275</v>
      </c>
      <c r="E13" s="19" t="str">
        <f>IFERROR(VLOOKUP(C13,#REF!, 9, FALSE), "")</f>
        <v/>
      </c>
      <c r="F13" s="19" t="str">
        <f t="shared" si="0"/>
        <v>N16 5DU</v>
      </c>
      <c r="G13">
        <v>51.571281999999997</v>
      </c>
      <c r="H13">
        <v>-8.1044531000000003E-2</v>
      </c>
      <c r="I13" s="26" t="s">
        <v>307</v>
      </c>
      <c r="J13" s="19">
        <v>47</v>
      </c>
      <c r="M13" s="19" t="s">
        <v>519</v>
      </c>
      <c r="N13" s="19" t="s">
        <v>477</v>
      </c>
      <c r="O13" s="26" t="s">
        <v>520</v>
      </c>
      <c r="P13" s="26" t="s">
        <v>893</v>
      </c>
      <c r="Q13" s="26" t="str">
        <f>IFERROR(VLOOKUP($C13,#REF!, 17, FALSE), "")</f>
        <v/>
      </c>
      <c r="R13" s="19" t="str">
        <f>IFERROR(VLOOKUP(C13,#REF!, 15, FALSE), "")</f>
        <v/>
      </c>
      <c r="S13" s="19" t="str">
        <f>IFERROR(VLOOKUP(C13,#REF!, 14, FALSE), "")</f>
        <v/>
      </c>
      <c r="T13" s="26" t="s">
        <v>119</v>
      </c>
      <c r="U13" s="26" t="s">
        <v>86</v>
      </c>
      <c r="V13" s="26" t="s">
        <v>163</v>
      </c>
      <c r="W13" s="19" t="s">
        <v>894</v>
      </c>
      <c r="X13" s="19" t="s">
        <v>895</v>
      </c>
    </row>
    <row r="14" spans="1:24" x14ac:dyDescent="0.25">
      <c r="A14" s="19" t="s">
        <v>29</v>
      </c>
      <c r="B14" s="19" t="s">
        <v>319</v>
      </c>
      <c r="C14" s="19" t="s">
        <v>533</v>
      </c>
      <c r="D14" s="19" t="s">
        <v>226</v>
      </c>
      <c r="E14" s="19" t="str">
        <f>IFERROR(VLOOKUP(C14,#REF!, 9, FALSE), "")</f>
        <v/>
      </c>
      <c r="F14" s="19" t="str">
        <f t="shared" si="0"/>
        <v>N1 5LF</v>
      </c>
      <c r="G14">
        <v>51.533785000000002</v>
      </c>
      <c r="H14">
        <v>-8.2290278999999994E-2</v>
      </c>
      <c r="I14" s="26" t="s">
        <v>318</v>
      </c>
      <c r="J14" s="19">
        <v>95</v>
      </c>
      <c r="M14" s="19" t="s">
        <v>537</v>
      </c>
      <c r="N14" s="19" t="s">
        <v>468</v>
      </c>
      <c r="O14" s="26" t="s">
        <v>538</v>
      </c>
      <c r="P14" s="26" t="s">
        <v>896</v>
      </c>
      <c r="Q14" s="26" t="str">
        <f>IFERROR(VLOOKUP($C14,#REF!, 17, FALSE), "")</f>
        <v/>
      </c>
      <c r="R14" s="19" t="str">
        <f>IFERROR(VLOOKUP(C14,#REF!, 15, FALSE), "")</f>
        <v/>
      </c>
      <c r="S14" s="19" t="str">
        <f>IFERROR(VLOOKUP(C14,#REF!, 14, FALSE), "")</f>
        <v/>
      </c>
      <c r="T14" s="26" t="s">
        <v>117</v>
      </c>
      <c r="U14" s="25">
        <v>0</v>
      </c>
      <c r="V14" s="26" t="s">
        <v>159</v>
      </c>
      <c r="W14" s="19" t="s">
        <v>897</v>
      </c>
      <c r="X14" s="19" t="s">
        <v>898</v>
      </c>
    </row>
    <row r="15" spans="1:24" x14ac:dyDescent="0.25">
      <c r="A15" s="19" t="s">
        <v>29</v>
      </c>
      <c r="B15" s="19" t="s">
        <v>331</v>
      </c>
      <c r="C15" s="19" t="s">
        <v>552</v>
      </c>
      <c r="E15" s="19" t="str">
        <f>IFERROR(VLOOKUP(C15,#REF!, 9, FALSE), "")</f>
        <v/>
      </c>
      <c r="F15" s="19" t="str">
        <f t="shared" si="0"/>
        <v/>
      </c>
      <c r="G15">
        <v>51.548628999999998</v>
      </c>
      <c r="H15">
        <v>-4.3458628999999999E-2</v>
      </c>
      <c r="I15" s="26" t="s">
        <v>330</v>
      </c>
      <c r="J15" s="19">
        <v>0</v>
      </c>
      <c r="P15" s="26" t="s">
        <v>899</v>
      </c>
      <c r="Q15" s="26" t="str">
        <f>IFERROR(VLOOKUP($C15,#REF!, 17, FALSE), "")</f>
        <v/>
      </c>
      <c r="R15" s="19" t="str">
        <f>IFERROR(VLOOKUP(C15,#REF!, 15, FALSE), "")</f>
        <v/>
      </c>
      <c r="S15" s="19" t="str">
        <f>IFERROR(VLOOKUP(C15,#REF!, 14, FALSE), "")</f>
        <v/>
      </c>
      <c r="T15">
        <v>0</v>
      </c>
      <c r="U15" s="25">
        <v>0</v>
      </c>
      <c r="V15" s="26" t="s">
        <v>152</v>
      </c>
    </row>
    <row r="16" spans="1:24" x14ac:dyDescent="0.25">
      <c r="A16" s="19" t="s">
        <v>29</v>
      </c>
      <c r="B16" s="19" t="s">
        <v>8</v>
      </c>
      <c r="C16" s="19" t="s">
        <v>487</v>
      </c>
      <c r="D16" s="19" t="s">
        <v>220</v>
      </c>
      <c r="E16" s="19" t="str">
        <f>IFERROR(VLOOKUP(C16,#REF!, 9, FALSE), "")</f>
        <v/>
      </c>
      <c r="F16" s="19" t="str">
        <f t="shared" si="0"/>
        <v>E9 6DL</v>
      </c>
      <c r="G16">
        <v>51.548628999999998</v>
      </c>
      <c r="H16">
        <v>-4.3458628999999999E-2</v>
      </c>
      <c r="I16" s="26" t="s">
        <v>294</v>
      </c>
      <c r="J16" s="19">
        <v>115</v>
      </c>
      <c r="M16" s="19" t="s">
        <v>492</v>
      </c>
      <c r="N16" s="19" t="s">
        <v>493</v>
      </c>
      <c r="O16" s="26" t="s">
        <v>494</v>
      </c>
      <c r="P16"/>
      <c r="Q16" s="26" t="str">
        <f>IFERROR(VLOOKUP($C16,#REF!, 17, FALSE), "")</f>
        <v/>
      </c>
      <c r="R16" s="19" t="str">
        <f>IFERROR(VLOOKUP(C16,#REF!, 15, FALSE), "")</f>
        <v/>
      </c>
      <c r="S16" s="19" t="str">
        <f>IFERROR(VLOOKUP(C16,#REF!, 14, FALSE), "")</f>
        <v/>
      </c>
      <c r="T16" t="s">
        <v>77</v>
      </c>
      <c r="U16" s="25" t="s">
        <v>77</v>
      </c>
      <c r="V16" s="25" t="s">
        <v>77</v>
      </c>
      <c r="W16" s="19" t="s">
        <v>877</v>
      </c>
      <c r="X16" s="19" t="s">
        <v>878</v>
      </c>
    </row>
    <row r="17" spans="1:24" x14ac:dyDescent="0.25">
      <c r="A17" s="19" t="s">
        <v>29</v>
      </c>
      <c r="B17" s="19" t="s">
        <v>327</v>
      </c>
      <c r="C17" s="19" t="s">
        <v>546</v>
      </c>
      <c r="D17" s="19" t="s">
        <v>229</v>
      </c>
      <c r="E17" s="19" t="str">
        <f>IFERROR(VLOOKUP(C17,#REF!, 9, FALSE), "")</f>
        <v/>
      </c>
      <c r="F17" s="19" t="str">
        <f t="shared" si="0"/>
        <v>N15 6AA</v>
      </c>
      <c r="G17">
        <v>51.576082</v>
      </c>
      <c r="H17">
        <v>-7.1071856000000003E-2</v>
      </c>
      <c r="I17" s="26" t="s">
        <v>326</v>
      </c>
      <c r="J17" s="19">
        <v>95</v>
      </c>
      <c r="M17" s="19" t="s">
        <v>550</v>
      </c>
      <c r="N17" s="19" t="s">
        <v>468</v>
      </c>
      <c r="O17" s="26" t="s">
        <v>551</v>
      </c>
      <c r="P17" s="26" t="s">
        <v>900</v>
      </c>
      <c r="Q17" s="26" t="str">
        <f>IFERROR(VLOOKUP($C17,#REF!, 17, FALSE), "")</f>
        <v/>
      </c>
      <c r="R17" s="19" t="str">
        <f>IFERROR(VLOOKUP(C17,#REF!, 15, FALSE), "")</f>
        <v/>
      </c>
      <c r="S17" s="19" t="str">
        <f>IFERROR(VLOOKUP(C17,#REF!, 14, FALSE), "")</f>
        <v/>
      </c>
      <c r="T17" s="26" t="s">
        <v>110</v>
      </c>
      <c r="U17" s="25">
        <v>0</v>
      </c>
      <c r="V17" s="26" t="s">
        <v>162</v>
      </c>
      <c r="W17" s="19" t="s">
        <v>901</v>
      </c>
      <c r="X17" s="19" t="s">
        <v>902</v>
      </c>
    </row>
    <row r="18" spans="1:24" x14ac:dyDescent="0.25">
      <c r="A18" s="19" t="s">
        <v>29</v>
      </c>
      <c r="B18" s="19" t="s">
        <v>325</v>
      </c>
      <c r="C18" s="19" t="s">
        <v>542</v>
      </c>
      <c r="D18" s="19" t="s">
        <v>273</v>
      </c>
      <c r="E18" s="19" t="str">
        <f>IFERROR(VLOOKUP(C18,#REF!, 9, FALSE), "")</f>
        <v/>
      </c>
      <c r="F18" s="19" t="str">
        <f t="shared" si="0"/>
        <v>E2 8JR</v>
      </c>
      <c r="G18">
        <v>51.531711999999999</v>
      </c>
      <c r="H18">
        <v>-7.0987219000000004E-2</v>
      </c>
      <c r="I18" s="26" t="s">
        <v>324</v>
      </c>
      <c r="J18" s="19">
        <v>73</v>
      </c>
      <c r="M18" s="19" t="s">
        <v>547</v>
      </c>
      <c r="N18" s="19" t="s">
        <v>468</v>
      </c>
      <c r="O18" s="26" t="s">
        <v>548</v>
      </c>
      <c r="P18"/>
      <c r="Q18" s="26" t="str">
        <f>IFERROR(VLOOKUP($C18,#REF!, 17, FALSE), "")</f>
        <v/>
      </c>
      <c r="R18" s="19" t="str">
        <f>IFERROR(VLOOKUP(C18,#REF!, 15, FALSE), "")</f>
        <v/>
      </c>
      <c r="S18" s="19" t="str">
        <f>IFERROR(VLOOKUP(C18,#REF!, 14, FALSE), "")</f>
        <v/>
      </c>
      <c r="T18" s="26" t="s">
        <v>116</v>
      </c>
      <c r="U18" s="25">
        <v>0</v>
      </c>
      <c r="V18" s="26" t="s">
        <v>157</v>
      </c>
      <c r="W18" s="19" t="s">
        <v>903</v>
      </c>
      <c r="X18" s="19" t="s">
        <v>904</v>
      </c>
    </row>
    <row r="19" spans="1:24" x14ac:dyDescent="0.25">
      <c r="A19" s="19" t="s">
        <v>29</v>
      </c>
      <c r="B19" s="19" t="s">
        <v>329</v>
      </c>
      <c r="C19" s="19" t="s">
        <v>549</v>
      </c>
      <c r="D19" s="19" t="s">
        <v>270</v>
      </c>
      <c r="E19" s="19" t="str">
        <f>IFERROR(VLOOKUP(C19,#REF!, 9, FALSE), "")</f>
        <v/>
      </c>
      <c r="F19" s="19" t="str">
        <f t="shared" si="0"/>
        <v>E5 8EG</v>
      </c>
      <c r="G19">
        <v>51.556716000000002</v>
      </c>
      <c r="H19">
        <v>-5.6051674000000003E-2</v>
      </c>
      <c r="I19" s="26" t="s">
        <v>328</v>
      </c>
      <c r="J19" s="19">
        <v>107</v>
      </c>
      <c r="M19" s="19" t="s">
        <v>553</v>
      </c>
      <c r="N19" s="19" t="s">
        <v>468</v>
      </c>
      <c r="O19" s="26" t="s">
        <v>554</v>
      </c>
      <c r="P19" s="26" t="s">
        <v>905</v>
      </c>
      <c r="Q19" s="26" t="str">
        <f>IFERROR(VLOOKUP($C19,#REF!, 17, FALSE), "")</f>
        <v/>
      </c>
      <c r="R19" s="19" t="str">
        <f>IFERROR(VLOOKUP(C19,#REF!, 15, FALSE), "")</f>
        <v/>
      </c>
      <c r="S19" s="19" t="str">
        <f>IFERROR(VLOOKUP(C19,#REF!, 14, FALSE), "")</f>
        <v/>
      </c>
      <c r="T19" s="26" t="s">
        <v>109</v>
      </c>
      <c r="U19" s="25">
        <v>0</v>
      </c>
      <c r="V19" s="26" t="s">
        <v>146</v>
      </c>
      <c r="W19" s="19" t="s">
        <v>890</v>
      </c>
      <c r="X19" s="19" t="s">
        <v>891</v>
      </c>
    </row>
    <row r="20" spans="1:24" x14ac:dyDescent="0.25">
      <c r="A20" s="19" t="s">
        <v>29</v>
      </c>
      <c r="B20" s="19" t="s">
        <v>591</v>
      </c>
      <c r="C20" s="19" t="s">
        <v>592</v>
      </c>
      <c r="E20" s="19" t="str">
        <f>IFERROR(VLOOKUP(C20,#REF!, 9, FALSE), "")</f>
        <v/>
      </c>
      <c r="F20" s="19" t="str">
        <f t="shared" si="0"/>
        <v/>
      </c>
      <c r="G20"/>
      <c r="H20"/>
      <c r="I20" s="26" t="s">
        <v>593</v>
      </c>
      <c r="J20" s="19">
        <v>0</v>
      </c>
      <c r="M20" s="19" t="s">
        <v>580</v>
      </c>
      <c r="N20" s="19" t="s">
        <v>570</v>
      </c>
      <c r="O20" s="26" t="s">
        <v>599</v>
      </c>
      <c r="P20" s="26" t="s">
        <v>906</v>
      </c>
      <c r="Q20" s="26" t="str">
        <f>IFERROR(VLOOKUP($C20,#REF!, 17, FALSE), "")</f>
        <v/>
      </c>
      <c r="R20" s="19" t="str">
        <f>IFERROR(VLOOKUP(C20,#REF!, 15, FALSE), "")</f>
        <v/>
      </c>
      <c r="S20" s="19" t="str">
        <f>IFERROR(VLOOKUP(C20,#REF!, 14, FALSE), "")</f>
        <v/>
      </c>
      <c r="T20" t="s">
        <v>77</v>
      </c>
      <c r="U20" s="25" t="s">
        <v>77</v>
      </c>
      <c r="V20" s="25" t="s">
        <v>77</v>
      </c>
    </row>
    <row r="21" spans="1:24" x14ac:dyDescent="0.25">
      <c r="A21" s="19" t="s">
        <v>29</v>
      </c>
      <c r="B21" s="19" t="s">
        <v>577</v>
      </c>
      <c r="C21" s="19" t="s">
        <v>578</v>
      </c>
      <c r="E21" s="19" t="str">
        <f>IFERROR(VLOOKUP(C21,#REF!, 9, FALSE), "")</f>
        <v/>
      </c>
      <c r="F21" s="19" t="str">
        <f t="shared" si="0"/>
        <v/>
      </c>
      <c r="G21"/>
      <c r="H21"/>
      <c r="I21" s="26" t="s">
        <v>579</v>
      </c>
      <c r="J21" s="19">
        <v>0</v>
      </c>
      <c r="M21" s="19" t="s">
        <v>585</v>
      </c>
      <c r="N21" s="19" t="s">
        <v>570</v>
      </c>
      <c r="O21" s="26" t="s">
        <v>586</v>
      </c>
      <c r="P21" s="26" t="s">
        <v>907</v>
      </c>
      <c r="Q21" s="26" t="str">
        <f>IFERROR(VLOOKUP($C21,#REF!, 17, FALSE), "")</f>
        <v/>
      </c>
      <c r="R21" s="19" t="str">
        <f>IFERROR(VLOOKUP(C21,#REF!, 15, FALSE), "")</f>
        <v/>
      </c>
      <c r="S21" s="19" t="str">
        <f>IFERROR(VLOOKUP(C21,#REF!, 14, FALSE), "")</f>
        <v/>
      </c>
      <c r="T21" t="s">
        <v>77</v>
      </c>
      <c r="U21" s="25" t="s">
        <v>77</v>
      </c>
      <c r="V21" s="25" t="s">
        <v>77</v>
      </c>
    </row>
    <row r="22" spans="1:24" x14ac:dyDescent="0.25">
      <c r="A22" s="19" t="s">
        <v>29</v>
      </c>
      <c r="B22" s="19" t="s">
        <v>298</v>
      </c>
      <c r="C22" s="19" t="s">
        <v>496</v>
      </c>
      <c r="D22" s="19" t="s">
        <v>908</v>
      </c>
      <c r="E22" s="19" t="str">
        <f>IFERROR(VLOOKUP(C22,#REF!, 9, FALSE), "")</f>
        <v/>
      </c>
      <c r="F22" s="19" t="str">
        <f t="shared" si="0"/>
        <v>E9 7DH</v>
      </c>
      <c r="G22">
        <v>51.540512</v>
      </c>
      <c r="H22">
        <v>-4.5248899000000002E-2</v>
      </c>
      <c r="I22" s="26" t="s">
        <v>297</v>
      </c>
      <c r="J22" s="19">
        <v>166</v>
      </c>
      <c r="M22" s="19" t="s">
        <v>501</v>
      </c>
      <c r="N22" s="19" t="s">
        <v>468</v>
      </c>
      <c r="O22" s="26" t="s">
        <v>502</v>
      </c>
      <c r="P22" s="26" t="s">
        <v>909</v>
      </c>
      <c r="Q22" s="26" t="str">
        <f>IFERROR(VLOOKUP($C22,#REF!, 17, FALSE), "")</f>
        <v/>
      </c>
      <c r="R22" s="19" t="str">
        <f>IFERROR(VLOOKUP(C22,#REF!, 15, FALSE), "")</f>
        <v/>
      </c>
      <c r="S22" s="19" t="str">
        <f>IFERROR(VLOOKUP(C22,#REF!, 14, FALSE), "")</f>
        <v/>
      </c>
      <c r="T22" s="26" t="s">
        <v>114</v>
      </c>
      <c r="U22" s="25">
        <v>0</v>
      </c>
      <c r="V22" s="26" t="s">
        <v>154</v>
      </c>
      <c r="W22" s="19" t="s">
        <v>910</v>
      </c>
      <c r="X22" s="19" t="s">
        <v>911</v>
      </c>
    </row>
    <row r="23" spans="1:24" x14ac:dyDescent="0.25">
      <c r="A23" s="19" t="s">
        <v>29</v>
      </c>
      <c r="B23" s="19" t="s">
        <v>582</v>
      </c>
      <c r="C23" s="19" t="s">
        <v>583</v>
      </c>
      <c r="E23" s="19" t="str">
        <f>IFERROR(VLOOKUP(C23,#REF!, 9, FALSE), "")</f>
        <v/>
      </c>
      <c r="F23" s="19" t="str">
        <f t="shared" si="0"/>
        <v/>
      </c>
      <c r="G23"/>
      <c r="H23"/>
      <c r="I23" s="26" t="s">
        <v>584</v>
      </c>
      <c r="J23" s="19">
        <v>0</v>
      </c>
      <c r="M23" s="19" t="s">
        <v>580</v>
      </c>
      <c r="N23" s="19" t="s">
        <v>570</v>
      </c>
      <c r="O23" s="26" t="s">
        <v>590</v>
      </c>
      <c r="P23" s="26" t="s">
        <v>912</v>
      </c>
      <c r="Q23" s="26" t="str">
        <f>IFERROR(VLOOKUP($C23,#REF!, 17, FALSE), "")</f>
        <v/>
      </c>
      <c r="R23" s="19" t="str">
        <f>IFERROR(VLOOKUP(C23,#REF!, 15, FALSE), "")</f>
        <v/>
      </c>
      <c r="S23" s="19" t="str">
        <f>IFERROR(VLOOKUP(C23,#REF!, 14, FALSE), "")</f>
        <v/>
      </c>
      <c r="T23" t="s">
        <v>77</v>
      </c>
      <c r="U23" s="25" t="s">
        <v>77</v>
      </c>
      <c r="V23" s="25" t="s">
        <v>77</v>
      </c>
    </row>
    <row r="24" spans="1:24" x14ac:dyDescent="0.25">
      <c r="A24" s="19" t="s">
        <v>29</v>
      </c>
      <c r="B24" s="19" t="s">
        <v>323</v>
      </c>
      <c r="C24" s="19" t="s">
        <v>539</v>
      </c>
      <c r="D24" s="19" t="s">
        <v>227</v>
      </c>
      <c r="E24" s="19" t="str">
        <f>IFERROR(VLOOKUP(C24,#REF!, 9, FALSE), "")</f>
        <v/>
      </c>
      <c r="F24" s="19" t="str">
        <f t="shared" si="0"/>
        <v>N1 6NP</v>
      </c>
      <c r="G24">
        <v>51.530534000000003</v>
      </c>
      <c r="H24">
        <v>-8.3623584000000001E-2</v>
      </c>
      <c r="I24" s="26" t="s">
        <v>322</v>
      </c>
      <c r="J24" s="19">
        <v>117</v>
      </c>
      <c r="M24" s="19" t="s">
        <v>543</v>
      </c>
      <c r="N24" s="19" t="s">
        <v>544</v>
      </c>
      <c r="O24" s="26" t="s">
        <v>545</v>
      </c>
      <c r="P24" s="26" t="s">
        <v>913</v>
      </c>
      <c r="Q24" s="26" t="str">
        <f>IFERROR(VLOOKUP($C24,#REF!, 17, FALSE), "")</f>
        <v/>
      </c>
      <c r="R24" s="19" t="str">
        <f>IFERROR(VLOOKUP(C24,#REF!, 15, FALSE), "")</f>
        <v/>
      </c>
      <c r="S24" s="19" t="str">
        <f>IFERROR(VLOOKUP(C24,#REF!, 14, FALSE), "")</f>
        <v/>
      </c>
      <c r="T24" s="26" t="s">
        <v>117</v>
      </c>
      <c r="U24" s="26" t="s">
        <v>84</v>
      </c>
      <c r="V24" s="26" t="s">
        <v>160</v>
      </c>
      <c r="W24" s="19" t="s">
        <v>914</v>
      </c>
      <c r="X24" s="19" t="s">
        <v>915</v>
      </c>
    </row>
    <row r="25" spans="1:24" x14ac:dyDescent="0.25">
      <c r="A25" s="19" t="s">
        <v>29</v>
      </c>
      <c r="B25" s="19" t="s">
        <v>315</v>
      </c>
      <c r="C25" s="19" t="s">
        <v>527</v>
      </c>
      <c r="D25" s="19" t="s">
        <v>215</v>
      </c>
      <c r="E25" s="19" t="str">
        <f>IFERROR(VLOOKUP(C25,#REF!, 9, FALSE), "")</f>
        <v/>
      </c>
      <c r="F25" s="19" t="str">
        <f t="shared" si="0"/>
        <v>N4 2LW</v>
      </c>
      <c r="G25">
        <v>51.565778000000002</v>
      </c>
      <c r="H25">
        <v>-9.9831626000000007E-2</v>
      </c>
      <c r="I25" s="26" t="s">
        <v>314</v>
      </c>
      <c r="J25" s="19">
        <v>72</v>
      </c>
      <c r="M25" s="19" t="s">
        <v>531</v>
      </c>
      <c r="N25" s="19" t="s">
        <v>468</v>
      </c>
      <c r="O25" s="26" t="s">
        <v>532</v>
      </c>
      <c r="P25" s="26" t="s">
        <v>916</v>
      </c>
      <c r="Q25" s="26" t="str">
        <f>IFERROR(VLOOKUP($C25,#REF!, 17, FALSE), "")</f>
        <v/>
      </c>
      <c r="R25" s="19" t="str">
        <f>IFERROR(VLOOKUP(C25,#REF!, 15, FALSE), "")</f>
        <v/>
      </c>
      <c r="S25" s="19" t="str">
        <f>IFERROR(VLOOKUP(C25,#REF!, 14, FALSE), "")</f>
        <v/>
      </c>
      <c r="T25">
        <v>0</v>
      </c>
      <c r="U25" s="25">
        <v>0</v>
      </c>
      <c r="V25" s="26" t="s">
        <v>145</v>
      </c>
      <c r="W25" s="19" t="s">
        <v>917</v>
      </c>
      <c r="X25" s="19" t="s">
        <v>918</v>
      </c>
    </row>
    <row r="26" spans="1:24" x14ac:dyDescent="0.25">
      <c r="A26" s="19" t="s">
        <v>29</v>
      </c>
      <c r="B26" s="19" t="s">
        <v>600</v>
      </c>
      <c r="C26" s="19" t="s">
        <v>601</v>
      </c>
      <c r="E26" s="19" t="str">
        <f>IFERROR(VLOOKUP(C26,#REF!, 9, FALSE), "")</f>
        <v/>
      </c>
      <c r="F26" s="19" t="str">
        <f t="shared" si="0"/>
        <v/>
      </c>
      <c r="G26"/>
      <c r="H26"/>
      <c r="I26" s="26" t="s">
        <v>335</v>
      </c>
      <c r="J26" s="19">
        <v>0</v>
      </c>
      <c r="M26" s="19" t="s">
        <v>604</v>
      </c>
      <c r="N26" s="19" t="s">
        <v>605</v>
      </c>
      <c r="O26" s="26" t="s">
        <v>606</v>
      </c>
      <c r="P26" s="26" t="s">
        <v>919</v>
      </c>
      <c r="Q26" s="26" t="str">
        <f>IFERROR(VLOOKUP($C26,#REF!, 17, FALSE), "")</f>
        <v/>
      </c>
      <c r="R26" s="19" t="str">
        <f>IFERROR(VLOOKUP(C26,#REF!, 15, FALSE), "")</f>
        <v/>
      </c>
      <c r="S26" s="19" t="str">
        <f>IFERROR(VLOOKUP(C26,#REF!, 14, FALSE), "")</f>
        <v/>
      </c>
      <c r="T26" t="s">
        <v>77</v>
      </c>
      <c r="U26" s="25" t="s">
        <v>77</v>
      </c>
      <c r="V26" s="25" t="s">
        <v>77</v>
      </c>
    </row>
    <row r="27" spans="1:24" x14ac:dyDescent="0.25">
      <c r="A27" s="19" t="s">
        <v>29</v>
      </c>
      <c r="B27" s="19" t="s">
        <v>317</v>
      </c>
      <c r="C27" s="19" t="s">
        <v>530</v>
      </c>
      <c r="D27" s="19" t="s">
        <v>228</v>
      </c>
      <c r="E27" s="19" t="str">
        <f>IFERROR(VLOOKUP(C27,#REF!, 9, FALSE), "")</f>
        <v/>
      </c>
      <c r="F27" s="19" t="str">
        <f t="shared" si="0"/>
        <v>E1 6JN</v>
      </c>
      <c r="G27">
        <v>51.526308999999998</v>
      </c>
      <c r="H27">
        <v>-7.7645257999999995E-2</v>
      </c>
      <c r="I27" s="26" t="s">
        <v>316</v>
      </c>
      <c r="J27" s="19">
        <v>72</v>
      </c>
      <c r="M27" s="19" t="s">
        <v>534</v>
      </c>
      <c r="N27" s="19" t="s">
        <v>477</v>
      </c>
      <c r="O27" s="26" t="s">
        <v>535</v>
      </c>
      <c r="P27" s="26" t="s">
        <v>79</v>
      </c>
      <c r="Q27" s="26" t="str">
        <f>IFERROR(VLOOKUP($C27,#REF!, 17, FALSE), "")</f>
        <v/>
      </c>
      <c r="R27" s="19" t="str">
        <f>IFERROR(VLOOKUP(C27,#REF!, 15, FALSE), "")</f>
        <v/>
      </c>
      <c r="S27" s="19" t="str">
        <f>IFERROR(VLOOKUP(C27,#REF!, 14, FALSE), "")</f>
        <v/>
      </c>
      <c r="T27" s="26" t="s">
        <v>118</v>
      </c>
      <c r="U27" s="26" t="s">
        <v>85</v>
      </c>
      <c r="V27" s="26" t="s">
        <v>161</v>
      </c>
      <c r="W27" s="19" t="s">
        <v>920</v>
      </c>
      <c r="X27" s="19" t="s">
        <v>921</v>
      </c>
    </row>
    <row r="28" spans="1:24" x14ac:dyDescent="0.25">
      <c r="A28" s="19" t="s">
        <v>29</v>
      </c>
      <c r="B28" s="19" t="s">
        <v>293</v>
      </c>
      <c r="C28" s="19" t="s">
        <v>486</v>
      </c>
      <c r="D28" s="19" t="s">
        <v>218</v>
      </c>
      <c r="E28" s="19" t="str">
        <f>IFERROR(VLOOKUP(C28,#REF!, 9, FALSE), "")</f>
        <v/>
      </c>
      <c r="F28" s="19" t="str">
        <f t="shared" si="0"/>
        <v>E8 2LJ</v>
      </c>
      <c r="G28">
        <v>51.548918</v>
      </c>
      <c r="H28">
        <v>-6.9538325999999998E-2</v>
      </c>
      <c r="I28" s="26" t="s">
        <v>292</v>
      </c>
      <c r="J28" s="19">
        <v>128</v>
      </c>
      <c r="M28" s="19" t="s">
        <v>488</v>
      </c>
      <c r="N28" s="19" t="s">
        <v>468</v>
      </c>
      <c r="O28" s="26" t="s">
        <v>489</v>
      </c>
      <c r="P28" s="26" t="s">
        <v>78</v>
      </c>
      <c r="Q28" s="26" t="str">
        <f>IFERROR(VLOOKUP($C28,#REF!, 17, FALSE), "")</f>
        <v/>
      </c>
      <c r="R28" s="19" t="str">
        <f>IFERROR(VLOOKUP(C28,#REF!, 15, FALSE), "")</f>
        <v/>
      </c>
      <c r="S28" s="19" t="str">
        <f>IFERROR(VLOOKUP(C28,#REF!, 14, FALSE), "")</f>
        <v/>
      </c>
      <c r="T28" s="26" t="s">
        <v>111</v>
      </c>
      <c r="U28" s="25">
        <v>0</v>
      </c>
      <c r="V28" s="26" t="s">
        <v>150</v>
      </c>
      <c r="W28" s="19" t="s">
        <v>922</v>
      </c>
      <c r="X28" s="19" t="s">
        <v>923</v>
      </c>
    </row>
    <row r="29" spans="1:24" x14ac:dyDescent="0.25">
      <c r="A29" s="19" t="s">
        <v>29</v>
      </c>
      <c r="B29" s="19" t="s">
        <v>300</v>
      </c>
      <c r="C29" s="19" t="s">
        <v>500</v>
      </c>
      <c r="D29" s="19" t="s">
        <v>222</v>
      </c>
      <c r="E29" s="19" t="str">
        <f>IFERROR(VLOOKUP(C29,#REF!, 9, FALSE), "")</f>
        <v/>
      </c>
      <c r="F29" s="19" t="str">
        <f t="shared" si="0"/>
        <v>E9 5JA</v>
      </c>
      <c r="G29">
        <v>51.545613000000003</v>
      </c>
      <c r="H29">
        <v>-3.0333784999999999E-2</v>
      </c>
      <c r="I29" s="26" t="s">
        <v>299</v>
      </c>
      <c r="J29" s="19">
        <v>71</v>
      </c>
      <c r="M29" s="19" t="s">
        <v>504</v>
      </c>
      <c r="N29" s="19" t="s">
        <v>468</v>
      </c>
      <c r="O29" s="26" t="s">
        <v>505</v>
      </c>
      <c r="P29" s="26" t="s">
        <v>924</v>
      </c>
      <c r="Q29" s="26" t="str">
        <f>IFERROR(VLOOKUP($C29,#REF!, 17, FALSE), "")</f>
        <v/>
      </c>
      <c r="R29" s="19" t="str">
        <f>IFERROR(VLOOKUP(C29,#REF!, 15, FALSE), "")</f>
        <v/>
      </c>
      <c r="S29" s="19" t="str">
        <f>IFERROR(VLOOKUP(C29,#REF!, 14, FALSE), "")</f>
        <v/>
      </c>
      <c r="T29" s="26" t="s">
        <v>113</v>
      </c>
      <c r="U29" s="25">
        <v>0</v>
      </c>
      <c r="V29" s="26" t="s">
        <v>153</v>
      </c>
      <c r="W29" s="19" t="s">
        <v>925</v>
      </c>
      <c r="X29" s="19" t="s">
        <v>926</v>
      </c>
    </row>
    <row r="30" spans="1:24" x14ac:dyDescent="0.25">
      <c r="A30" s="19" t="s">
        <v>29</v>
      </c>
      <c r="B30" s="19" t="s">
        <v>306</v>
      </c>
      <c r="C30" s="19" t="s">
        <v>512</v>
      </c>
      <c r="D30" s="19" t="s">
        <v>230</v>
      </c>
      <c r="E30" s="19" t="str">
        <f>IFERROR(VLOOKUP(C30,#REF!, 9, FALSE), "")</f>
        <v/>
      </c>
      <c r="F30" s="19" t="str">
        <f t="shared" si="0"/>
        <v>N16 9ES</v>
      </c>
      <c r="G30">
        <v>51.560996000000003</v>
      </c>
      <c r="H30">
        <v>-8.3901342000000004E-2</v>
      </c>
      <c r="I30" s="26" t="s">
        <v>305</v>
      </c>
      <c r="J30" s="19">
        <v>202</v>
      </c>
      <c r="M30" s="19" t="s">
        <v>516</v>
      </c>
      <c r="N30" s="19" t="s">
        <v>468</v>
      </c>
      <c r="O30" s="26" t="s">
        <v>517</v>
      </c>
      <c r="P30" s="26" t="s">
        <v>927</v>
      </c>
      <c r="Q30" s="26" t="str">
        <f>IFERROR(VLOOKUP($C30,#REF!, 17, FALSE), "")</f>
        <v/>
      </c>
      <c r="R30" s="19" t="str">
        <f>IFERROR(VLOOKUP(C30,#REF!, 15, FALSE), "")</f>
        <v/>
      </c>
      <c r="S30" s="19" t="str">
        <f>IFERROR(VLOOKUP(C30,#REF!, 14, FALSE), "")</f>
        <v/>
      </c>
      <c r="T30" s="26" t="s">
        <v>119</v>
      </c>
      <c r="U30" s="25">
        <v>0</v>
      </c>
      <c r="V30" s="26" t="s">
        <v>164</v>
      </c>
      <c r="W30" s="19" t="s">
        <v>928</v>
      </c>
      <c r="X30" s="19" t="s">
        <v>929</v>
      </c>
    </row>
    <row r="31" spans="1:24" x14ac:dyDescent="0.25">
      <c r="A31" s="19" t="s">
        <v>29</v>
      </c>
      <c r="B31" s="19" t="s">
        <v>566</v>
      </c>
      <c r="C31" s="19" t="s">
        <v>567</v>
      </c>
      <c r="E31" s="19" t="str">
        <f>IFERROR(VLOOKUP(C31,#REF!, 9, FALSE), "")</f>
        <v/>
      </c>
      <c r="F31" s="19" t="str">
        <f t="shared" si="0"/>
        <v/>
      </c>
      <c r="G31"/>
      <c r="H31"/>
      <c r="I31" s="26" t="s">
        <v>568</v>
      </c>
      <c r="J31" s="19">
        <v>0</v>
      </c>
      <c r="M31" s="19" t="s">
        <v>575</v>
      </c>
      <c r="N31" s="19" t="s">
        <v>570</v>
      </c>
      <c r="O31" s="26" t="s">
        <v>576</v>
      </c>
      <c r="P31" s="26" t="s">
        <v>930</v>
      </c>
      <c r="Q31" s="26" t="str">
        <f>IFERROR(VLOOKUP($C31,#REF!, 17, FALSE), "")</f>
        <v/>
      </c>
      <c r="R31" s="19" t="str">
        <f>IFERROR(VLOOKUP(C31,#REF!, 15, FALSE), "")</f>
        <v/>
      </c>
      <c r="S31" s="19" t="str">
        <f>IFERROR(VLOOKUP(C31,#REF!, 14, FALSE), "")</f>
        <v/>
      </c>
      <c r="T31" t="s">
        <v>77</v>
      </c>
      <c r="U31" s="25" t="s">
        <v>77</v>
      </c>
      <c r="V31" s="25" t="s">
        <v>77</v>
      </c>
    </row>
    <row r="32" spans="1:24" x14ac:dyDescent="0.25">
      <c r="A32" s="19" t="s">
        <v>29</v>
      </c>
      <c r="B32" s="19" t="s">
        <v>284</v>
      </c>
      <c r="C32" s="19" t="s">
        <v>472</v>
      </c>
      <c r="D32" s="19" t="s">
        <v>216</v>
      </c>
      <c r="E32" s="19" t="str">
        <f>IFERROR(VLOOKUP(C32,#REF!, 9, FALSE), "")</f>
        <v/>
      </c>
      <c r="F32" s="19" t="str">
        <f t="shared" si="0"/>
        <v>E5 9EN</v>
      </c>
      <c r="G32">
        <v>51.565201000000002</v>
      </c>
      <c r="H32">
        <v>-5.4723071999999998E-2</v>
      </c>
      <c r="I32" s="26" t="s">
        <v>283</v>
      </c>
      <c r="J32" s="19">
        <v>38</v>
      </c>
      <c r="M32" s="19" t="s">
        <v>476</v>
      </c>
      <c r="N32" s="19" t="s">
        <v>477</v>
      </c>
      <c r="O32" s="26" t="s">
        <v>478</v>
      </c>
      <c r="P32" s="26" t="s">
        <v>931</v>
      </c>
      <c r="Q32" s="26" t="str">
        <f>IFERROR(VLOOKUP($C32,#REF!, 17, FALSE), "")</f>
        <v/>
      </c>
      <c r="R32" s="19" t="str">
        <f>IFERROR(VLOOKUP(C32,#REF!, 15, FALSE), "")</f>
        <v/>
      </c>
      <c r="S32" s="19" t="str">
        <f>IFERROR(VLOOKUP(C32,#REF!, 14, FALSE), "")</f>
        <v/>
      </c>
      <c r="T32" s="26" t="s">
        <v>109</v>
      </c>
      <c r="U32" s="25">
        <v>0</v>
      </c>
      <c r="V32" s="26" t="s">
        <v>147</v>
      </c>
      <c r="W32" s="19" t="s">
        <v>932</v>
      </c>
      <c r="X32" s="19" t="s">
        <v>933</v>
      </c>
    </row>
    <row r="33" spans="1:24" x14ac:dyDescent="0.25">
      <c r="A33" s="19" t="s">
        <v>29</v>
      </c>
      <c r="B33" s="19" t="s">
        <v>572</v>
      </c>
      <c r="C33" s="19" t="s">
        <v>573</v>
      </c>
      <c r="E33" s="19" t="str">
        <f>IFERROR(VLOOKUP(C33,#REF!, 9, FALSE), "")</f>
        <v/>
      </c>
      <c r="F33" s="19" t="str">
        <f t="shared" si="0"/>
        <v/>
      </c>
      <c r="G33"/>
      <c r="H33"/>
      <c r="I33" s="26" t="s">
        <v>574</v>
      </c>
      <c r="J33" s="19">
        <v>0</v>
      </c>
      <c r="M33" s="19" t="s">
        <v>580</v>
      </c>
      <c r="N33" s="19" t="s">
        <v>570</v>
      </c>
      <c r="O33" s="26" t="s">
        <v>581</v>
      </c>
      <c r="P33" s="26" t="s">
        <v>934</v>
      </c>
      <c r="Q33" s="26" t="str">
        <f>IFERROR(VLOOKUP($C33,#REF!, 17, FALSE), "")</f>
        <v/>
      </c>
      <c r="R33" s="19" t="str">
        <f>IFERROR(VLOOKUP(C33,#REF!, 15, FALSE), "")</f>
        <v/>
      </c>
      <c r="S33" s="19" t="str">
        <f>IFERROR(VLOOKUP(C33,#REF!, 14, FALSE), "")</f>
        <v/>
      </c>
      <c r="T33" t="s">
        <v>77</v>
      </c>
      <c r="U33" s="25" t="s">
        <v>77</v>
      </c>
      <c r="V33" s="25" t="s">
        <v>77</v>
      </c>
    </row>
    <row r="34" spans="1:24" x14ac:dyDescent="0.25">
      <c r="A34" s="19" t="s">
        <v>29</v>
      </c>
      <c r="B34" s="19" t="s">
        <v>310</v>
      </c>
      <c r="C34" s="19" t="s">
        <v>518</v>
      </c>
      <c r="D34" s="19" t="s">
        <v>232</v>
      </c>
      <c r="E34" s="19" t="str">
        <f>IFERROR(VLOOKUP(C34,#REF!, 9, FALSE), "")</f>
        <v/>
      </c>
      <c r="F34" s="19" t="str">
        <f t="shared" si="0"/>
        <v>N16 8DD</v>
      </c>
      <c r="G34">
        <v>51.552504999999996</v>
      </c>
      <c r="H34">
        <v>-7.9339420999999993E-2</v>
      </c>
      <c r="I34" s="26" t="s">
        <v>309</v>
      </c>
      <c r="J34" s="19">
        <v>51</v>
      </c>
      <c r="M34" s="19" t="s">
        <v>522</v>
      </c>
      <c r="N34" s="19" t="s">
        <v>468</v>
      </c>
      <c r="O34" s="26" t="s">
        <v>523</v>
      </c>
      <c r="P34" s="26" t="s">
        <v>935</v>
      </c>
      <c r="Q34" s="26" t="str">
        <f>IFERROR(VLOOKUP($C34,#REF!, 17, FALSE), "")</f>
        <v/>
      </c>
      <c r="R34" s="19" t="str">
        <f>IFERROR(VLOOKUP(C34,#REF!, 15, FALSE), "")</f>
        <v/>
      </c>
      <c r="S34" s="19" t="str">
        <f>IFERROR(VLOOKUP(C34,#REF!, 14, FALSE), "")</f>
        <v/>
      </c>
      <c r="T34">
        <v>0</v>
      </c>
      <c r="U34" s="26" t="s">
        <v>87</v>
      </c>
      <c r="V34" s="26" t="s">
        <v>167</v>
      </c>
      <c r="W34" s="19" t="s">
        <v>936</v>
      </c>
      <c r="X34" s="19" t="s">
        <v>937</v>
      </c>
    </row>
    <row r="35" spans="1:24" x14ac:dyDescent="0.25">
      <c r="A35" s="19" t="s">
        <v>29</v>
      </c>
      <c r="B35" s="19" t="s">
        <v>461</v>
      </c>
      <c r="C35" s="19" t="s">
        <v>503</v>
      </c>
      <c r="D35" s="19" t="s">
        <v>224</v>
      </c>
      <c r="E35" s="19" t="str">
        <f>IFERROR(VLOOKUP(C35,#REF!, 9, FALSE), "")</f>
        <v/>
      </c>
      <c r="F35" s="19" t="str">
        <f t="shared" si="0"/>
        <v>E8 3ER</v>
      </c>
      <c r="G35">
        <v>51.541362999999997</v>
      </c>
      <c r="H35">
        <v>-6.4003122999999995E-2</v>
      </c>
      <c r="I35" s="26" t="s">
        <v>301</v>
      </c>
      <c r="J35" s="19">
        <v>194</v>
      </c>
      <c r="M35" s="19" t="s">
        <v>507</v>
      </c>
      <c r="N35" s="19" t="s">
        <v>468</v>
      </c>
      <c r="O35" s="26" t="s">
        <v>508</v>
      </c>
      <c r="P35" s="26" t="s">
        <v>938</v>
      </c>
      <c r="Q35" s="26" t="str">
        <f>IFERROR(VLOOKUP($C35,#REF!, 17, FALSE), "")</f>
        <v/>
      </c>
      <c r="R35" s="19" t="str">
        <f>IFERROR(VLOOKUP(C35,#REF!, 15, FALSE), "")</f>
        <v/>
      </c>
      <c r="S35" s="19" t="str">
        <f>IFERROR(VLOOKUP(C35,#REF!, 14, FALSE), "")</f>
        <v/>
      </c>
      <c r="T35" s="26" t="s">
        <v>114</v>
      </c>
      <c r="U35" s="25">
        <v>0</v>
      </c>
      <c r="V35" s="26" t="s">
        <v>155</v>
      </c>
      <c r="W35" s="19" t="s">
        <v>939</v>
      </c>
      <c r="X35" s="19" t="s">
        <v>940</v>
      </c>
    </row>
    <row r="36" spans="1:24" x14ac:dyDescent="0.25">
      <c r="A36" s="19" t="s">
        <v>29</v>
      </c>
      <c r="B36" s="19" t="s">
        <v>462</v>
      </c>
      <c r="C36" s="19" t="s">
        <v>521</v>
      </c>
      <c r="D36" s="19" t="s">
        <v>276</v>
      </c>
      <c r="E36" s="19" t="str">
        <f>IFERROR(VLOOKUP(C36,#REF!, 9, FALSE), "")</f>
        <v/>
      </c>
      <c r="F36" s="19" t="str">
        <f t="shared" si="0"/>
        <v>N16 7ED</v>
      </c>
      <c r="G36">
        <v>51.563149000000003</v>
      </c>
      <c r="H36">
        <v>-6.6021199000000003E-2</v>
      </c>
      <c r="I36" s="26" t="s">
        <v>311</v>
      </c>
      <c r="J36" s="19">
        <v>103</v>
      </c>
      <c r="M36" s="19" t="s">
        <v>525</v>
      </c>
      <c r="N36" s="19" t="s">
        <v>468</v>
      </c>
      <c r="O36" s="26" t="s">
        <v>526</v>
      </c>
      <c r="P36"/>
      <c r="Q36" s="26" t="str">
        <f>IFERROR(VLOOKUP($C36,#REF!, 17, FALSE), "")</f>
        <v/>
      </c>
      <c r="R36" s="19" t="str">
        <f>IFERROR(VLOOKUP(C36,#REF!, 15, FALSE), "")</f>
        <v/>
      </c>
      <c r="S36" s="19" t="str">
        <f>IFERROR(VLOOKUP(C36,#REF!, 14, FALSE), "")</f>
        <v/>
      </c>
      <c r="T36" s="26" t="s">
        <v>120</v>
      </c>
      <c r="U36" s="25">
        <v>0</v>
      </c>
      <c r="V36" s="26" t="s">
        <v>166</v>
      </c>
      <c r="W36" s="19" t="s">
        <v>932</v>
      </c>
      <c r="X36" s="19" t="s">
        <v>933</v>
      </c>
    </row>
    <row r="37" spans="1:24" x14ac:dyDescent="0.25">
      <c r="A37" s="19" t="s">
        <v>29</v>
      </c>
      <c r="B37" s="19" t="s">
        <v>313</v>
      </c>
      <c r="C37" s="19" t="s">
        <v>524</v>
      </c>
      <c r="D37" s="19" t="s">
        <v>231</v>
      </c>
      <c r="E37" s="19" t="str">
        <f>IFERROR(VLOOKUP(C37,#REF!, 9, FALSE), "")</f>
        <v/>
      </c>
      <c r="F37" s="19" t="str">
        <f t="shared" si="0"/>
        <v>N4 2TW</v>
      </c>
      <c r="G37">
        <v>51.571142999999999</v>
      </c>
      <c r="H37">
        <v>-9.4066628999999999E-2</v>
      </c>
      <c r="I37" s="26" t="s">
        <v>312</v>
      </c>
      <c r="J37" s="19">
        <v>285</v>
      </c>
      <c r="M37" s="19" t="s">
        <v>528</v>
      </c>
      <c r="N37" s="19" t="s">
        <v>468</v>
      </c>
      <c r="O37" s="26" t="s">
        <v>529</v>
      </c>
      <c r="P37" s="26" t="s">
        <v>941</v>
      </c>
      <c r="Q37" s="26" t="str">
        <f>IFERROR(VLOOKUP($C37,#REF!, 17, FALSE), "")</f>
        <v/>
      </c>
      <c r="R37" s="19" t="str">
        <f>IFERROR(VLOOKUP(C37,#REF!, 15, FALSE), "")</f>
        <v/>
      </c>
      <c r="S37" s="19" t="str">
        <f>IFERROR(VLOOKUP(C37,#REF!, 14, FALSE), "")</f>
        <v/>
      </c>
      <c r="T37" s="26" t="s">
        <v>119</v>
      </c>
      <c r="U37" s="25">
        <v>0</v>
      </c>
      <c r="V37" s="26" t="s">
        <v>165</v>
      </c>
      <c r="W37" s="19" t="s">
        <v>942</v>
      </c>
      <c r="X37" s="19" t="s">
        <v>943</v>
      </c>
    </row>
    <row r="38" spans="1:24" x14ac:dyDescent="0.25">
      <c r="A38" s="19" t="s">
        <v>29</v>
      </c>
      <c r="B38" s="19" t="s">
        <v>13</v>
      </c>
      <c r="C38" s="19" t="s">
        <v>506</v>
      </c>
      <c r="D38" s="19" t="s">
        <v>944</v>
      </c>
      <c r="E38" s="19" t="str">
        <f>IFERROR(VLOOKUP(C38,#REF!, 9, FALSE), "")</f>
        <v/>
      </c>
      <c r="F38" s="19" t="str">
        <f t="shared" si="0"/>
        <v>N16 7QB</v>
      </c>
      <c r="G38">
        <v>51.557048000000002</v>
      </c>
      <c r="H38">
        <v>-7.3969093999999999E-2</v>
      </c>
      <c r="I38" s="26" t="s">
        <v>302</v>
      </c>
      <c r="J38" s="19">
        <v>93</v>
      </c>
      <c r="M38" s="19" t="s">
        <v>510</v>
      </c>
      <c r="N38" s="19" t="s">
        <v>468</v>
      </c>
      <c r="O38" s="26" t="s">
        <v>511</v>
      </c>
      <c r="P38" s="26" t="s">
        <v>945</v>
      </c>
      <c r="Q38" s="26" t="str">
        <f>IFERROR(VLOOKUP($C38,#REF!, 17, FALSE), "")</f>
        <v/>
      </c>
      <c r="R38" s="19" t="str">
        <f>IFERROR(VLOOKUP(C38,#REF!, 15, FALSE), "")</f>
        <v/>
      </c>
      <c r="S38" s="19" t="str">
        <f>IFERROR(VLOOKUP(C38,#REF!, 14, FALSE), "")</f>
        <v/>
      </c>
      <c r="T38" s="26" t="s">
        <v>115</v>
      </c>
      <c r="U38" s="25">
        <v>0</v>
      </c>
      <c r="V38" s="26" t="s">
        <v>156</v>
      </c>
      <c r="W38" s="19" t="s">
        <v>946</v>
      </c>
      <c r="X38" s="19" t="s">
        <v>947</v>
      </c>
    </row>
    <row r="39" spans="1:24" x14ac:dyDescent="0.25">
      <c r="A39" s="19" t="s">
        <v>29</v>
      </c>
      <c r="B39" s="19" t="s">
        <v>587</v>
      </c>
      <c r="C39" s="19" t="s">
        <v>588</v>
      </c>
      <c r="E39" s="19" t="str">
        <f>IFERROR(VLOOKUP(C39,#REF!, 9, FALSE), "")</f>
        <v/>
      </c>
      <c r="F39" s="19" t="str">
        <f t="shared" si="0"/>
        <v/>
      </c>
      <c r="G39"/>
      <c r="H39"/>
      <c r="I39" s="26" t="s">
        <v>589</v>
      </c>
      <c r="J39" s="19">
        <v>0</v>
      </c>
      <c r="M39" s="19" t="s">
        <v>594</v>
      </c>
      <c r="N39" s="19" t="s">
        <v>570</v>
      </c>
      <c r="O39" s="26" t="s">
        <v>595</v>
      </c>
      <c r="P39" s="26" t="s">
        <v>948</v>
      </c>
      <c r="Q39" s="26" t="str">
        <f>IFERROR(VLOOKUP($C39,#REF!, 17, FALSE), "")</f>
        <v/>
      </c>
      <c r="R39" s="19" t="str">
        <f>IFERROR(VLOOKUP(C39,#REF!, 15, FALSE), "")</f>
        <v/>
      </c>
      <c r="S39" s="19" t="str">
        <f>IFERROR(VLOOKUP(C39,#REF!, 14, FALSE), "")</f>
        <v/>
      </c>
      <c r="T39" t="s">
        <v>77</v>
      </c>
      <c r="U39" s="25" t="s">
        <v>77</v>
      </c>
      <c r="V39" s="25" t="s">
        <v>77</v>
      </c>
    </row>
    <row r="40" spans="1:24" x14ac:dyDescent="0.25">
      <c r="A40" s="19" t="s">
        <v>29</v>
      </c>
      <c r="B40" s="19" t="s">
        <v>304</v>
      </c>
      <c r="C40" s="19" t="s">
        <v>509</v>
      </c>
      <c r="D40" s="19" t="s">
        <v>219</v>
      </c>
      <c r="E40" s="19" t="str">
        <f>IFERROR(VLOOKUP(C40,#REF!, 9, FALSE), "")</f>
        <v/>
      </c>
      <c r="F40" s="19" t="str">
        <f t="shared" si="0"/>
        <v>N1 4DA</v>
      </c>
      <c r="G40">
        <v>51.540774999999996</v>
      </c>
      <c r="H40">
        <v>-8.0208288000000003E-2</v>
      </c>
      <c r="I40" s="26" t="s">
        <v>303</v>
      </c>
      <c r="J40" s="19">
        <v>178</v>
      </c>
      <c r="M40" s="19" t="s">
        <v>513</v>
      </c>
      <c r="N40" s="19" t="s">
        <v>468</v>
      </c>
      <c r="O40" s="26" t="s">
        <v>514</v>
      </c>
      <c r="P40" s="26" t="s">
        <v>949</v>
      </c>
      <c r="Q40" s="26" t="str">
        <f>IFERROR(VLOOKUP($C40,#REF!, 17, FALSE), "")</f>
        <v/>
      </c>
      <c r="R40" s="19" t="str">
        <f>IFERROR(VLOOKUP(C40,#REF!, 15, FALSE), "")</f>
        <v/>
      </c>
      <c r="S40" s="19" t="str">
        <f>IFERROR(VLOOKUP(C40,#REF!, 14, FALSE), "")</f>
        <v/>
      </c>
      <c r="T40" s="26" t="s">
        <v>112</v>
      </c>
      <c r="U40" s="25">
        <v>0</v>
      </c>
      <c r="V40" s="26" t="s">
        <v>151</v>
      </c>
      <c r="W40" s="19" t="s">
        <v>950</v>
      </c>
      <c r="X40" s="19" t="s">
        <v>951</v>
      </c>
    </row>
    <row r="41" spans="1:24" x14ac:dyDescent="0.25">
      <c r="A41" s="19" t="s">
        <v>29</v>
      </c>
      <c r="B41" s="19" t="s">
        <v>286</v>
      </c>
      <c r="C41" s="19" t="s">
        <v>475</v>
      </c>
      <c r="D41" s="19" t="s">
        <v>952</v>
      </c>
      <c r="E41" s="19" t="str">
        <f>IFERROR(VLOOKUP(C41,#REF!, 9, FALSE), "")</f>
        <v/>
      </c>
      <c r="F41" s="19" t="str">
        <f t="shared" si="0"/>
        <v>Street, N16</v>
      </c>
      <c r="G41"/>
      <c r="H41"/>
      <c r="I41" s="26" t="s">
        <v>285</v>
      </c>
      <c r="J41" s="19">
        <v>80</v>
      </c>
      <c r="M41" s="19" t="s">
        <v>480</v>
      </c>
      <c r="N41" s="19" t="s">
        <v>468</v>
      </c>
      <c r="O41" s="26" t="s">
        <v>481</v>
      </c>
      <c r="P41" s="26" t="s">
        <v>953</v>
      </c>
      <c r="Q41" s="26" t="str">
        <f>IFERROR(VLOOKUP($C41,#REF!, 17, FALSE), "")</f>
        <v/>
      </c>
      <c r="R41" s="19" t="str">
        <f>IFERROR(VLOOKUP(C41,#REF!, 15, FALSE), "")</f>
        <v/>
      </c>
      <c r="S41" s="19" t="str">
        <f>IFERROR(VLOOKUP(C41,#REF!, 14, FALSE), "")</f>
        <v/>
      </c>
      <c r="T41" s="26" t="s">
        <v>110</v>
      </c>
      <c r="U41" s="25">
        <v>0</v>
      </c>
      <c r="V41" s="26" t="s">
        <v>148</v>
      </c>
      <c r="W41" s="19" t="s">
        <v>954</v>
      </c>
      <c r="X41" s="19" t="s">
        <v>955</v>
      </c>
    </row>
    <row r="42" spans="1:24" x14ac:dyDescent="0.25">
      <c r="A42" s="19" t="s">
        <v>29</v>
      </c>
      <c r="B42" s="19" t="s">
        <v>560</v>
      </c>
      <c r="C42" s="19" t="s">
        <v>561</v>
      </c>
      <c r="E42" s="19" t="str">
        <f>IFERROR(VLOOKUP(C42,#REF!, 9, FALSE), "")</f>
        <v/>
      </c>
      <c r="F42" s="19" t="str">
        <f t="shared" si="0"/>
        <v/>
      </c>
      <c r="G42"/>
      <c r="H42"/>
      <c r="I42" s="26" t="s">
        <v>562</v>
      </c>
      <c r="J42" s="19">
        <v>0</v>
      </c>
      <c r="M42" s="19" t="s">
        <v>569</v>
      </c>
      <c r="N42" s="19" t="s">
        <v>570</v>
      </c>
      <c r="O42" s="26" t="s">
        <v>571</v>
      </c>
      <c r="P42" s="26" t="s">
        <v>956</v>
      </c>
      <c r="Q42" s="26" t="str">
        <f>IFERROR(VLOOKUP($C42,#REF!, 17, FALSE), "")</f>
        <v/>
      </c>
      <c r="R42" s="19" t="str">
        <f>IFERROR(VLOOKUP(C42,#REF!, 15, FALSE), "")</f>
        <v/>
      </c>
      <c r="S42" s="19" t="str">
        <f>IFERROR(VLOOKUP(C42,#REF!, 14, FALSE), "")</f>
        <v/>
      </c>
      <c r="T42" t="s">
        <v>77</v>
      </c>
      <c r="U42" s="25" t="s">
        <v>77</v>
      </c>
      <c r="V42" s="25" t="s">
        <v>77</v>
      </c>
    </row>
    <row r="43" spans="1:24" x14ac:dyDescent="0.25">
      <c r="A43" s="19" t="s">
        <v>71</v>
      </c>
      <c r="B43" s="19" t="s">
        <v>616</v>
      </c>
      <c r="C43" s="19" t="s">
        <v>615</v>
      </c>
      <c r="D43" s="19" t="s">
        <v>957</v>
      </c>
      <c r="E43" s="19" t="str">
        <f>IFERROR(VLOOKUP(C43,#REF!, 9, FALSE), "")</f>
        <v/>
      </c>
      <c r="F43" s="19" t="str">
        <f t="shared" si="0"/>
        <v>N1 0DH)</v>
      </c>
      <c r="G43">
        <v>51.539318000000002</v>
      </c>
      <c r="H43">
        <v>-0.12190113</v>
      </c>
      <c r="I43" s="26" t="s">
        <v>345</v>
      </c>
      <c r="J43" s="19">
        <v>21</v>
      </c>
      <c r="M43" s="19" t="s">
        <v>620</v>
      </c>
      <c r="N43" s="19" t="s">
        <v>544</v>
      </c>
      <c r="O43" s="26" t="s">
        <v>621</v>
      </c>
      <c r="P43" s="26" t="s">
        <v>958</v>
      </c>
      <c r="Q43" s="20" t="s">
        <v>82</v>
      </c>
      <c r="R43" s="19" t="str">
        <f>IFERROR(VLOOKUP(C43,#REF!, 15, FALSE), "")</f>
        <v/>
      </c>
      <c r="S43" s="19" t="str">
        <f>IFERROR(VLOOKUP(C43,#REF!, 14, FALSE), "")</f>
        <v/>
      </c>
      <c r="T43" t="s">
        <v>77</v>
      </c>
      <c r="U43" s="25" t="s">
        <v>77</v>
      </c>
      <c r="V43" s="25" t="s">
        <v>77</v>
      </c>
      <c r="W43" s="19" t="s">
        <v>959</v>
      </c>
      <c r="X43" s="19" t="s">
        <v>960</v>
      </c>
    </row>
    <row r="44" spans="1:24" x14ac:dyDescent="0.25">
      <c r="A44" s="19" t="s">
        <v>71</v>
      </c>
      <c r="B44" s="19" t="s">
        <v>350</v>
      </c>
      <c r="C44" s="19" t="s">
        <v>625</v>
      </c>
      <c r="D44" s="19" t="s">
        <v>240</v>
      </c>
      <c r="E44" s="19" t="str">
        <f>IFERROR(VLOOKUP(C44,#REF!, 9, FALSE), "")</f>
        <v/>
      </c>
      <c r="F44" s="19" t="str">
        <f t="shared" si="0"/>
        <v>N5 1SA</v>
      </c>
      <c r="G44">
        <v>51.552225</v>
      </c>
      <c r="H44">
        <v>-9.8607849999999997E-2</v>
      </c>
      <c r="I44" s="26" t="s">
        <v>349</v>
      </c>
      <c r="J44" s="19">
        <v>272</v>
      </c>
      <c r="M44" s="19" t="s">
        <v>629</v>
      </c>
      <c r="N44" s="19" t="s">
        <v>544</v>
      </c>
      <c r="O44" s="26" t="s">
        <v>630</v>
      </c>
      <c r="P44" s="26" t="s">
        <v>961</v>
      </c>
      <c r="Q44" s="26" t="str">
        <f>IFERROR(VLOOKUP($C44,#REF!, 17, FALSE), "")</f>
        <v/>
      </c>
      <c r="R44" s="19" t="str">
        <f>IFERROR(VLOOKUP(C44,#REF!, 15, FALSE), "")</f>
        <v/>
      </c>
      <c r="S44" s="19" t="str">
        <f>IFERROR(VLOOKUP(C44,#REF!, 14, FALSE), "")</f>
        <v/>
      </c>
      <c r="T44" s="26" t="s">
        <v>125</v>
      </c>
      <c r="U44" s="26" t="s">
        <v>91</v>
      </c>
      <c r="V44" s="26" t="s">
        <v>173</v>
      </c>
      <c r="W44" s="19" t="s">
        <v>962</v>
      </c>
      <c r="X44" s="19" t="s">
        <v>963</v>
      </c>
    </row>
    <row r="45" spans="1:24" x14ac:dyDescent="0.25">
      <c r="A45" s="19" t="s">
        <v>71</v>
      </c>
      <c r="B45" s="19" t="s">
        <v>403</v>
      </c>
      <c r="C45" s="19" t="s">
        <v>733</v>
      </c>
      <c r="E45" s="19" t="str">
        <f>IFERROR(VLOOKUP(C45,#REF!, 9, FALSE), "")</f>
        <v/>
      </c>
      <c r="F45" s="19" t="str">
        <f t="shared" si="0"/>
        <v/>
      </c>
      <c r="G45"/>
      <c r="H45"/>
      <c r="I45" s="26" t="s">
        <v>402</v>
      </c>
      <c r="J45" s="19">
        <v>0</v>
      </c>
      <c r="M45" s="19" t="s">
        <v>735</v>
      </c>
      <c r="N45" s="19" t="s">
        <v>736</v>
      </c>
      <c r="O45" s="26" t="s">
        <v>737</v>
      </c>
      <c r="P45" s="26" t="s">
        <v>964</v>
      </c>
      <c r="Q45" s="26" t="str">
        <f>IFERROR(VLOOKUP($C45,#REF!, 17, FALSE), "")</f>
        <v/>
      </c>
      <c r="R45" s="19" t="str">
        <f>IFERROR(VLOOKUP(C45,#REF!, 15, FALSE), "")</f>
        <v/>
      </c>
      <c r="S45" s="19" t="str">
        <f>IFERROR(VLOOKUP(C45,#REF!, 14, FALSE), "")</f>
        <v/>
      </c>
      <c r="T45" t="s">
        <v>77</v>
      </c>
      <c r="U45" s="25" t="s">
        <v>77</v>
      </c>
      <c r="V45" s="25" t="s">
        <v>77</v>
      </c>
    </row>
    <row r="46" spans="1:24" x14ac:dyDescent="0.25">
      <c r="A46" s="19" t="s">
        <v>71</v>
      </c>
      <c r="B46" s="19" t="s">
        <v>386</v>
      </c>
      <c r="C46" s="19" t="s">
        <v>678</v>
      </c>
      <c r="E46" s="19" t="str">
        <f>IFERROR(VLOOKUP(C46,#REF!, 9, FALSE), "")</f>
        <v/>
      </c>
      <c r="F46" s="19" t="str">
        <f t="shared" si="0"/>
        <v/>
      </c>
      <c r="G46"/>
      <c r="H46"/>
      <c r="I46" s="26" t="s">
        <v>385</v>
      </c>
      <c r="J46" s="19">
        <v>0</v>
      </c>
      <c r="P46" s="26" t="s">
        <v>965</v>
      </c>
      <c r="Q46" s="26" t="str">
        <f>IFERROR(VLOOKUP($C46,#REF!, 17, FALSE), "")</f>
        <v/>
      </c>
      <c r="R46" s="19" t="str">
        <f>IFERROR(VLOOKUP(C46,#REF!, 15, FALSE), "")</f>
        <v/>
      </c>
      <c r="S46" s="19" t="str">
        <f>IFERROR(VLOOKUP(C46,#REF!, 14, FALSE), "")</f>
        <v/>
      </c>
      <c r="T46" t="s">
        <v>77</v>
      </c>
      <c r="U46" s="25" t="s">
        <v>77</v>
      </c>
      <c r="V46" s="25" t="s">
        <v>77</v>
      </c>
    </row>
    <row r="47" spans="1:24" x14ac:dyDescent="0.25">
      <c r="A47" s="19" t="s">
        <v>71</v>
      </c>
      <c r="B47" s="19" t="s">
        <v>715</v>
      </c>
      <c r="C47" s="19" t="s">
        <v>716</v>
      </c>
      <c r="E47" s="19" t="str">
        <f>IFERROR(VLOOKUP(C47,#REF!, 9, FALSE), "")</f>
        <v/>
      </c>
      <c r="F47" s="19" t="str">
        <f t="shared" si="0"/>
        <v/>
      </c>
      <c r="G47"/>
      <c r="H47"/>
      <c r="I47" s="26" t="s">
        <v>717</v>
      </c>
      <c r="J47" s="19">
        <v>0</v>
      </c>
      <c r="M47" s="19" t="s">
        <v>721</v>
      </c>
      <c r="N47" s="19" t="s">
        <v>570</v>
      </c>
      <c r="O47" s="26" t="s">
        <v>722</v>
      </c>
      <c r="P47" s="26" t="s">
        <v>966</v>
      </c>
      <c r="Q47" s="26" t="str">
        <f>IFERROR(VLOOKUP($C47,#REF!, 17, FALSE), "")</f>
        <v/>
      </c>
      <c r="R47" s="19" t="str">
        <f>IFERROR(VLOOKUP(C47,#REF!, 15, FALSE), "")</f>
        <v/>
      </c>
      <c r="S47" s="19" t="str">
        <f>IFERROR(VLOOKUP(C47,#REF!, 14, FALSE), "")</f>
        <v/>
      </c>
      <c r="T47" t="s">
        <v>77</v>
      </c>
      <c r="U47" s="25" t="s">
        <v>77</v>
      </c>
      <c r="V47" s="25" t="s">
        <v>77</v>
      </c>
    </row>
    <row r="48" spans="1:24" x14ac:dyDescent="0.25">
      <c r="A48" s="19" t="s">
        <v>71</v>
      </c>
      <c r="B48" s="19" t="s">
        <v>384</v>
      </c>
      <c r="C48" s="19" t="s">
        <v>675</v>
      </c>
      <c r="D48" s="19" t="s">
        <v>249</v>
      </c>
      <c r="E48" s="19" t="str">
        <f>IFERROR(VLOOKUP(C48,#REF!, 9, FALSE), "")</f>
        <v/>
      </c>
      <c r="F48" s="19" t="str">
        <f t="shared" si="0"/>
        <v>N7 6DU</v>
      </c>
      <c r="G48">
        <v>51.559497</v>
      </c>
      <c r="H48">
        <v>-0.11456349</v>
      </c>
      <c r="I48" s="26" t="s">
        <v>383</v>
      </c>
      <c r="J48" s="19">
        <v>0</v>
      </c>
      <c r="P48"/>
      <c r="Q48" s="26" t="str">
        <f>IFERROR(VLOOKUP($C48,#REF!, 17, FALSE), "")</f>
        <v/>
      </c>
      <c r="R48" s="19" t="str">
        <f>IFERROR(VLOOKUP(C48,#REF!, 15, FALSE), "")</f>
        <v/>
      </c>
      <c r="S48" s="19" t="str">
        <f>IFERROR(VLOOKUP(C48,#REF!, 14, FALSE), "")</f>
        <v/>
      </c>
      <c r="T48" s="26" t="s">
        <v>131</v>
      </c>
      <c r="U48" s="25">
        <v>0</v>
      </c>
      <c r="V48" s="26" t="s">
        <v>183</v>
      </c>
    </row>
    <row r="49" spans="1:24" x14ac:dyDescent="0.25">
      <c r="A49" s="19" t="s">
        <v>71</v>
      </c>
      <c r="B49" s="19" t="s">
        <v>399</v>
      </c>
      <c r="C49" s="19" t="s">
        <v>728</v>
      </c>
      <c r="E49" s="19" t="str">
        <f>IFERROR(VLOOKUP(C49,#REF!, 9, FALSE), "")</f>
        <v/>
      </c>
      <c r="F49" s="19" t="str">
        <f t="shared" si="0"/>
        <v/>
      </c>
      <c r="G49"/>
      <c r="H49"/>
      <c r="I49" s="26" t="s">
        <v>398</v>
      </c>
      <c r="J49" s="19">
        <v>0</v>
      </c>
      <c r="M49" s="19" t="s">
        <v>730</v>
      </c>
      <c r="N49" s="19" t="s">
        <v>731</v>
      </c>
      <c r="O49" s="26" t="s">
        <v>732</v>
      </c>
      <c r="P49"/>
      <c r="Q49" s="26" t="str">
        <f>IFERROR(VLOOKUP($C49,#REF!, 17, FALSE), "")</f>
        <v/>
      </c>
      <c r="R49" s="19" t="str">
        <f>IFERROR(VLOOKUP(C49,#REF!, 15, FALSE), "")</f>
        <v/>
      </c>
      <c r="S49" s="19" t="str">
        <f>IFERROR(VLOOKUP(C49,#REF!, 14, FALSE), "")</f>
        <v/>
      </c>
      <c r="T49" t="s">
        <v>77</v>
      </c>
      <c r="U49" s="25" t="s">
        <v>77</v>
      </c>
      <c r="V49" s="25" t="s">
        <v>77</v>
      </c>
    </row>
    <row r="50" spans="1:24" x14ac:dyDescent="0.25">
      <c r="A50" s="19" t="s">
        <v>71</v>
      </c>
      <c r="B50" s="19" t="s">
        <v>363</v>
      </c>
      <c r="C50" s="19" t="s">
        <v>646</v>
      </c>
      <c r="D50" s="19" t="s">
        <v>243</v>
      </c>
      <c r="E50" s="19" t="str">
        <f>IFERROR(VLOOKUP(C50,#REF!, 9, FALSE), "")</f>
        <v/>
      </c>
      <c r="F50" s="19" t="str">
        <f t="shared" si="0"/>
        <v>N7 8AB</v>
      </c>
      <c r="G50">
        <v>51.547403000000003</v>
      </c>
      <c r="H50">
        <v>-0.11350584</v>
      </c>
      <c r="I50" s="26" t="s">
        <v>362</v>
      </c>
      <c r="J50" s="19">
        <v>306</v>
      </c>
      <c r="M50" s="19" t="s">
        <v>650</v>
      </c>
      <c r="N50" s="19" t="s">
        <v>468</v>
      </c>
      <c r="O50" s="26" t="s">
        <v>651</v>
      </c>
      <c r="P50" s="26" t="s">
        <v>967</v>
      </c>
      <c r="Q50" s="26" t="str">
        <f>IFERROR(VLOOKUP($C50,#REF!, 17, FALSE), "")</f>
        <v/>
      </c>
      <c r="R50" s="19" t="str">
        <f>IFERROR(VLOOKUP(C50,#REF!, 15, FALSE), "")</f>
        <v/>
      </c>
      <c r="S50" s="19" t="str">
        <f>IFERROR(VLOOKUP(C50,#REF!, 14, FALSE), "")</f>
        <v/>
      </c>
      <c r="T50" t="s">
        <v>77</v>
      </c>
      <c r="U50" s="25" t="s">
        <v>77</v>
      </c>
      <c r="V50" s="25" t="s">
        <v>77</v>
      </c>
      <c r="W50" s="19" t="s">
        <v>968</v>
      </c>
      <c r="X50" s="19" t="s">
        <v>969</v>
      </c>
    </row>
    <row r="51" spans="1:24" x14ac:dyDescent="0.25">
      <c r="A51" s="19" t="s">
        <v>71</v>
      </c>
      <c r="B51" s="19" t="s">
        <v>401</v>
      </c>
      <c r="C51" s="19" t="s">
        <v>729</v>
      </c>
      <c r="E51" s="19" t="str">
        <f>IFERROR(VLOOKUP(C51,#REF!, 9, FALSE), "")</f>
        <v/>
      </c>
      <c r="F51" s="19" t="str">
        <f t="shared" si="0"/>
        <v/>
      </c>
      <c r="G51"/>
      <c r="H51"/>
      <c r="I51" s="26" t="s">
        <v>400</v>
      </c>
      <c r="J51" s="19">
        <v>0</v>
      </c>
      <c r="P51"/>
      <c r="Q51" s="26" t="str">
        <f>IFERROR(VLOOKUP($C51,#REF!, 17, FALSE), "")</f>
        <v/>
      </c>
      <c r="R51" s="19" t="str">
        <f>IFERROR(VLOOKUP(C51,#REF!, 15, FALSE), "")</f>
        <v/>
      </c>
      <c r="S51" s="19" t="str">
        <f>IFERROR(VLOOKUP(C51,#REF!, 14, FALSE), "")</f>
        <v/>
      </c>
      <c r="T51" t="s">
        <v>77</v>
      </c>
      <c r="U51" s="25" t="s">
        <v>77</v>
      </c>
      <c r="V51" s="25" t="s">
        <v>77</v>
      </c>
    </row>
    <row r="52" spans="1:24" x14ac:dyDescent="0.25">
      <c r="A52" s="19" t="s">
        <v>71</v>
      </c>
      <c r="B52" s="19" t="s">
        <v>397</v>
      </c>
      <c r="C52" s="19" t="s">
        <v>726</v>
      </c>
      <c r="E52" s="19" t="str">
        <f>IFERROR(VLOOKUP(C52,#REF!, 9, FALSE), "")</f>
        <v/>
      </c>
      <c r="F52" s="19" t="str">
        <f t="shared" si="0"/>
        <v/>
      </c>
      <c r="G52"/>
      <c r="H52"/>
      <c r="I52" s="26" t="s">
        <v>396</v>
      </c>
      <c r="J52" s="19">
        <v>0</v>
      </c>
      <c r="P52"/>
      <c r="Q52" s="26" t="str">
        <f>IFERROR(VLOOKUP($C52,#REF!, 17, FALSE), "")</f>
        <v/>
      </c>
      <c r="R52" s="19" t="str">
        <f>IFERROR(VLOOKUP(C52,#REF!, 15, FALSE), "")</f>
        <v/>
      </c>
      <c r="S52" s="19" t="str">
        <f>IFERROR(VLOOKUP(C52,#REF!, 14, FALSE), "")</f>
        <v/>
      </c>
      <c r="T52" t="s">
        <v>77</v>
      </c>
      <c r="U52" s="25" t="s">
        <v>77</v>
      </c>
      <c r="V52" s="25" t="s">
        <v>77</v>
      </c>
    </row>
    <row r="53" spans="1:24" x14ac:dyDescent="0.25">
      <c r="A53" s="19" t="s">
        <v>71</v>
      </c>
      <c r="B53" s="19" t="s">
        <v>365</v>
      </c>
      <c r="C53" s="19" t="s">
        <v>649</v>
      </c>
      <c r="E53" s="19" t="str">
        <f>IFERROR(VLOOKUP(C53,#REF!, 9, FALSE), "")</f>
        <v/>
      </c>
      <c r="F53" s="19" t="str">
        <f t="shared" si="0"/>
        <v/>
      </c>
      <c r="G53"/>
      <c r="H53"/>
      <c r="I53" s="26" t="s">
        <v>364</v>
      </c>
      <c r="J53" s="19">
        <v>0</v>
      </c>
      <c r="P53" s="26" t="s">
        <v>970</v>
      </c>
      <c r="Q53" s="26" t="str">
        <f>IFERROR(VLOOKUP($C53,#REF!, 17, FALSE), "")</f>
        <v/>
      </c>
      <c r="R53" s="19" t="str">
        <f>IFERROR(VLOOKUP(C53,#REF!, 15, FALSE), "")</f>
        <v/>
      </c>
      <c r="S53" s="19" t="str">
        <f>IFERROR(VLOOKUP(C53,#REF!, 14, FALSE), "")</f>
        <v/>
      </c>
      <c r="T53" t="s">
        <v>77</v>
      </c>
      <c r="U53" s="25" t="s">
        <v>77</v>
      </c>
      <c r="V53" s="25" t="s">
        <v>77</v>
      </c>
    </row>
    <row r="54" spans="1:24" x14ac:dyDescent="0.25">
      <c r="A54" s="19" t="s">
        <v>71</v>
      </c>
      <c r="B54" s="19" t="s">
        <v>378</v>
      </c>
      <c r="C54" s="19" t="s">
        <v>668</v>
      </c>
      <c r="D54" s="19" t="s">
        <v>459</v>
      </c>
      <c r="E54" s="19" t="str">
        <f>IFERROR(VLOOKUP(C54,#REF!, 9, FALSE), "")</f>
        <v/>
      </c>
      <c r="F54" s="19" t="str">
        <f t="shared" si="0"/>
        <v>EC1R 4QE</v>
      </c>
      <c r="G54">
        <v>51.525861999999996</v>
      </c>
      <c r="H54">
        <v>-0.10884609000000001</v>
      </c>
      <c r="I54" s="26" t="s">
        <v>377</v>
      </c>
      <c r="J54" s="19">
        <v>90</v>
      </c>
      <c r="M54" s="19" t="s">
        <v>672</v>
      </c>
      <c r="N54" s="19" t="s">
        <v>468</v>
      </c>
      <c r="O54" s="26" t="s">
        <v>673</v>
      </c>
      <c r="P54" s="26" t="s">
        <v>971</v>
      </c>
      <c r="Q54" s="26" t="str">
        <f>IFERROR(VLOOKUP($C54,#REF!, 17, FALSE), "")</f>
        <v/>
      </c>
      <c r="R54" s="19" t="str">
        <f>IFERROR(VLOOKUP(C54,#REF!, 15, FALSE), "")</f>
        <v/>
      </c>
      <c r="S54" s="19" t="str">
        <f>IFERROR(VLOOKUP(C54,#REF!, 14, FALSE), "")</f>
        <v/>
      </c>
      <c r="T54" s="26" t="s">
        <v>122</v>
      </c>
      <c r="U54" s="26" t="s">
        <v>88</v>
      </c>
      <c r="V54" s="26" t="s">
        <v>169</v>
      </c>
      <c r="W54" s="19" t="s">
        <v>972</v>
      </c>
      <c r="X54" s="19" t="s">
        <v>973</v>
      </c>
    </row>
    <row r="55" spans="1:24" x14ac:dyDescent="0.25">
      <c r="A55" s="19" t="s">
        <v>71</v>
      </c>
      <c r="B55" s="19" t="s">
        <v>614</v>
      </c>
      <c r="C55" s="19" t="s">
        <v>615</v>
      </c>
      <c r="D55" s="19" t="s">
        <v>233</v>
      </c>
      <c r="E55" s="19" t="str">
        <f>IFERROR(VLOOKUP(C55,#REF!, 9, FALSE), "")</f>
        <v/>
      </c>
      <c r="F55" s="19" t="str">
        <f t="shared" si="0"/>
        <v>N1 1BQ</v>
      </c>
      <c r="G55">
        <v>51.540033999999999</v>
      </c>
      <c r="H55">
        <v>-0.11441622</v>
      </c>
      <c r="I55" s="26" t="s">
        <v>344</v>
      </c>
      <c r="J55" s="19">
        <v>103</v>
      </c>
      <c r="M55" s="19" t="s">
        <v>617</v>
      </c>
      <c r="N55" s="19" t="s">
        <v>618</v>
      </c>
      <c r="O55" s="26" t="s">
        <v>619</v>
      </c>
      <c r="P55" s="26" t="s">
        <v>974</v>
      </c>
      <c r="Q55" s="26" t="str">
        <f>IFERROR(VLOOKUP($C55,#REF!, 17, FALSE), "")</f>
        <v/>
      </c>
      <c r="R55" s="19" t="str">
        <f>IFERROR(VLOOKUP(C55,#REF!, 15, FALSE), "")</f>
        <v/>
      </c>
      <c r="S55" s="19" t="str">
        <f>IFERROR(VLOOKUP(C55,#REF!, 14, FALSE), "")</f>
        <v/>
      </c>
      <c r="T55" t="s">
        <v>77</v>
      </c>
      <c r="U55" s="25" t="s">
        <v>77</v>
      </c>
      <c r="V55" s="25" t="s">
        <v>77</v>
      </c>
      <c r="W55" s="19" t="s">
        <v>959</v>
      </c>
      <c r="X55" s="19" t="s">
        <v>960</v>
      </c>
    </row>
    <row r="56" spans="1:24" x14ac:dyDescent="0.25">
      <c r="A56" s="19" t="s">
        <v>71</v>
      </c>
      <c r="B56" s="19" t="s">
        <v>341</v>
      </c>
      <c r="C56" s="19" t="s">
        <v>608</v>
      </c>
      <c r="D56" s="19" t="s">
        <v>245</v>
      </c>
      <c r="E56" s="19" t="str">
        <f>IFERROR(VLOOKUP(C56,#REF!, 9, FALSE), "")</f>
        <v/>
      </c>
      <c r="F56" s="19" t="str">
        <f t="shared" si="0"/>
        <v>N19 3TN</v>
      </c>
      <c r="G56">
        <v>51.570506000000002</v>
      </c>
      <c r="H56">
        <v>-0.13495963</v>
      </c>
      <c r="I56" s="26" t="s">
        <v>340</v>
      </c>
      <c r="J56" s="19">
        <v>44</v>
      </c>
      <c r="M56" s="19" t="s">
        <v>612</v>
      </c>
      <c r="N56" s="19" t="s">
        <v>468</v>
      </c>
      <c r="O56" s="26" t="s">
        <v>613</v>
      </c>
      <c r="P56" s="26" t="s">
        <v>975</v>
      </c>
      <c r="Q56" s="26" t="str">
        <f>IFERROR(VLOOKUP($C56,#REF!, 17, FALSE), "")</f>
        <v/>
      </c>
      <c r="R56" s="19" t="str">
        <f>IFERROR(VLOOKUP(C56,#REF!, 15, FALSE), "")</f>
        <v/>
      </c>
      <c r="S56" s="19" t="str">
        <f>IFERROR(VLOOKUP(C56,#REF!, 14, FALSE), "")</f>
        <v/>
      </c>
      <c r="T56">
        <v>0</v>
      </c>
      <c r="U56" s="25">
        <v>0</v>
      </c>
      <c r="V56" s="26" t="s">
        <v>177</v>
      </c>
      <c r="W56" s="19" t="s">
        <v>976</v>
      </c>
      <c r="X56" s="19" t="s">
        <v>977</v>
      </c>
    </row>
    <row r="57" spans="1:24" x14ac:dyDescent="0.25">
      <c r="A57" s="19" t="s">
        <v>71</v>
      </c>
      <c r="B57" s="19" t="s">
        <v>718</v>
      </c>
      <c r="C57" s="19" t="s">
        <v>719</v>
      </c>
      <c r="E57" s="19" t="str">
        <f>IFERROR(VLOOKUP(C57,#REF!, 9, FALSE), "")</f>
        <v/>
      </c>
      <c r="F57" s="19" t="str">
        <f t="shared" si="0"/>
        <v/>
      </c>
      <c r="G57"/>
      <c r="H57"/>
      <c r="I57" s="26" t="s">
        <v>720</v>
      </c>
      <c r="J57" s="19">
        <v>0</v>
      </c>
      <c r="M57" s="19" t="s">
        <v>724</v>
      </c>
      <c r="N57" s="19" t="s">
        <v>570</v>
      </c>
      <c r="O57" s="26" t="s">
        <v>725</v>
      </c>
      <c r="P57" s="26" t="s">
        <v>978</v>
      </c>
      <c r="Q57" s="26" t="str">
        <f>IFERROR(VLOOKUP($C57,#REF!, 17, FALSE), "")</f>
        <v/>
      </c>
      <c r="R57" s="19" t="str">
        <f>IFERROR(VLOOKUP(C57,#REF!, 15, FALSE), "")</f>
        <v/>
      </c>
      <c r="S57" s="19" t="str">
        <f>IFERROR(VLOOKUP(C57,#REF!, 14, FALSE), "")</f>
        <v/>
      </c>
      <c r="T57" t="s">
        <v>77</v>
      </c>
      <c r="U57" s="25" t="s">
        <v>77</v>
      </c>
      <c r="V57" s="25" t="s">
        <v>77</v>
      </c>
    </row>
    <row r="58" spans="1:24" x14ac:dyDescent="0.25">
      <c r="A58" s="19" t="s">
        <v>71</v>
      </c>
      <c r="B58" s="19" t="s">
        <v>348</v>
      </c>
      <c r="C58" s="19" t="s">
        <v>622</v>
      </c>
      <c r="D58" s="19" t="s">
        <v>241</v>
      </c>
      <c r="E58" s="19" t="str">
        <f>IFERROR(VLOOKUP(C58,#REF!, 9, FALSE), "")</f>
        <v/>
      </c>
      <c r="F58" s="19" t="str">
        <f t="shared" si="0"/>
        <v>N5 2DR</v>
      </c>
      <c r="G58">
        <v>51.555284</v>
      </c>
      <c r="H58">
        <v>-9.2075385999999995E-2</v>
      </c>
      <c r="I58" s="26" t="s">
        <v>347</v>
      </c>
      <c r="J58" s="19">
        <v>124</v>
      </c>
      <c r="M58" s="19" t="s">
        <v>626</v>
      </c>
      <c r="N58" s="19" t="s">
        <v>468</v>
      </c>
      <c r="O58" s="26" t="s">
        <v>627</v>
      </c>
      <c r="P58" s="26" t="s">
        <v>979</v>
      </c>
      <c r="Q58" s="26" t="str">
        <f>IFERROR(VLOOKUP($C58,#REF!, 17, FALSE), "")</f>
        <v/>
      </c>
      <c r="R58" s="19" t="str">
        <f>IFERROR(VLOOKUP(C58,#REF!, 15, FALSE), "")</f>
        <v/>
      </c>
      <c r="S58" s="19" t="str">
        <f>IFERROR(VLOOKUP(C58,#REF!, 14, FALSE), "")</f>
        <v/>
      </c>
      <c r="T58" s="26" t="s">
        <v>126</v>
      </c>
      <c r="U58" s="25">
        <v>0</v>
      </c>
      <c r="V58" s="26" t="s">
        <v>174</v>
      </c>
      <c r="W58" s="19" t="s">
        <v>980</v>
      </c>
      <c r="X58" s="19" t="s">
        <v>981</v>
      </c>
    </row>
    <row r="59" spans="1:24" x14ac:dyDescent="0.25">
      <c r="A59" s="19" t="s">
        <v>71</v>
      </c>
      <c r="B59" s="19" t="s">
        <v>382</v>
      </c>
      <c r="C59" s="19" t="s">
        <v>674</v>
      </c>
      <c r="D59" s="19" t="s">
        <v>238</v>
      </c>
      <c r="E59" s="19" t="str">
        <f>IFERROR(VLOOKUP(C59,#REF!, 9, FALSE), "")</f>
        <v/>
      </c>
      <c r="F59" s="19" t="str">
        <f t="shared" si="0"/>
        <v>EC1V 8DA</v>
      </c>
      <c r="G59">
        <v>51.527822</v>
      </c>
      <c r="H59">
        <v>-9.7649624000000004E-2</v>
      </c>
      <c r="I59" s="26" t="s">
        <v>381</v>
      </c>
      <c r="J59" s="19">
        <v>83</v>
      </c>
      <c r="M59" s="19" t="s">
        <v>676</v>
      </c>
      <c r="N59" s="19" t="s">
        <v>468</v>
      </c>
      <c r="O59" s="26" t="s">
        <v>677</v>
      </c>
      <c r="P59" s="26" t="s">
        <v>982</v>
      </c>
      <c r="Q59" s="26" t="str">
        <f>IFERROR(VLOOKUP($C59,#REF!, 17, FALSE), "")</f>
        <v/>
      </c>
      <c r="R59" s="19" t="str">
        <f>IFERROR(VLOOKUP(C59,#REF!, 15, FALSE), "")</f>
        <v/>
      </c>
      <c r="S59" s="19" t="str">
        <f>IFERROR(VLOOKUP(C59,#REF!, 14, FALSE), "")</f>
        <v/>
      </c>
      <c r="T59" s="26" t="s">
        <v>123</v>
      </c>
      <c r="U59" s="26" t="s">
        <v>90</v>
      </c>
      <c r="V59" s="26" t="s">
        <v>171</v>
      </c>
      <c r="W59" s="19" t="s">
        <v>983</v>
      </c>
      <c r="X59" s="19" t="s">
        <v>984</v>
      </c>
    </row>
    <row r="60" spans="1:24" x14ac:dyDescent="0.25">
      <c r="A60" s="19" t="s">
        <v>71</v>
      </c>
      <c r="B60" s="19" t="s">
        <v>463</v>
      </c>
      <c r="C60" s="19" t="s">
        <v>628</v>
      </c>
      <c r="D60" s="19" t="s">
        <v>250</v>
      </c>
      <c r="E60" s="19" t="str">
        <f>IFERROR(VLOOKUP(C60,#REF!, 9, FALSE), "")</f>
        <v/>
      </c>
      <c r="F60" s="19" t="str">
        <f t="shared" si="0"/>
        <v>N7 0ND</v>
      </c>
      <c r="G60">
        <v>51.556232999999999</v>
      </c>
      <c r="H60">
        <v>-0.12525805000000001</v>
      </c>
      <c r="I60" s="26" t="s">
        <v>351</v>
      </c>
      <c r="J60" s="19">
        <v>44</v>
      </c>
      <c r="M60" s="19" t="s">
        <v>632</v>
      </c>
      <c r="N60" s="19" t="s">
        <v>477</v>
      </c>
      <c r="O60" s="26" t="s">
        <v>633</v>
      </c>
      <c r="P60" s="26" t="s">
        <v>985</v>
      </c>
      <c r="Q60" s="26" t="str">
        <f>IFERROR(VLOOKUP($C60,#REF!, 17, FALSE), "")</f>
        <v/>
      </c>
      <c r="R60" s="19" t="str">
        <f>IFERROR(VLOOKUP(C60,#REF!, 15, FALSE), "")</f>
        <v/>
      </c>
      <c r="S60" s="19" t="str">
        <f>IFERROR(VLOOKUP(C60,#REF!, 14, FALSE), "")</f>
        <v/>
      </c>
      <c r="T60" s="26" t="s">
        <v>132</v>
      </c>
      <c r="U60" s="25">
        <v>0</v>
      </c>
      <c r="V60" s="26" t="s">
        <v>184</v>
      </c>
      <c r="W60" s="19" t="s">
        <v>986</v>
      </c>
      <c r="X60" s="19" t="s">
        <v>987</v>
      </c>
    </row>
    <row r="61" spans="1:24" x14ac:dyDescent="0.25">
      <c r="A61" s="19" t="s">
        <v>71</v>
      </c>
      <c r="B61" s="19" t="s">
        <v>376</v>
      </c>
      <c r="C61" s="19" t="s">
        <v>665</v>
      </c>
      <c r="D61" s="19" t="s">
        <v>236</v>
      </c>
      <c r="E61" s="19" t="str">
        <f>IFERROR(VLOOKUP(C61,#REF!, 9, FALSE), "")</f>
        <v/>
      </c>
      <c r="F61" s="19" t="str">
        <f t="shared" si="0"/>
        <v>EC1R 0EA</v>
      </c>
      <c r="G61">
        <v>51.523352000000003</v>
      </c>
      <c r="H61">
        <v>-0.10543275000000001</v>
      </c>
      <c r="I61" s="26" t="s">
        <v>375</v>
      </c>
      <c r="J61" s="19">
        <v>162</v>
      </c>
      <c r="M61" s="19" t="s">
        <v>669</v>
      </c>
      <c r="N61" s="19" t="s">
        <v>477</v>
      </c>
      <c r="O61" s="26" t="s">
        <v>670</v>
      </c>
      <c r="P61" s="26" t="s">
        <v>988</v>
      </c>
      <c r="Q61" s="26" t="str">
        <f>IFERROR(VLOOKUP($C61,#REF!, 17, FALSE), "")</f>
        <v/>
      </c>
      <c r="R61" s="19" t="str">
        <f>IFERROR(VLOOKUP(C61,#REF!, 15, FALSE), "")</f>
        <v/>
      </c>
      <c r="S61" s="19" t="str">
        <f>IFERROR(VLOOKUP(C61,#REF!, 14, FALSE), "")</f>
        <v/>
      </c>
      <c r="T61" s="26" t="s">
        <v>122</v>
      </c>
      <c r="U61" s="26" t="s">
        <v>89</v>
      </c>
      <c r="V61" s="26" t="s">
        <v>170</v>
      </c>
      <c r="W61" s="19" t="s">
        <v>989</v>
      </c>
      <c r="X61" s="19" t="s">
        <v>990</v>
      </c>
    </row>
    <row r="62" spans="1:24" x14ac:dyDescent="0.25">
      <c r="A62" s="19" t="s">
        <v>71</v>
      </c>
      <c r="B62" s="19" t="s">
        <v>353</v>
      </c>
      <c r="C62" s="19" t="s">
        <v>631</v>
      </c>
      <c r="D62" s="19" t="s">
        <v>267</v>
      </c>
      <c r="E62" s="19" t="str">
        <f>IFERROR(VLOOKUP(C62,#REF!, 9, FALSE), "")</f>
        <v/>
      </c>
      <c r="F62" s="19" t="str">
        <f t="shared" si="0"/>
        <v>N1 8PF</v>
      </c>
      <c r="G62">
        <v>51.536580000000001</v>
      </c>
      <c r="H62">
        <v>-9.6534630999999996E-2</v>
      </c>
      <c r="I62" s="26" t="s">
        <v>352</v>
      </c>
      <c r="J62" s="19">
        <v>109</v>
      </c>
      <c r="M62" s="19" t="s">
        <v>635</v>
      </c>
      <c r="N62" s="19" t="s">
        <v>468</v>
      </c>
      <c r="O62" s="26" t="s">
        <v>636</v>
      </c>
      <c r="P62" s="26" t="s">
        <v>991</v>
      </c>
      <c r="Q62" s="26" t="str">
        <f>IFERROR(VLOOKUP($C62,#REF!, 17, FALSE), "")</f>
        <v/>
      </c>
      <c r="R62" s="19" t="str">
        <f>IFERROR(VLOOKUP(C62,#REF!, 15, FALSE), "")</f>
        <v/>
      </c>
      <c r="S62" s="19" t="str">
        <f>IFERROR(VLOOKUP(C62,#REF!, 14, FALSE), "")</f>
        <v/>
      </c>
      <c r="T62" s="26" t="s">
        <v>129</v>
      </c>
      <c r="U62" s="26" t="s">
        <v>92</v>
      </c>
      <c r="V62" s="26" t="s">
        <v>179</v>
      </c>
      <c r="W62" s="19" t="s">
        <v>992</v>
      </c>
      <c r="X62" s="19" t="s">
        <v>993</v>
      </c>
    </row>
    <row r="63" spans="1:24" x14ac:dyDescent="0.25">
      <c r="A63" s="19" t="s">
        <v>71</v>
      </c>
      <c r="B63" s="19" t="s">
        <v>64</v>
      </c>
      <c r="C63" s="19" t="s">
        <v>652</v>
      </c>
      <c r="D63" s="19" t="s">
        <v>277</v>
      </c>
      <c r="E63" s="19" t="str">
        <f>IFERROR(VLOOKUP(C63,#REF!, 9, FALSE), "")</f>
        <v/>
      </c>
      <c r="F63" s="19" t="str">
        <f t="shared" si="0"/>
        <v>N19 5RR</v>
      </c>
      <c r="G63">
        <v>51.562646999999998</v>
      </c>
      <c r="H63">
        <v>-0.13163098000000001</v>
      </c>
      <c r="I63" s="26" t="s">
        <v>366</v>
      </c>
      <c r="J63" s="19">
        <v>306</v>
      </c>
      <c r="M63" s="19" t="s">
        <v>654</v>
      </c>
      <c r="N63" s="19" t="s">
        <v>468</v>
      </c>
      <c r="O63" s="26" t="s">
        <v>655</v>
      </c>
      <c r="P63" s="26" t="s">
        <v>994</v>
      </c>
      <c r="Q63" s="26" t="str">
        <f>IFERROR(VLOOKUP($C63,#REF!, 17, FALSE), "")</f>
        <v/>
      </c>
      <c r="R63" s="19" t="str">
        <f>IFERROR(VLOOKUP(C63,#REF!, 15, FALSE), "")</f>
        <v/>
      </c>
      <c r="S63" s="19" t="str">
        <f>IFERROR(VLOOKUP(C63,#REF!, 14, FALSE), "")</f>
        <v/>
      </c>
      <c r="T63" s="26" t="s">
        <v>128</v>
      </c>
      <c r="U63" s="25">
        <v>0</v>
      </c>
      <c r="V63" s="26" t="s">
        <v>178</v>
      </c>
      <c r="W63" s="19" t="s">
        <v>986</v>
      </c>
      <c r="X63" s="19" t="s">
        <v>987</v>
      </c>
    </row>
    <row r="64" spans="1:24" x14ac:dyDescent="0.25">
      <c r="A64" s="19" t="s">
        <v>71</v>
      </c>
      <c r="B64" s="19" t="s">
        <v>687</v>
      </c>
      <c r="C64" s="19" t="s">
        <v>688</v>
      </c>
      <c r="E64" s="19" t="str">
        <f>IFERROR(VLOOKUP(C64,#REF!, 9, FALSE), "")</f>
        <v/>
      </c>
      <c r="F64" s="19" t="str">
        <f t="shared" si="0"/>
        <v/>
      </c>
      <c r="G64"/>
      <c r="H64"/>
      <c r="I64" s="26" t="s">
        <v>689</v>
      </c>
      <c r="J64" s="19">
        <v>0</v>
      </c>
      <c r="M64" s="19" t="s">
        <v>696</v>
      </c>
      <c r="N64" s="19" t="s">
        <v>570</v>
      </c>
      <c r="O64" s="26" t="s">
        <v>697</v>
      </c>
      <c r="P64" s="26" t="s">
        <v>995</v>
      </c>
      <c r="Q64" s="26" t="str">
        <f>IFERROR(VLOOKUP($C64,#REF!, 17, FALSE), "")</f>
        <v/>
      </c>
      <c r="R64" s="19" t="str">
        <f>IFERROR(VLOOKUP(C64,#REF!, 15, FALSE), "")</f>
        <v/>
      </c>
      <c r="S64" s="19" t="str">
        <f>IFERROR(VLOOKUP(C64,#REF!, 14, FALSE), "")</f>
        <v/>
      </c>
      <c r="T64" t="s">
        <v>77</v>
      </c>
      <c r="U64" s="25" t="s">
        <v>77</v>
      </c>
      <c r="V64" s="25" t="s">
        <v>77</v>
      </c>
    </row>
    <row r="65" spans="1:24" x14ac:dyDescent="0.25">
      <c r="A65" s="19" t="s">
        <v>71</v>
      </c>
      <c r="B65" s="19" t="s">
        <v>687</v>
      </c>
      <c r="C65" s="19" t="s">
        <v>714</v>
      </c>
      <c r="E65" s="19" t="str">
        <f>IFERROR(VLOOKUP(C65,#REF!, 9, FALSE), "")</f>
        <v/>
      </c>
      <c r="F65" s="19" t="str">
        <f t="shared" si="0"/>
        <v/>
      </c>
      <c r="G65"/>
      <c r="H65"/>
      <c r="I65" s="26" t="s">
        <v>689</v>
      </c>
      <c r="J65" s="19">
        <v>0</v>
      </c>
      <c r="M65" s="19" t="s">
        <v>696</v>
      </c>
      <c r="N65" s="19" t="s">
        <v>570</v>
      </c>
      <c r="O65" s="26" t="s">
        <v>697</v>
      </c>
      <c r="P65" s="26" t="s">
        <v>995</v>
      </c>
      <c r="Q65" s="26" t="str">
        <f>IFERROR(VLOOKUP($C65,#REF!, 17, FALSE), "")</f>
        <v/>
      </c>
      <c r="R65" s="19" t="str">
        <f>IFERROR(VLOOKUP(C65,#REF!, 15, FALSE), "")</f>
        <v/>
      </c>
      <c r="S65" s="19" t="str">
        <f>IFERROR(VLOOKUP(C65,#REF!, 14, FALSE), "")</f>
        <v/>
      </c>
      <c r="T65" t="s">
        <v>77</v>
      </c>
      <c r="U65" s="25" t="s">
        <v>77</v>
      </c>
      <c r="V65" s="25" t="s">
        <v>77</v>
      </c>
    </row>
    <row r="66" spans="1:24" x14ac:dyDescent="0.25">
      <c r="A66" s="19" t="s">
        <v>71</v>
      </c>
      <c r="B66" s="19" t="s">
        <v>698</v>
      </c>
      <c r="C66" s="19" t="s">
        <v>699</v>
      </c>
      <c r="E66" s="19" t="str">
        <f>IFERROR(VLOOKUP(C66,#REF!, 9, FALSE), "")</f>
        <v/>
      </c>
      <c r="F66" s="19" t="str">
        <f t="shared" si="0"/>
        <v/>
      </c>
      <c r="G66"/>
      <c r="H66"/>
      <c r="I66" s="26" t="s">
        <v>700</v>
      </c>
      <c r="J66" s="19">
        <v>0</v>
      </c>
      <c r="M66" s="19" t="s">
        <v>706</v>
      </c>
      <c r="N66" s="19" t="s">
        <v>570</v>
      </c>
      <c r="O66" s="26" t="s">
        <v>707</v>
      </c>
      <c r="P66" s="26" t="s">
        <v>996</v>
      </c>
      <c r="Q66" s="26" t="str">
        <f>IFERROR(VLOOKUP($C66,#REF!, 17, FALSE), "")</f>
        <v/>
      </c>
      <c r="R66" s="19" t="str">
        <f>IFERROR(VLOOKUP(C66,#REF!, 15, FALSE), "")</f>
        <v/>
      </c>
      <c r="S66" s="19" t="str">
        <f>IFERROR(VLOOKUP(C66,#REF!, 14, FALSE), "")</f>
        <v/>
      </c>
      <c r="T66" t="s">
        <v>77</v>
      </c>
      <c r="U66" s="25" t="s">
        <v>77</v>
      </c>
      <c r="V66" s="25" t="s">
        <v>77</v>
      </c>
    </row>
    <row r="67" spans="1:24" x14ac:dyDescent="0.25">
      <c r="A67" s="19" t="s">
        <v>71</v>
      </c>
      <c r="B67" s="19" t="s">
        <v>355</v>
      </c>
      <c r="C67" s="19" t="s">
        <v>634</v>
      </c>
      <c r="D67" s="19" t="s">
        <v>280</v>
      </c>
      <c r="E67" s="19" t="str">
        <f>IFERROR(VLOOKUP(C67,#REF!, 9, FALSE), "")</f>
        <v/>
      </c>
      <c r="F67" s="19" t="str">
        <f t="shared" ref="F67:F130" si="1">IF("" &lt;&gt; D67, D67, E67)</f>
        <v>N1 4PL</v>
      </c>
      <c r="G67">
        <v>51.548955999999997</v>
      </c>
      <c r="H67">
        <v>-8.1724529000000004E-2</v>
      </c>
      <c r="I67" s="26" t="s">
        <v>354</v>
      </c>
      <c r="J67" s="19">
        <v>74</v>
      </c>
      <c r="M67" s="19" t="s">
        <v>638</v>
      </c>
      <c r="N67" s="19" t="s">
        <v>468</v>
      </c>
      <c r="O67" s="26" t="s">
        <v>639</v>
      </c>
      <c r="P67" s="26" t="s">
        <v>997</v>
      </c>
      <c r="Q67" s="26" t="str">
        <f>IFERROR(VLOOKUP($C67,#REF!, 17, FALSE), "")</f>
        <v/>
      </c>
      <c r="R67" s="19" t="str">
        <f>IFERROR(VLOOKUP(C67,#REF!, 15, FALSE), "")</f>
        <v/>
      </c>
      <c r="S67" s="19" t="str">
        <f>IFERROR(VLOOKUP(C67,#REF!, 14, FALSE), "")</f>
        <v/>
      </c>
      <c r="T67">
        <v>0</v>
      </c>
      <c r="U67" s="25">
        <v>0</v>
      </c>
      <c r="V67" s="26" t="s">
        <v>181</v>
      </c>
      <c r="W67" s="19" t="s">
        <v>998</v>
      </c>
      <c r="X67" s="19" t="s">
        <v>999</v>
      </c>
    </row>
    <row r="68" spans="1:24" x14ac:dyDescent="0.25">
      <c r="A68" s="19" t="s">
        <v>71</v>
      </c>
      <c r="B68" s="19" t="s">
        <v>357</v>
      </c>
      <c r="C68" s="19" t="s">
        <v>637</v>
      </c>
      <c r="D68" s="19" t="s">
        <v>242</v>
      </c>
      <c r="E68" s="19" t="str">
        <f>IFERROR(VLOOKUP(C68,#REF!, 9, FALSE), "")</f>
        <v/>
      </c>
      <c r="F68" s="19" t="str">
        <f t="shared" si="1"/>
        <v>N7 9JE</v>
      </c>
      <c r="G68">
        <v>51.551972999999997</v>
      </c>
      <c r="H68">
        <v>-0.12093279999999999</v>
      </c>
      <c r="I68" s="26" t="s">
        <v>356</v>
      </c>
      <c r="J68" s="19">
        <v>268</v>
      </c>
      <c r="M68" s="19" t="s">
        <v>641</v>
      </c>
      <c r="N68" s="19" t="s">
        <v>468</v>
      </c>
      <c r="O68" s="26" t="s">
        <v>642</v>
      </c>
      <c r="P68" s="26" t="s">
        <v>1000</v>
      </c>
      <c r="Q68" s="26" t="str">
        <f>IFERROR(VLOOKUP($C68,#REF!, 17, FALSE), "")</f>
        <v/>
      </c>
      <c r="R68" s="19" t="str">
        <f>IFERROR(VLOOKUP(C68,#REF!, 15, FALSE), "")</f>
        <v/>
      </c>
      <c r="S68" s="19" t="str">
        <f>IFERROR(VLOOKUP(C68,#REF!, 14, FALSE), "")</f>
        <v/>
      </c>
      <c r="T68">
        <v>0</v>
      </c>
      <c r="U68" s="25">
        <v>0</v>
      </c>
      <c r="V68" s="26" t="s">
        <v>175</v>
      </c>
      <c r="W68" s="19" t="s">
        <v>1001</v>
      </c>
      <c r="X68" s="19" t="s">
        <v>1002</v>
      </c>
    </row>
    <row r="69" spans="1:24" x14ac:dyDescent="0.25">
      <c r="A69" s="19" t="s">
        <v>71</v>
      </c>
      <c r="B69" s="19" t="s">
        <v>703</v>
      </c>
      <c r="C69" s="19" t="s">
        <v>704</v>
      </c>
      <c r="E69" s="19" t="str">
        <f>IFERROR(VLOOKUP(C69,#REF!, 9, FALSE), "")</f>
        <v/>
      </c>
      <c r="F69" s="19" t="str">
        <f t="shared" si="1"/>
        <v/>
      </c>
      <c r="G69"/>
      <c r="H69"/>
      <c r="I69" s="26" t="s">
        <v>705</v>
      </c>
      <c r="J69" s="19">
        <v>0</v>
      </c>
      <c r="M69" s="19" t="s">
        <v>709</v>
      </c>
      <c r="N69" s="19" t="s">
        <v>570</v>
      </c>
      <c r="O69" s="26" t="s">
        <v>710</v>
      </c>
      <c r="P69" s="26" t="s">
        <v>1003</v>
      </c>
      <c r="Q69" s="26" t="str">
        <f>IFERROR(VLOOKUP($C69,#REF!, 17, FALSE), "")</f>
        <v/>
      </c>
      <c r="R69" s="19" t="str">
        <f>IFERROR(VLOOKUP(C69,#REF!, 15, FALSE), "")</f>
        <v/>
      </c>
      <c r="S69" s="19" t="str">
        <f>IFERROR(VLOOKUP(C69,#REF!, 14, FALSE), "")</f>
        <v/>
      </c>
      <c r="T69" t="s">
        <v>77</v>
      </c>
      <c r="U69" s="25" t="s">
        <v>77</v>
      </c>
      <c r="V69" s="25" t="s">
        <v>77</v>
      </c>
    </row>
    <row r="70" spans="1:24" x14ac:dyDescent="0.25">
      <c r="A70" s="19" t="s">
        <v>71</v>
      </c>
      <c r="B70" s="19" t="s">
        <v>380</v>
      </c>
      <c r="C70" s="19" t="s">
        <v>671</v>
      </c>
      <c r="D70" s="19" t="s">
        <v>237</v>
      </c>
      <c r="E70" s="19" t="str">
        <f>IFERROR(VLOOKUP(C70,#REF!, 9, FALSE), "")</f>
        <v/>
      </c>
      <c r="F70" s="19" t="str">
        <f t="shared" si="1"/>
        <v>EC1R 1XX</v>
      </c>
      <c r="G70">
        <v>51.530245000000001</v>
      </c>
      <c r="H70">
        <v>-0.10960161</v>
      </c>
      <c r="I70" s="26" t="s">
        <v>379</v>
      </c>
      <c r="J70" s="19">
        <v>72</v>
      </c>
      <c r="M70" s="19" t="s">
        <v>672</v>
      </c>
      <c r="N70" s="19" t="s">
        <v>468</v>
      </c>
      <c r="O70" s="26" t="s">
        <v>673</v>
      </c>
      <c r="P70" s="26" t="s">
        <v>1004</v>
      </c>
      <c r="Q70" s="26" t="str">
        <f>IFERROR(VLOOKUP($C70,#REF!, 17, FALSE), "")</f>
        <v/>
      </c>
      <c r="R70" s="19" t="str">
        <f>IFERROR(VLOOKUP(C70,#REF!, 15, FALSE), "")</f>
        <v/>
      </c>
      <c r="S70" s="19" t="str">
        <f>IFERROR(VLOOKUP(C70,#REF!, 14, FALSE), "")</f>
        <v/>
      </c>
      <c r="T70" t="s">
        <v>77</v>
      </c>
      <c r="U70" s="25" t="s">
        <v>77</v>
      </c>
      <c r="V70" s="25" t="s">
        <v>77</v>
      </c>
      <c r="W70" s="19" t="s">
        <v>1005</v>
      </c>
      <c r="X70" s="19" t="s">
        <v>1006</v>
      </c>
    </row>
    <row r="71" spans="1:24" x14ac:dyDescent="0.25">
      <c r="A71" s="19" t="s">
        <v>71</v>
      </c>
      <c r="B71" s="19" t="s">
        <v>359</v>
      </c>
      <c r="C71" s="19" t="s">
        <v>640</v>
      </c>
      <c r="D71" s="19" t="s">
        <v>248</v>
      </c>
      <c r="E71" s="19" t="str">
        <f>IFERROR(VLOOKUP(C71,#REF!, 9, FALSE), "")</f>
        <v/>
      </c>
      <c r="F71" s="19" t="str">
        <f t="shared" si="1"/>
        <v>N4 3LD</v>
      </c>
      <c r="G71">
        <v>51.565784000000001</v>
      </c>
      <c r="H71">
        <v>-0.11353868</v>
      </c>
      <c r="I71" s="26" t="s">
        <v>358</v>
      </c>
      <c r="J71" s="19">
        <v>232</v>
      </c>
      <c r="M71" s="19" t="s">
        <v>644</v>
      </c>
      <c r="N71" s="19" t="s">
        <v>468</v>
      </c>
      <c r="O71" s="26" t="s">
        <v>645</v>
      </c>
      <c r="P71" s="26" t="s">
        <v>1007</v>
      </c>
      <c r="Q71" s="26" t="str">
        <f>IFERROR(VLOOKUP($C71,#REF!, 17, FALSE), "")</f>
        <v/>
      </c>
      <c r="R71" s="19" t="str">
        <f>IFERROR(VLOOKUP(C71,#REF!, 15, FALSE), "")</f>
        <v/>
      </c>
      <c r="S71" s="19" t="str">
        <f>IFERROR(VLOOKUP(C71,#REF!, 14, FALSE), "")</f>
        <v/>
      </c>
      <c r="T71" s="26" t="s">
        <v>131</v>
      </c>
      <c r="U71" s="25">
        <v>0</v>
      </c>
      <c r="V71" s="26" t="s">
        <v>183</v>
      </c>
      <c r="W71" s="19" t="s">
        <v>1008</v>
      </c>
      <c r="X71" s="19" t="s">
        <v>1009</v>
      </c>
    </row>
    <row r="72" spans="1:24" x14ac:dyDescent="0.25">
      <c r="A72" s="19" t="s">
        <v>71</v>
      </c>
      <c r="B72" s="19" t="s">
        <v>693</v>
      </c>
      <c r="C72" s="19" t="s">
        <v>694</v>
      </c>
      <c r="E72" s="19" t="str">
        <f>IFERROR(VLOOKUP(C72,#REF!, 9, FALSE), "")</f>
        <v/>
      </c>
      <c r="F72" s="19" t="str">
        <f t="shared" si="1"/>
        <v/>
      </c>
      <c r="G72"/>
      <c r="H72"/>
      <c r="I72" s="26" t="s">
        <v>695</v>
      </c>
      <c r="J72" s="19">
        <v>0</v>
      </c>
      <c r="M72" s="19" t="s">
        <v>701</v>
      </c>
      <c r="N72" s="19" t="s">
        <v>570</v>
      </c>
      <c r="O72" s="26" t="s">
        <v>702</v>
      </c>
      <c r="P72" s="26" t="s">
        <v>1010</v>
      </c>
      <c r="Q72" s="26" t="str">
        <f>IFERROR(VLOOKUP($C72,#REF!, 17, FALSE), "")</f>
        <v/>
      </c>
      <c r="R72" s="19" t="str">
        <f>IFERROR(VLOOKUP(C72,#REF!, 15, FALSE), "")</f>
        <v/>
      </c>
      <c r="S72" s="19" t="str">
        <f>IFERROR(VLOOKUP(C72,#REF!, 14, FALSE), "")</f>
        <v/>
      </c>
      <c r="T72" t="s">
        <v>77</v>
      </c>
      <c r="U72" s="25" t="s">
        <v>77</v>
      </c>
      <c r="V72" s="25" t="s">
        <v>77</v>
      </c>
    </row>
    <row r="73" spans="1:24" x14ac:dyDescent="0.25">
      <c r="A73" s="19" t="s">
        <v>71</v>
      </c>
      <c r="B73" s="19" t="s">
        <v>361</v>
      </c>
      <c r="C73" s="19" t="s">
        <v>643</v>
      </c>
      <c r="D73" s="19" t="s">
        <v>244</v>
      </c>
      <c r="E73" s="19" t="str">
        <f>IFERROR(VLOOKUP(C73,#REF!, 9, FALSE), "")</f>
        <v/>
      </c>
      <c r="F73" s="19" t="str">
        <f t="shared" si="1"/>
        <v>N19 3AD</v>
      </c>
      <c r="G73">
        <v>51.571128999999999</v>
      </c>
      <c r="H73">
        <v>-0.12328881</v>
      </c>
      <c r="I73" s="26" t="s">
        <v>360</v>
      </c>
      <c r="J73" s="19">
        <v>81</v>
      </c>
      <c r="M73" s="19" t="s">
        <v>647</v>
      </c>
      <c r="N73" s="19" t="s">
        <v>468</v>
      </c>
      <c r="O73" s="26" t="s">
        <v>648</v>
      </c>
      <c r="P73" s="26" t="s">
        <v>1011</v>
      </c>
      <c r="Q73" s="26" t="str">
        <f>IFERROR(VLOOKUP($C73,#REF!, 17, FALSE), "")</f>
        <v/>
      </c>
      <c r="R73" s="19" t="str">
        <f>IFERROR(VLOOKUP(C73,#REF!, 15, FALSE), "")</f>
        <v/>
      </c>
      <c r="S73" s="19" t="str">
        <f>IFERROR(VLOOKUP(C73,#REF!, 14, FALSE), "")</f>
        <v/>
      </c>
      <c r="T73" s="26" t="s">
        <v>127</v>
      </c>
      <c r="U73" s="25">
        <v>0</v>
      </c>
      <c r="V73" s="26" t="s">
        <v>176</v>
      </c>
      <c r="W73" s="19" t="s">
        <v>1012</v>
      </c>
      <c r="X73" s="19" t="s">
        <v>1013</v>
      </c>
    </row>
    <row r="74" spans="1:24" x14ac:dyDescent="0.25">
      <c r="A74" s="19" t="s">
        <v>71</v>
      </c>
      <c r="B74" s="19" t="s">
        <v>339</v>
      </c>
      <c r="C74" s="19" t="s">
        <v>607</v>
      </c>
      <c r="D74" s="19" t="s">
        <v>246</v>
      </c>
      <c r="E74" s="19" t="str">
        <f>IFERROR(VLOOKUP(C74,#REF!, 9, FALSE), "")</f>
        <v/>
      </c>
      <c r="F74" s="19" t="str">
        <f t="shared" si="1"/>
        <v>N1 2TX</v>
      </c>
      <c r="G74">
        <v>51.538373999999997</v>
      </c>
      <c r="H74">
        <v>-0.10180962</v>
      </c>
      <c r="I74" s="26" t="s">
        <v>338</v>
      </c>
      <c r="J74" s="19">
        <v>207</v>
      </c>
      <c r="M74" s="19" t="s">
        <v>609</v>
      </c>
      <c r="N74" s="19" t="s">
        <v>544</v>
      </c>
      <c r="O74" s="26" t="s">
        <v>610</v>
      </c>
      <c r="P74" s="26" t="s">
        <v>1014</v>
      </c>
      <c r="Q74" s="26" t="str">
        <f>IFERROR(VLOOKUP($C74,#REF!, 17, FALSE), "")</f>
        <v/>
      </c>
      <c r="R74" s="19" t="str">
        <f>IFERROR(VLOOKUP(C74,#REF!, 15, FALSE), "")</f>
        <v/>
      </c>
      <c r="S74" s="19" t="str">
        <f>IFERROR(VLOOKUP(C74,#REF!, 14, FALSE), "")</f>
        <v/>
      </c>
      <c r="T74" s="26" t="s">
        <v>129</v>
      </c>
      <c r="U74" s="26" t="s">
        <v>93</v>
      </c>
      <c r="V74" s="26" t="s">
        <v>180</v>
      </c>
      <c r="W74" s="19" t="s">
        <v>1015</v>
      </c>
      <c r="X74" s="19" t="s">
        <v>1016</v>
      </c>
    </row>
    <row r="75" spans="1:24" x14ac:dyDescent="0.25">
      <c r="A75" s="19" t="s">
        <v>71</v>
      </c>
      <c r="B75" s="19" t="s">
        <v>393</v>
      </c>
      <c r="C75" s="19" t="s">
        <v>708</v>
      </c>
      <c r="E75" s="19" t="str">
        <f>IFERROR(VLOOKUP(C75,#REF!, 9, FALSE), "")</f>
        <v/>
      </c>
      <c r="F75" s="19" t="str">
        <f t="shared" si="1"/>
        <v/>
      </c>
      <c r="G75"/>
      <c r="H75"/>
      <c r="I75" s="26" t="s">
        <v>392</v>
      </c>
      <c r="J75" s="19">
        <v>0</v>
      </c>
      <c r="M75" s="19" t="s">
        <v>712</v>
      </c>
      <c r="N75" s="19" t="s">
        <v>570</v>
      </c>
      <c r="O75" s="26" t="s">
        <v>713</v>
      </c>
      <c r="P75" s="26" t="s">
        <v>1017</v>
      </c>
      <c r="Q75" s="26" t="str">
        <f>IFERROR(VLOOKUP($C75,#REF!, 17, FALSE), "")</f>
        <v/>
      </c>
      <c r="R75" s="19" t="str">
        <f>IFERROR(VLOOKUP(C75,#REF!, 15, FALSE), "")</f>
        <v/>
      </c>
      <c r="S75" s="19" t="str">
        <f>IFERROR(VLOOKUP(C75,#REF!, 14, FALSE), "")</f>
        <v/>
      </c>
      <c r="T75" t="s">
        <v>77</v>
      </c>
      <c r="U75" s="25" t="s">
        <v>77</v>
      </c>
      <c r="V75" s="25" t="s">
        <v>77</v>
      </c>
    </row>
    <row r="76" spans="1:24" x14ac:dyDescent="0.25">
      <c r="A76" s="19" t="s">
        <v>71</v>
      </c>
      <c r="B76" s="19" t="s">
        <v>566</v>
      </c>
      <c r="C76" s="19" t="s">
        <v>711</v>
      </c>
      <c r="E76" s="19" t="str">
        <f>IFERROR(VLOOKUP(C76,#REF!, 9, FALSE), "")</f>
        <v/>
      </c>
      <c r="F76" s="19" t="str">
        <f t="shared" si="1"/>
        <v/>
      </c>
      <c r="G76"/>
      <c r="H76"/>
      <c r="I76" s="26" t="s">
        <v>568</v>
      </c>
      <c r="J76" s="19">
        <v>0</v>
      </c>
      <c r="M76" s="19" t="s">
        <v>575</v>
      </c>
      <c r="N76" s="19" t="s">
        <v>570</v>
      </c>
      <c r="O76" s="26" t="s">
        <v>576</v>
      </c>
      <c r="P76" s="26" t="s">
        <v>930</v>
      </c>
      <c r="Q76" s="26" t="str">
        <f>IFERROR(VLOOKUP($C76,#REF!, 17, FALSE), "")</f>
        <v/>
      </c>
      <c r="R76" s="19" t="str">
        <f>IFERROR(VLOOKUP(C76,#REF!, 15, FALSE), "")</f>
        <v/>
      </c>
      <c r="S76" s="19" t="str">
        <f>IFERROR(VLOOKUP(C76,#REF!, 14, FALSE), "")</f>
        <v/>
      </c>
      <c r="T76" t="s">
        <v>77</v>
      </c>
      <c r="U76" s="25" t="s">
        <v>77</v>
      </c>
      <c r="V76" s="25" t="s">
        <v>77</v>
      </c>
    </row>
    <row r="77" spans="1:24" x14ac:dyDescent="0.25">
      <c r="A77" s="19" t="s">
        <v>71</v>
      </c>
      <c r="B77" s="19" t="s">
        <v>368</v>
      </c>
      <c r="C77" s="19" t="s">
        <v>653</v>
      </c>
      <c r="D77" s="19" t="s">
        <v>460</v>
      </c>
      <c r="E77" s="19" t="str">
        <f>IFERROR(VLOOKUP(C77,#REF!, 9, FALSE), "")</f>
        <v/>
      </c>
      <c r="F77" s="19" t="str">
        <f t="shared" si="1"/>
        <v>N4 3DQ</v>
      </c>
      <c r="G77">
        <v>51.570076999999998</v>
      </c>
      <c r="H77">
        <v>-0.11657886000000001</v>
      </c>
      <c r="I77" s="26" t="s">
        <v>367</v>
      </c>
      <c r="J77" s="19">
        <v>0</v>
      </c>
      <c r="M77" s="19" t="s">
        <v>657</v>
      </c>
      <c r="N77" s="19" t="s">
        <v>468</v>
      </c>
      <c r="O77" s="26" t="s">
        <v>658</v>
      </c>
      <c r="P77"/>
      <c r="Q77" s="26" t="str">
        <f>IFERROR(VLOOKUP($C77,#REF!, 17, FALSE), "")</f>
        <v/>
      </c>
      <c r="R77" s="19" t="str">
        <f>IFERROR(VLOOKUP(C77,#REF!, 15, FALSE), "")</f>
        <v/>
      </c>
      <c r="S77" s="19" t="str">
        <f>IFERROR(VLOOKUP(C77,#REF!, 14, FALSE), "")</f>
        <v/>
      </c>
      <c r="T77" s="26" t="s">
        <v>131</v>
      </c>
      <c r="U77" s="25">
        <v>0</v>
      </c>
      <c r="V77" s="26" t="s">
        <v>183</v>
      </c>
    </row>
    <row r="78" spans="1:24" x14ac:dyDescent="0.25">
      <c r="A78" s="19" t="s">
        <v>71</v>
      </c>
      <c r="B78" s="19" t="s">
        <v>370</v>
      </c>
      <c r="C78" s="19" t="s">
        <v>656</v>
      </c>
      <c r="D78" s="19" t="s">
        <v>247</v>
      </c>
      <c r="E78" s="19" t="str">
        <f>IFERROR(VLOOKUP(C78,#REF!, 9, FALSE), "")</f>
        <v/>
      </c>
      <c r="F78" s="19" t="str">
        <f t="shared" si="1"/>
        <v>N1 9UL</v>
      </c>
      <c r="G78">
        <v>51.533591999999999</v>
      </c>
      <c r="H78">
        <v>-0.11191412000000001</v>
      </c>
      <c r="I78" s="26" t="s">
        <v>369</v>
      </c>
      <c r="J78" s="19">
        <v>70</v>
      </c>
      <c r="M78" s="19" t="s">
        <v>660</v>
      </c>
      <c r="N78" s="19" t="s">
        <v>468</v>
      </c>
      <c r="O78" s="26" t="s">
        <v>661</v>
      </c>
      <c r="P78" s="26" t="s">
        <v>1018</v>
      </c>
      <c r="Q78" s="26" t="str">
        <f>IFERROR(VLOOKUP($C78,#REF!, 17, FALSE), "")</f>
        <v/>
      </c>
      <c r="R78" s="19" t="str">
        <f>IFERROR(VLOOKUP(C78,#REF!, 15, FALSE), "")</f>
        <v/>
      </c>
      <c r="S78" s="19" t="str">
        <f>IFERROR(VLOOKUP(C78,#REF!, 14, FALSE), "")</f>
        <v/>
      </c>
      <c r="T78" s="26" t="s">
        <v>130</v>
      </c>
      <c r="U78" s="25">
        <v>0</v>
      </c>
      <c r="V78" s="26" t="s">
        <v>182</v>
      </c>
      <c r="W78" s="19" t="s">
        <v>1019</v>
      </c>
      <c r="X78" s="19" t="s">
        <v>1020</v>
      </c>
    </row>
    <row r="79" spans="1:24" x14ac:dyDescent="0.25">
      <c r="A79" s="19" t="s">
        <v>71</v>
      </c>
      <c r="B79" s="19" t="s">
        <v>372</v>
      </c>
      <c r="C79" s="19" t="s">
        <v>659</v>
      </c>
      <c r="D79" s="19" t="s">
        <v>235</v>
      </c>
      <c r="E79" s="19" t="str">
        <f>IFERROR(VLOOKUP(C79,#REF!, 9, FALSE), "")</f>
        <v/>
      </c>
      <c r="F79" s="19" t="str">
        <f t="shared" si="1"/>
        <v>N1 2DF</v>
      </c>
      <c r="G79">
        <v>51.540891000000002</v>
      </c>
      <c r="H79">
        <v>-9.6758531999999994E-2</v>
      </c>
      <c r="I79" s="26" t="s">
        <v>371</v>
      </c>
      <c r="J79" s="19">
        <v>136</v>
      </c>
      <c r="M79" s="19" t="s">
        <v>663</v>
      </c>
      <c r="N79" s="19" t="s">
        <v>468</v>
      </c>
      <c r="O79" s="26" t="s">
        <v>664</v>
      </c>
      <c r="P79" s="26" t="s">
        <v>1021</v>
      </c>
      <c r="Q79" s="26" t="str">
        <f>IFERROR(VLOOKUP($C79,#REF!, 17, FALSE), "")</f>
        <v/>
      </c>
      <c r="R79" s="19" t="str">
        <f>IFERROR(VLOOKUP(C79,#REF!, 15, FALSE), "")</f>
        <v/>
      </c>
      <c r="S79" s="19" t="str">
        <f>IFERROR(VLOOKUP(C79,#REF!, 14, FALSE), "")</f>
        <v/>
      </c>
      <c r="T79" s="26" t="s">
        <v>121</v>
      </c>
      <c r="U79" s="25">
        <v>0</v>
      </c>
      <c r="V79" s="26" t="s">
        <v>168</v>
      </c>
      <c r="W79" s="19" t="s">
        <v>1022</v>
      </c>
      <c r="X79" s="19" t="s">
        <v>1023</v>
      </c>
    </row>
    <row r="80" spans="1:24" x14ac:dyDescent="0.25">
      <c r="A80" s="19" t="s">
        <v>71</v>
      </c>
      <c r="B80" s="19" t="s">
        <v>374</v>
      </c>
      <c r="C80" s="19" t="s">
        <v>662</v>
      </c>
      <c r="D80" s="19" t="s">
        <v>239</v>
      </c>
      <c r="E80" s="19" t="str">
        <f>IFERROR(VLOOKUP(C80,#REF!, 9, FALSE), "")</f>
        <v/>
      </c>
      <c r="F80" s="19" t="str">
        <f t="shared" si="1"/>
        <v>N4 2QP</v>
      </c>
      <c r="G80">
        <v>51.559401999999999</v>
      </c>
      <c r="H80">
        <v>-0.10366083</v>
      </c>
      <c r="I80" s="26" t="s">
        <v>373</v>
      </c>
      <c r="J80" s="19">
        <v>155</v>
      </c>
      <c r="M80" s="19" t="s">
        <v>666</v>
      </c>
      <c r="N80" s="19" t="s">
        <v>468</v>
      </c>
      <c r="O80" s="26" t="s">
        <v>667</v>
      </c>
      <c r="P80" s="26" t="s">
        <v>1024</v>
      </c>
      <c r="Q80" s="26" t="str">
        <f>IFERROR(VLOOKUP($C80,#REF!, 17, FALSE), "")</f>
        <v/>
      </c>
      <c r="R80" s="19" t="str">
        <f>IFERROR(VLOOKUP(C80,#REF!, 15, FALSE), "")</f>
        <v/>
      </c>
      <c r="S80" s="19" t="str">
        <f>IFERROR(VLOOKUP(C80,#REF!, 14, FALSE), "")</f>
        <v/>
      </c>
      <c r="T80" s="26" t="s">
        <v>124</v>
      </c>
      <c r="U80" s="25">
        <v>0</v>
      </c>
      <c r="V80" s="26" t="s">
        <v>172</v>
      </c>
      <c r="W80" s="19" t="s">
        <v>1025</v>
      </c>
      <c r="X80" s="19" t="s">
        <v>1026</v>
      </c>
    </row>
    <row r="81" spans="1:24" x14ac:dyDescent="0.25">
      <c r="A81" s="19" t="s">
        <v>71</v>
      </c>
      <c r="B81" s="19" t="s">
        <v>343</v>
      </c>
      <c r="C81" s="19" t="s">
        <v>611</v>
      </c>
      <c r="E81" s="19" t="str">
        <f>IFERROR(VLOOKUP(C81,#REF!, 9, FALSE), "")</f>
        <v/>
      </c>
      <c r="F81" s="19" t="str">
        <f t="shared" si="1"/>
        <v/>
      </c>
      <c r="G81"/>
      <c r="H81"/>
      <c r="I81" s="26" t="s">
        <v>342</v>
      </c>
      <c r="J81" s="19">
        <v>0</v>
      </c>
      <c r="P81"/>
      <c r="Q81" s="26" t="str">
        <f>IFERROR(VLOOKUP($C81,#REF!, 17, FALSE), "")</f>
        <v/>
      </c>
      <c r="R81" s="19" t="str">
        <f>IFERROR(VLOOKUP(C81,#REF!, 15, FALSE), "")</f>
        <v/>
      </c>
      <c r="S81" s="19" t="str">
        <f>IFERROR(VLOOKUP(C81,#REF!, 14, FALSE), "")</f>
        <v/>
      </c>
      <c r="T81" t="s">
        <v>77</v>
      </c>
      <c r="U81" s="25" t="s">
        <v>77</v>
      </c>
      <c r="V81" s="25" t="s">
        <v>77</v>
      </c>
    </row>
    <row r="82" spans="1:24" x14ac:dyDescent="0.25">
      <c r="A82" s="19" t="s">
        <v>71</v>
      </c>
      <c r="B82" s="19" t="s">
        <v>391</v>
      </c>
      <c r="C82" s="19" t="s">
        <v>683</v>
      </c>
      <c r="E82" s="19" t="str">
        <f>IFERROR(VLOOKUP(C82,#REF!, 9, FALSE), "")</f>
        <v/>
      </c>
      <c r="F82" s="19" t="str">
        <f t="shared" si="1"/>
        <v/>
      </c>
      <c r="G82"/>
      <c r="H82"/>
      <c r="I82" s="26" t="s">
        <v>390</v>
      </c>
      <c r="J82" s="19">
        <v>0</v>
      </c>
      <c r="M82" s="19" t="s">
        <v>690</v>
      </c>
      <c r="N82" s="19" t="s">
        <v>691</v>
      </c>
      <c r="O82" s="26" t="s">
        <v>692</v>
      </c>
      <c r="P82" s="26" t="s">
        <v>1027</v>
      </c>
      <c r="Q82" s="26" t="str">
        <f>IFERROR(VLOOKUP($C82,#REF!, 17, FALSE), "")</f>
        <v/>
      </c>
      <c r="R82" s="19" t="str">
        <f>IFERROR(VLOOKUP(C82,#REF!, 15, FALSE), "")</f>
        <v/>
      </c>
      <c r="S82" s="19" t="str">
        <f>IFERROR(VLOOKUP(C82,#REF!, 14, FALSE), "")</f>
        <v/>
      </c>
      <c r="T82" t="s">
        <v>77</v>
      </c>
      <c r="U82" s="25" t="s">
        <v>77</v>
      </c>
      <c r="V82" s="25" t="s">
        <v>77</v>
      </c>
    </row>
    <row r="83" spans="1:24" x14ac:dyDescent="0.25">
      <c r="A83" s="19" t="s">
        <v>71</v>
      </c>
      <c r="B83" s="19" t="s">
        <v>51</v>
      </c>
      <c r="C83" s="19" t="s">
        <v>615</v>
      </c>
      <c r="D83" s="19" t="s">
        <v>234</v>
      </c>
      <c r="E83" s="19" t="str">
        <f>IFERROR(VLOOKUP(C83,#REF!, 9, FALSE), "")</f>
        <v/>
      </c>
      <c r="F83" s="19" t="str">
        <f t="shared" si="1"/>
        <v>N1 0ES</v>
      </c>
      <c r="G83">
        <v>51.536521</v>
      </c>
      <c r="H83">
        <v>-0.11063936000000001</v>
      </c>
      <c r="I83" s="26" t="s">
        <v>346</v>
      </c>
      <c r="J83" s="19">
        <v>66</v>
      </c>
      <c r="M83" s="19" t="s">
        <v>623</v>
      </c>
      <c r="N83" s="19" t="s">
        <v>558</v>
      </c>
      <c r="O83" s="26" t="s">
        <v>624</v>
      </c>
      <c r="P83" s="26" t="s">
        <v>1028</v>
      </c>
      <c r="Q83" s="20" t="s">
        <v>82</v>
      </c>
      <c r="R83" s="19" t="str">
        <f>IFERROR(VLOOKUP(C83,#REF!, 15, FALSE), "")</f>
        <v/>
      </c>
      <c r="S83" s="19" t="str">
        <f>IFERROR(VLOOKUP(C83,#REF!, 14, FALSE), "")</f>
        <v/>
      </c>
      <c r="T83" t="s">
        <v>77</v>
      </c>
      <c r="U83" s="25" t="s">
        <v>77</v>
      </c>
      <c r="V83" s="25" t="s">
        <v>77</v>
      </c>
      <c r="W83" s="19" t="s">
        <v>959</v>
      </c>
      <c r="X83" s="19" t="s">
        <v>960</v>
      </c>
    </row>
    <row r="84" spans="1:24" x14ac:dyDescent="0.25">
      <c r="A84" s="19" t="s">
        <v>71</v>
      </c>
      <c r="B84" s="19" t="s">
        <v>389</v>
      </c>
      <c r="C84" s="19" t="s">
        <v>680</v>
      </c>
      <c r="E84" s="19" t="str">
        <f>IFERROR(VLOOKUP(C84,#REF!, 9, FALSE), "")</f>
        <v/>
      </c>
      <c r="F84" s="19" t="str">
        <f t="shared" si="1"/>
        <v/>
      </c>
      <c r="G84"/>
      <c r="H84"/>
      <c r="I84" s="26" t="s">
        <v>388</v>
      </c>
      <c r="J84" s="19">
        <v>0</v>
      </c>
      <c r="M84" s="19" t="s">
        <v>684</v>
      </c>
      <c r="N84" s="19" t="s">
        <v>685</v>
      </c>
      <c r="O84" s="26" t="s">
        <v>686</v>
      </c>
      <c r="P84"/>
      <c r="Q84" s="26" t="str">
        <f>IFERROR(VLOOKUP($C84,#REF!, 17, FALSE), "")</f>
        <v/>
      </c>
      <c r="R84" s="19" t="str">
        <f>IFERROR(VLOOKUP(C84,#REF!, 15, FALSE), "")</f>
        <v/>
      </c>
      <c r="S84" s="19" t="str">
        <f>IFERROR(VLOOKUP(C84,#REF!, 14, FALSE), "")</f>
        <v/>
      </c>
      <c r="T84" t="s">
        <v>77</v>
      </c>
      <c r="U84" s="25" t="s">
        <v>77</v>
      </c>
      <c r="V84" s="25" t="s">
        <v>77</v>
      </c>
    </row>
    <row r="85" spans="1:24" x14ac:dyDescent="0.25">
      <c r="A85" s="19" t="s">
        <v>71</v>
      </c>
      <c r="B85" s="19" t="s">
        <v>395</v>
      </c>
      <c r="C85" s="19" t="s">
        <v>723</v>
      </c>
      <c r="E85" s="19" t="str">
        <f>IFERROR(VLOOKUP(C85,#REF!, 9, FALSE), "")</f>
        <v/>
      </c>
      <c r="F85" s="19" t="str">
        <f t="shared" si="1"/>
        <v/>
      </c>
      <c r="G85"/>
      <c r="H85"/>
      <c r="I85" s="26" t="s">
        <v>394</v>
      </c>
      <c r="J85" s="19">
        <v>0</v>
      </c>
      <c r="M85" s="19" t="s">
        <v>476</v>
      </c>
      <c r="N85" s="19" t="s">
        <v>727</v>
      </c>
      <c r="O85" s="26" t="s">
        <v>478</v>
      </c>
      <c r="P85"/>
      <c r="Q85" s="26" t="str">
        <f>IFERROR(VLOOKUP($C85,#REF!, 17, FALSE), "")</f>
        <v/>
      </c>
      <c r="R85" s="19" t="str">
        <f>IFERROR(VLOOKUP(C85,#REF!, 15, FALSE), "")</f>
        <v/>
      </c>
      <c r="S85" s="19" t="str">
        <f>IFERROR(VLOOKUP(C85,#REF!, 14, FALSE), "")</f>
        <v/>
      </c>
      <c r="T85" t="s">
        <v>77</v>
      </c>
      <c r="U85" s="25" t="s">
        <v>77</v>
      </c>
      <c r="V85" s="25" t="s">
        <v>77</v>
      </c>
    </row>
    <row r="86" spans="1:24" x14ac:dyDescent="0.25">
      <c r="A86" s="19" t="s">
        <v>71</v>
      </c>
      <c r="B86" s="19" t="s">
        <v>55</v>
      </c>
      <c r="C86" s="19" t="s">
        <v>679</v>
      </c>
      <c r="E86" s="19" t="str">
        <f>IFERROR(VLOOKUP(C86,#REF!, 9, FALSE), "")</f>
        <v/>
      </c>
      <c r="F86" s="19" t="str">
        <f t="shared" si="1"/>
        <v/>
      </c>
      <c r="G86">
        <v>51.530245000000001</v>
      </c>
      <c r="H86">
        <v>-0.10960161</v>
      </c>
      <c r="I86" s="26" t="s">
        <v>387</v>
      </c>
      <c r="J86" s="19">
        <v>0</v>
      </c>
      <c r="M86" s="19" t="s">
        <v>681</v>
      </c>
      <c r="N86" s="19" t="s">
        <v>558</v>
      </c>
      <c r="O86" s="26" t="s">
        <v>682</v>
      </c>
      <c r="P86" s="26" t="s">
        <v>1029</v>
      </c>
      <c r="Q86" s="26" t="str">
        <f>IFERROR(VLOOKUP($C86,#REF!, 17, FALSE), "")</f>
        <v/>
      </c>
      <c r="R86" s="19" t="str">
        <f>IFERROR(VLOOKUP(C86,#REF!, 15, FALSE), "")</f>
        <v/>
      </c>
      <c r="S86" s="19" t="str">
        <f>IFERROR(VLOOKUP(C86,#REF!, 14, FALSE), "")</f>
        <v/>
      </c>
      <c r="T86" s="26" t="s">
        <v>122</v>
      </c>
      <c r="U86" s="25">
        <v>0</v>
      </c>
      <c r="V86" s="26" t="s">
        <v>170</v>
      </c>
    </row>
    <row r="87" spans="1:24" x14ac:dyDescent="0.25">
      <c r="A87" s="19" t="s">
        <v>50</v>
      </c>
      <c r="B87" s="19" t="s">
        <v>424</v>
      </c>
      <c r="C87" s="19" t="s">
        <v>766</v>
      </c>
      <c r="D87" s="19" t="s">
        <v>1030</v>
      </c>
      <c r="E87" s="19" t="str">
        <f>IFERROR(VLOOKUP(C87,#REF!, 9, FALSE), "")</f>
        <v/>
      </c>
      <c r="F87" s="19" t="str">
        <f t="shared" si="1"/>
        <v>E3 3PN</v>
      </c>
      <c r="G87">
        <v>51.520327000000002</v>
      </c>
      <c r="H87">
        <v>-2.022498E-2</v>
      </c>
      <c r="I87" s="26" t="s">
        <v>423</v>
      </c>
      <c r="J87" s="19">
        <v>161</v>
      </c>
      <c r="M87" s="19" t="s">
        <v>770</v>
      </c>
      <c r="N87" s="19" t="s">
        <v>468</v>
      </c>
      <c r="O87" s="26" t="s">
        <v>771</v>
      </c>
      <c r="P87" s="26" t="s">
        <v>1031</v>
      </c>
      <c r="Q87" s="26" t="str">
        <f>IFERROR(VLOOKUP($C87,#REF!, 17, FALSE), "")</f>
        <v/>
      </c>
      <c r="R87" s="19" t="str">
        <f>IFERROR(VLOOKUP(C87,#REF!, 15, FALSE), "")</f>
        <v/>
      </c>
      <c r="S87" s="19" t="str">
        <f>IFERROR(VLOOKUP(C87,#REF!, 14, FALSE), "")</f>
        <v/>
      </c>
      <c r="T87" s="26" t="s">
        <v>136</v>
      </c>
      <c r="U87" s="26" t="s">
        <v>100</v>
      </c>
      <c r="V87" s="26" t="s">
        <v>191</v>
      </c>
      <c r="W87" s="19" t="s">
        <v>1032</v>
      </c>
      <c r="X87" s="19" t="s">
        <v>1033</v>
      </c>
    </row>
    <row r="88" spans="1:24" x14ac:dyDescent="0.25">
      <c r="A88" s="19" t="s">
        <v>50</v>
      </c>
      <c r="B88" s="19" t="s">
        <v>753</v>
      </c>
      <c r="C88" s="19" t="s">
        <v>754</v>
      </c>
      <c r="D88" s="19" t="s">
        <v>260</v>
      </c>
      <c r="E88" s="19" t="str">
        <f>IFERROR(VLOOKUP(C88,#REF!, 9, FALSE), "")</f>
        <v/>
      </c>
      <c r="F88" s="19" t="str">
        <f t="shared" si="1"/>
        <v>E14 0EY</v>
      </c>
      <c r="G88">
        <v>51.510477000000002</v>
      </c>
      <c r="H88">
        <v>-1.2624882E-2</v>
      </c>
      <c r="I88" s="26" t="s">
        <v>415</v>
      </c>
      <c r="J88" s="19">
        <v>344</v>
      </c>
      <c r="M88" s="19" t="s">
        <v>756</v>
      </c>
      <c r="N88" s="19" t="s">
        <v>544</v>
      </c>
      <c r="O88" s="26" t="s">
        <v>757</v>
      </c>
      <c r="P88" s="26" t="s">
        <v>1034</v>
      </c>
      <c r="Q88" s="26" t="str">
        <f>IFERROR(VLOOKUP($C88,#REF!, 17, FALSE), "")</f>
        <v/>
      </c>
      <c r="R88" s="19" t="str">
        <f>IFERROR(VLOOKUP(C88,#REF!, 15, FALSE), "")</f>
        <v/>
      </c>
      <c r="S88" s="19" t="str">
        <f>IFERROR(VLOOKUP(C88,#REF!, 14, FALSE), "")</f>
        <v/>
      </c>
      <c r="T88" t="s">
        <v>77</v>
      </c>
      <c r="U88" s="25" t="s">
        <v>77</v>
      </c>
      <c r="V88" s="25" t="s">
        <v>77</v>
      </c>
      <c r="W88" s="19" t="s">
        <v>1035</v>
      </c>
      <c r="X88" s="19" t="s">
        <v>1036</v>
      </c>
    </row>
    <row r="89" spans="1:24" x14ac:dyDescent="0.25">
      <c r="A89" s="19" t="s">
        <v>50</v>
      </c>
      <c r="B89" s="19" t="s">
        <v>869</v>
      </c>
      <c r="C89" s="19" t="s">
        <v>870</v>
      </c>
      <c r="E89" s="19" t="str">
        <f>IFERROR(VLOOKUP(C89,#REF!, 9, FALSE), "")</f>
        <v/>
      </c>
      <c r="F89" s="19" t="str">
        <f t="shared" si="1"/>
        <v/>
      </c>
      <c r="G89"/>
      <c r="H89"/>
      <c r="I89" s="26" t="s">
        <v>871</v>
      </c>
      <c r="J89" s="19">
        <v>0</v>
      </c>
      <c r="M89" s="19" t="s">
        <v>858</v>
      </c>
      <c r="N89" s="19" t="s">
        <v>727</v>
      </c>
      <c r="O89" s="26" t="s">
        <v>860</v>
      </c>
      <c r="P89"/>
      <c r="Q89" s="26" t="str">
        <f>IFERROR(VLOOKUP($C89,#REF!, 17, FALSE), "")</f>
        <v/>
      </c>
      <c r="R89" s="19" t="str">
        <f>IFERROR(VLOOKUP(C89,#REF!, 15, FALSE), "")</f>
        <v/>
      </c>
      <c r="S89" s="19" t="str">
        <f>IFERROR(VLOOKUP(C89,#REF!, 14, FALSE), "")</f>
        <v/>
      </c>
      <c r="T89" t="s">
        <v>77</v>
      </c>
      <c r="U89" s="25" t="s">
        <v>77</v>
      </c>
      <c r="V89" s="25" t="s">
        <v>77</v>
      </c>
    </row>
    <row r="90" spans="1:24" x14ac:dyDescent="0.25">
      <c r="A90" s="19" t="s">
        <v>50</v>
      </c>
      <c r="B90" s="19" t="s">
        <v>803</v>
      </c>
      <c r="C90" s="19" t="s">
        <v>804</v>
      </c>
      <c r="E90" s="19" t="str">
        <f>IFERROR(VLOOKUP(C90,#REF!, 9, FALSE), "")</f>
        <v/>
      </c>
      <c r="F90" s="19" t="str">
        <f t="shared" si="1"/>
        <v/>
      </c>
      <c r="G90"/>
      <c r="H90"/>
      <c r="I90" s="26" t="s">
        <v>445</v>
      </c>
      <c r="J90" s="19">
        <v>0</v>
      </c>
      <c r="M90" s="19" t="s">
        <v>808</v>
      </c>
      <c r="N90" s="19" t="s">
        <v>691</v>
      </c>
      <c r="O90" s="26" t="s">
        <v>809</v>
      </c>
      <c r="P90" s="26" t="s">
        <v>1037</v>
      </c>
      <c r="Q90" s="26" t="str">
        <f>IFERROR(VLOOKUP($C90,#REF!, 17, FALSE), "")</f>
        <v/>
      </c>
      <c r="R90" s="19" t="str">
        <f>IFERROR(VLOOKUP(C90,#REF!, 15, FALSE), "")</f>
        <v/>
      </c>
      <c r="S90" s="19" t="str">
        <f>IFERROR(VLOOKUP(C90,#REF!, 14, FALSE), "")</f>
        <v/>
      </c>
      <c r="T90" t="s">
        <v>77</v>
      </c>
      <c r="U90" s="25" t="s">
        <v>77</v>
      </c>
      <c r="V90" s="25" t="s">
        <v>77</v>
      </c>
    </row>
    <row r="91" spans="1:24" x14ac:dyDescent="0.25">
      <c r="A91" s="19" t="s">
        <v>50</v>
      </c>
      <c r="B91" s="19" t="s">
        <v>418</v>
      </c>
      <c r="C91" s="19" t="s">
        <v>758</v>
      </c>
      <c r="D91" s="19" t="s">
        <v>256</v>
      </c>
      <c r="E91" s="19" t="str">
        <f>IFERROR(VLOOKUP(C91,#REF!, 9, FALSE), "")</f>
        <v/>
      </c>
      <c r="F91" s="19" t="str">
        <f t="shared" si="1"/>
        <v>E14 8LH</v>
      </c>
      <c r="G91">
        <v>51.499136</v>
      </c>
      <c r="H91">
        <v>-2.3736838999999999E-2</v>
      </c>
      <c r="I91" s="26" t="s">
        <v>417</v>
      </c>
      <c r="J91" s="19">
        <v>151</v>
      </c>
      <c r="M91" s="19" t="s">
        <v>763</v>
      </c>
      <c r="N91" s="19" t="s">
        <v>468</v>
      </c>
      <c r="O91" s="26" t="s">
        <v>764</v>
      </c>
      <c r="P91" s="26" t="s">
        <v>1038</v>
      </c>
      <c r="Q91" s="26" t="str">
        <f>IFERROR(VLOOKUP($C91,#REF!, 17, FALSE), "")</f>
        <v/>
      </c>
      <c r="R91" s="19" t="str">
        <f>IFERROR(VLOOKUP(C91,#REF!, 15, FALSE), "")</f>
        <v/>
      </c>
      <c r="S91" s="19" t="str">
        <f>IFERROR(VLOOKUP(C91,#REF!, 14, FALSE), "")</f>
        <v/>
      </c>
      <c r="T91" t="s">
        <v>77</v>
      </c>
      <c r="U91" s="25" t="s">
        <v>77</v>
      </c>
      <c r="V91" s="25" t="s">
        <v>77</v>
      </c>
      <c r="W91" s="19" t="s">
        <v>1039</v>
      </c>
      <c r="X91" s="19" t="s">
        <v>1040</v>
      </c>
    </row>
    <row r="92" spans="1:24" x14ac:dyDescent="0.25">
      <c r="A92" s="19" t="s">
        <v>50</v>
      </c>
      <c r="B92" s="19" t="s">
        <v>828</v>
      </c>
      <c r="C92" s="19" t="s">
        <v>829</v>
      </c>
      <c r="E92" s="19" t="str">
        <f>IFERROR(VLOOKUP(C92,#REF!, 9, FALSE), "")</f>
        <v/>
      </c>
      <c r="F92" s="19" t="str">
        <f t="shared" si="1"/>
        <v/>
      </c>
      <c r="G92"/>
      <c r="H92"/>
      <c r="I92" s="26" t="s">
        <v>830</v>
      </c>
      <c r="J92" s="19">
        <v>0</v>
      </c>
      <c r="M92" s="19" t="s">
        <v>836</v>
      </c>
      <c r="N92" s="19" t="s">
        <v>570</v>
      </c>
      <c r="O92" s="26" t="s">
        <v>837</v>
      </c>
      <c r="P92" s="26" t="s">
        <v>1041</v>
      </c>
      <c r="Q92" s="26" t="str">
        <f>IFERROR(VLOOKUP($C92,#REF!, 17, FALSE), "")</f>
        <v/>
      </c>
      <c r="R92" s="19" t="str">
        <f>IFERROR(VLOOKUP(C92,#REF!, 15, FALSE), "")</f>
        <v/>
      </c>
      <c r="S92" s="19" t="str">
        <f>IFERROR(VLOOKUP(C92,#REF!, 14, FALSE), "")</f>
        <v/>
      </c>
      <c r="T92" t="s">
        <v>77</v>
      </c>
      <c r="U92" s="25" t="s">
        <v>77</v>
      </c>
      <c r="V92" s="25" t="s">
        <v>77</v>
      </c>
    </row>
    <row r="93" spans="1:24" x14ac:dyDescent="0.25">
      <c r="A93" s="19" t="s">
        <v>50</v>
      </c>
      <c r="B93" s="19" t="s">
        <v>420</v>
      </c>
      <c r="C93" s="19" t="s">
        <v>762</v>
      </c>
      <c r="D93" s="19" t="s">
        <v>255</v>
      </c>
      <c r="E93" s="19" t="str">
        <f>IFERROR(VLOOKUP(C93,#REF!, 9, FALSE), "")</f>
        <v/>
      </c>
      <c r="F93" s="19" t="str">
        <f t="shared" si="1"/>
        <v>E14 3BN</v>
      </c>
      <c r="G93">
        <v>51.489291000000001</v>
      </c>
      <c r="H93">
        <v>-6.3439621000000003E-3</v>
      </c>
      <c r="I93" s="26" t="s">
        <v>419</v>
      </c>
      <c r="J93" s="19">
        <v>99</v>
      </c>
      <c r="M93" s="19" t="s">
        <v>763</v>
      </c>
      <c r="N93" s="19" t="s">
        <v>468</v>
      </c>
      <c r="O93" s="26" t="s">
        <v>764</v>
      </c>
      <c r="P93" s="26" t="s">
        <v>1042</v>
      </c>
      <c r="Q93" s="26" t="str">
        <f>IFERROR(VLOOKUP($C93,#REF!, 17, FALSE), "")</f>
        <v/>
      </c>
      <c r="R93" s="19" t="str">
        <f>IFERROR(VLOOKUP(C93,#REF!, 15, FALSE), "")</f>
        <v/>
      </c>
      <c r="S93" s="19" t="str">
        <f>IFERROR(VLOOKUP(C93,#REF!, 14, FALSE), "")</f>
        <v/>
      </c>
      <c r="T93" s="26" t="s">
        <v>137</v>
      </c>
      <c r="U93" s="25">
        <v>0</v>
      </c>
      <c r="V93" s="26" t="s">
        <v>192</v>
      </c>
      <c r="W93" s="19" t="s">
        <v>1039</v>
      </c>
      <c r="X93" s="19" t="s">
        <v>1040</v>
      </c>
    </row>
    <row r="94" spans="1:24" x14ac:dyDescent="0.25">
      <c r="A94" s="19" t="s">
        <v>50</v>
      </c>
      <c r="B94" s="19" t="s">
        <v>443</v>
      </c>
      <c r="C94" s="19" t="s">
        <v>797</v>
      </c>
      <c r="D94" s="19" t="s">
        <v>263</v>
      </c>
      <c r="E94" s="19" t="str">
        <f>IFERROR(VLOOKUP(C94,#REF!, 9, FALSE), "")</f>
        <v/>
      </c>
      <c r="F94" s="19" t="str">
        <f t="shared" si="1"/>
        <v>E1 6LY</v>
      </c>
      <c r="G94">
        <v>51.519075999999998</v>
      </c>
      <c r="H94">
        <v>-7.3683262999999999E-2</v>
      </c>
      <c r="I94" s="26" t="s">
        <v>442</v>
      </c>
      <c r="J94" s="19">
        <v>207</v>
      </c>
      <c r="M94" s="19" t="s">
        <v>801</v>
      </c>
      <c r="N94" s="19" t="s">
        <v>468</v>
      </c>
      <c r="O94" s="26" t="s">
        <v>802</v>
      </c>
      <c r="P94" s="26" t="s">
        <v>1043</v>
      </c>
      <c r="Q94" s="26" t="str">
        <f>IFERROR(VLOOKUP($C94,#REF!, 17, FALSE), "")</f>
        <v/>
      </c>
      <c r="R94" s="19" t="str">
        <f>IFERROR(VLOOKUP(C94,#REF!, 15, FALSE), "")</f>
        <v/>
      </c>
      <c r="S94" s="19" t="str">
        <f>IFERROR(VLOOKUP(C94,#REF!, 14, FALSE), "")</f>
        <v/>
      </c>
      <c r="T94" s="26" t="s">
        <v>142</v>
      </c>
      <c r="U94" s="26" t="s">
        <v>105</v>
      </c>
      <c r="V94" s="26" t="s">
        <v>197</v>
      </c>
      <c r="W94" s="19" t="s">
        <v>1044</v>
      </c>
      <c r="X94" s="19" t="s">
        <v>1045</v>
      </c>
    </row>
    <row r="95" spans="1:24" x14ac:dyDescent="0.25">
      <c r="A95" s="19" t="s">
        <v>50</v>
      </c>
      <c r="B95" s="19" t="s">
        <v>447</v>
      </c>
      <c r="C95" s="19" t="s">
        <v>807</v>
      </c>
      <c r="E95" s="19" t="str">
        <f>IFERROR(VLOOKUP(C95,#REF!, 9, FALSE), "")</f>
        <v/>
      </c>
      <c r="F95" s="19" t="str">
        <f t="shared" si="1"/>
        <v/>
      </c>
      <c r="G95"/>
      <c r="H95"/>
      <c r="I95" s="26" t="s">
        <v>446</v>
      </c>
      <c r="J95" s="19">
        <v>0</v>
      </c>
      <c r="M95" s="19" t="s">
        <v>763</v>
      </c>
      <c r="N95" s="19" t="s">
        <v>691</v>
      </c>
      <c r="O95" s="26" t="s">
        <v>764</v>
      </c>
      <c r="P95"/>
      <c r="Q95" s="26" t="str">
        <f>IFERROR(VLOOKUP($C95,#REF!, 17, FALSE), "")</f>
        <v/>
      </c>
      <c r="R95" s="19" t="str">
        <f>IFERROR(VLOOKUP(C95,#REF!, 15, FALSE), "")</f>
        <v/>
      </c>
      <c r="S95" s="19" t="str">
        <f>IFERROR(VLOOKUP(C95,#REF!, 14, FALSE), "")</f>
        <v/>
      </c>
      <c r="T95" t="s">
        <v>77</v>
      </c>
      <c r="U95" s="25" t="s">
        <v>77</v>
      </c>
      <c r="V95" s="25" t="s">
        <v>77</v>
      </c>
    </row>
    <row r="96" spans="1:24" x14ac:dyDescent="0.25">
      <c r="A96" s="19" t="s">
        <v>50</v>
      </c>
      <c r="B96" s="19" t="s">
        <v>458</v>
      </c>
      <c r="C96" s="19" t="s">
        <v>868</v>
      </c>
      <c r="E96" s="19" t="str">
        <f>IFERROR(VLOOKUP(C96,#REF!, 9, FALSE), "")</f>
        <v/>
      </c>
      <c r="F96" s="19" t="str">
        <f t="shared" si="1"/>
        <v/>
      </c>
      <c r="G96"/>
      <c r="H96"/>
      <c r="I96" s="26" t="s">
        <v>457</v>
      </c>
      <c r="J96" s="19">
        <v>0</v>
      </c>
      <c r="P96"/>
      <c r="Q96" s="26" t="str">
        <f>IFERROR(VLOOKUP($C96,#REF!, 17, FALSE), "")</f>
        <v/>
      </c>
      <c r="R96" s="19" t="str">
        <f>IFERROR(VLOOKUP(C96,#REF!, 15, FALSE), "")</f>
        <v/>
      </c>
      <c r="S96" s="19" t="str">
        <f>IFERROR(VLOOKUP(C96,#REF!, 14, FALSE), "")</f>
        <v/>
      </c>
      <c r="T96" t="s">
        <v>77</v>
      </c>
      <c r="U96" s="25" t="s">
        <v>77</v>
      </c>
      <c r="V96" s="25" t="s">
        <v>77</v>
      </c>
    </row>
    <row r="97" spans="1:24" x14ac:dyDescent="0.25">
      <c r="A97" s="19" t="s">
        <v>50</v>
      </c>
      <c r="B97" s="19" t="s">
        <v>853</v>
      </c>
      <c r="C97" s="19" t="s">
        <v>854</v>
      </c>
      <c r="E97" s="19" t="str">
        <f>IFERROR(VLOOKUP(C97,#REF!, 9, FALSE), "")</f>
        <v/>
      </c>
      <c r="F97" s="19" t="str">
        <f t="shared" si="1"/>
        <v/>
      </c>
      <c r="G97"/>
      <c r="H97"/>
      <c r="I97" s="26" t="s">
        <v>450</v>
      </c>
      <c r="J97" s="19">
        <v>0</v>
      </c>
      <c r="M97" s="19" t="s">
        <v>858</v>
      </c>
      <c r="N97" s="19" t="s">
        <v>859</v>
      </c>
      <c r="O97" s="26" t="s">
        <v>860</v>
      </c>
      <c r="P97"/>
      <c r="Q97" s="26" t="str">
        <f>IFERROR(VLOOKUP($C97,#REF!, 17, FALSE), "")</f>
        <v/>
      </c>
      <c r="R97" s="19" t="str">
        <f>IFERROR(VLOOKUP(C97,#REF!, 15, FALSE), "")</f>
        <v/>
      </c>
      <c r="S97" s="19" t="str">
        <f>IFERROR(VLOOKUP(C97,#REF!, 14, FALSE), "")</f>
        <v/>
      </c>
      <c r="T97" t="s">
        <v>77</v>
      </c>
      <c r="U97" s="25" t="s">
        <v>77</v>
      </c>
      <c r="V97" s="25" t="s">
        <v>77</v>
      </c>
    </row>
    <row r="98" spans="1:24" x14ac:dyDescent="0.25">
      <c r="A98" s="19" t="s">
        <v>50</v>
      </c>
      <c r="B98" s="19" t="s">
        <v>414</v>
      </c>
      <c r="C98" s="19" t="s">
        <v>750</v>
      </c>
      <c r="E98" s="19" t="str">
        <f>IFERROR(VLOOKUP(C98,#REF!, 9, FALSE), "")</f>
        <v/>
      </c>
      <c r="F98" s="19" t="str">
        <f t="shared" si="1"/>
        <v/>
      </c>
      <c r="G98"/>
      <c r="H98"/>
      <c r="I98" s="26" t="s">
        <v>413</v>
      </c>
      <c r="J98" s="19">
        <v>0</v>
      </c>
      <c r="P98"/>
      <c r="Q98" s="26" t="str">
        <f>IFERROR(VLOOKUP($C98,#REF!, 17, FALSE), "")</f>
        <v/>
      </c>
      <c r="R98" s="19" t="str">
        <f>IFERROR(VLOOKUP(C98,#REF!, 15, FALSE), "")</f>
        <v/>
      </c>
      <c r="S98" s="19" t="str">
        <f>IFERROR(VLOOKUP(C98,#REF!, 14, FALSE), "")</f>
        <v/>
      </c>
      <c r="T98" t="s">
        <v>77</v>
      </c>
      <c r="U98" s="25" t="s">
        <v>77</v>
      </c>
      <c r="V98" s="25" t="s">
        <v>77</v>
      </c>
    </row>
    <row r="99" spans="1:24" x14ac:dyDescent="0.25">
      <c r="A99" s="19" t="s">
        <v>50</v>
      </c>
      <c r="B99" s="19" t="s">
        <v>454</v>
      </c>
      <c r="C99" s="19" t="s">
        <v>864</v>
      </c>
      <c r="E99" s="19" t="str">
        <f>IFERROR(VLOOKUP(C99,#REF!, 9, FALSE), "")</f>
        <v/>
      </c>
      <c r="F99" s="19" t="str">
        <f t="shared" si="1"/>
        <v/>
      </c>
      <c r="G99"/>
      <c r="H99"/>
      <c r="I99" s="26" t="s">
        <v>453</v>
      </c>
      <c r="J99" s="19">
        <v>0</v>
      </c>
      <c r="M99" s="19" t="s">
        <v>866</v>
      </c>
      <c r="N99" s="19" t="s">
        <v>736</v>
      </c>
      <c r="O99" s="26" t="s">
        <v>867</v>
      </c>
      <c r="P99" s="26" t="s">
        <v>1046</v>
      </c>
      <c r="Q99" s="26" t="str">
        <f>IFERROR(VLOOKUP($C99,#REF!, 17, FALSE), "")</f>
        <v/>
      </c>
      <c r="R99" s="19" t="str">
        <f>IFERROR(VLOOKUP(C99,#REF!, 15, FALSE), "")</f>
        <v/>
      </c>
      <c r="S99" s="19" t="str">
        <f>IFERROR(VLOOKUP(C99,#REF!, 14, FALSE), "")</f>
        <v/>
      </c>
      <c r="T99" t="s">
        <v>77</v>
      </c>
      <c r="U99" s="25" t="s">
        <v>77</v>
      </c>
      <c r="V99" s="25" t="s">
        <v>77</v>
      </c>
    </row>
    <row r="100" spans="1:24" x14ac:dyDescent="0.25">
      <c r="A100" s="19" t="s">
        <v>50</v>
      </c>
      <c r="B100" s="19" t="s">
        <v>848</v>
      </c>
      <c r="C100" s="19" t="s">
        <v>849</v>
      </c>
      <c r="E100" s="19" t="str">
        <f>IFERROR(VLOOKUP(C100,#REF!, 9, FALSE), "")</f>
        <v/>
      </c>
      <c r="F100" s="19" t="str">
        <f t="shared" si="1"/>
        <v/>
      </c>
      <c r="G100"/>
      <c r="H100"/>
      <c r="I100" s="26" t="s">
        <v>850</v>
      </c>
      <c r="J100" s="19">
        <v>0</v>
      </c>
      <c r="M100" s="19" t="s">
        <v>745</v>
      </c>
      <c r="N100" s="19" t="s">
        <v>852</v>
      </c>
      <c r="O100" s="26" t="s">
        <v>746</v>
      </c>
      <c r="P100" s="26" t="s">
        <v>1047</v>
      </c>
      <c r="Q100" s="26" t="str">
        <f>IFERROR(VLOOKUP($C100,#REF!, 17, FALSE), "")</f>
        <v/>
      </c>
      <c r="R100" s="19" t="str">
        <f>IFERROR(VLOOKUP(C100,#REF!, 15, FALSE), "")</f>
        <v/>
      </c>
      <c r="S100" s="19" t="str">
        <f>IFERROR(VLOOKUP(C100,#REF!, 14, FALSE), "")</f>
        <v/>
      </c>
      <c r="T100" t="s">
        <v>77</v>
      </c>
      <c r="U100" s="25" t="s">
        <v>77</v>
      </c>
      <c r="V100" s="25" t="s">
        <v>77</v>
      </c>
    </row>
    <row r="101" spans="1:24" x14ac:dyDescent="0.25">
      <c r="A101" s="19" t="s">
        <v>50</v>
      </c>
      <c r="B101" s="19" t="s">
        <v>810</v>
      </c>
      <c r="C101" s="19" t="s">
        <v>811</v>
      </c>
      <c r="E101" s="19" t="str">
        <f>IFERROR(VLOOKUP(C101,#REF!, 9, FALSE), "")</f>
        <v/>
      </c>
      <c r="F101" s="19" t="str">
        <f t="shared" si="1"/>
        <v/>
      </c>
      <c r="G101"/>
      <c r="H101"/>
      <c r="I101" s="26" t="s">
        <v>812</v>
      </c>
      <c r="J101" s="19">
        <v>0</v>
      </c>
      <c r="M101" s="19" t="s">
        <v>816</v>
      </c>
      <c r="N101" s="19" t="s">
        <v>570</v>
      </c>
      <c r="O101" s="26" t="s">
        <v>817</v>
      </c>
      <c r="P101" s="26" t="s">
        <v>1048</v>
      </c>
      <c r="Q101" s="26" t="str">
        <f>IFERROR(VLOOKUP($C101,#REF!, 17, FALSE), "")</f>
        <v/>
      </c>
      <c r="R101" s="19" t="str">
        <f>IFERROR(VLOOKUP(C101,#REF!, 15, FALSE), "")</f>
        <v/>
      </c>
      <c r="S101" s="19" t="str">
        <f>IFERROR(VLOOKUP(C101,#REF!, 14, FALSE), "")</f>
        <v/>
      </c>
      <c r="T101" t="s">
        <v>77</v>
      </c>
      <c r="U101" s="25" t="s">
        <v>77</v>
      </c>
      <c r="V101" s="25" t="s">
        <v>77</v>
      </c>
    </row>
    <row r="102" spans="1:24" x14ac:dyDescent="0.25">
      <c r="A102" s="19" t="s">
        <v>50</v>
      </c>
      <c r="B102" s="19" t="s">
        <v>429</v>
      </c>
      <c r="C102" s="19" t="s">
        <v>775</v>
      </c>
      <c r="D102" s="19" t="s">
        <v>257</v>
      </c>
      <c r="E102" s="19" t="str">
        <f>IFERROR(VLOOKUP(C102,#REF!, 9, FALSE), "")</f>
        <v/>
      </c>
      <c r="F102" s="19" t="str">
        <f t="shared" si="1"/>
        <v>E14 7HA</v>
      </c>
      <c r="G102">
        <v>51.51144</v>
      </c>
      <c r="H102">
        <v>-2.8652011000000002E-2</v>
      </c>
      <c r="I102" s="26" t="s">
        <v>428</v>
      </c>
      <c r="J102" s="19">
        <v>109</v>
      </c>
      <c r="M102" s="19" t="s">
        <v>779</v>
      </c>
      <c r="N102" s="19" t="s">
        <v>468</v>
      </c>
      <c r="O102" s="26" t="s">
        <v>780</v>
      </c>
      <c r="P102" s="26" t="s">
        <v>1049</v>
      </c>
      <c r="Q102" s="26" t="str">
        <f>IFERROR(VLOOKUP($C102,#REF!, 17, FALSE), "")</f>
        <v/>
      </c>
      <c r="R102" s="19" t="str">
        <f>IFERROR(VLOOKUP(C102,#REF!, 15, FALSE), "")</f>
        <v/>
      </c>
      <c r="S102" s="19" t="str">
        <f>IFERROR(VLOOKUP(C102,#REF!, 14, FALSE), "")</f>
        <v/>
      </c>
      <c r="T102" t="s">
        <v>77</v>
      </c>
      <c r="U102" s="25" t="s">
        <v>77</v>
      </c>
      <c r="V102" s="25" t="s">
        <v>77</v>
      </c>
      <c r="W102" s="19" t="s">
        <v>1050</v>
      </c>
      <c r="X102" s="19" t="s">
        <v>1051</v>
      </c>
    </row>
    <row r="103" spans="1:24" x14ac:dyDescent="0.25">
      <c r="A103" s="19" t="s">
        <v>50</v>
      </c>
      <c r="B103" s="19" t="s">
        <v>40</v>
      </c>
      <c r="C103" s="19" t="s">
        <v>778</v>
      </c>
      <c r="D103" s="19" t="s">
        <v>1052</v>
      </c>
      <c r="E103" s="19" t="str">
        <f>IFERROR(VLOOKUP(C103,#REF!, 9, FALSE), "")</f>
        <v/>
      </c>
      <c r="F103" s="19" t="str">
        <f t="shared" si="1"/>
        <v>E14 7HP</v>
      </c>
      <c r="G103">
        <v>51.511521000000002</v>
      </c>
      <c r="H103">
        <v>-3.1357896000000003E-2</v>
      </c>
      <c r="I103" s="26" t="s">
        <v>430</v>
      </c>
      <c r="J103" s="19">
        <v>0</v>
      </c>
      <c r="P103"/>
      <c r="Q103" s="26" t="str">
        <f>IFERROR(VLOOKUP($C103,#REF!, 17, FALSE), "")</f>
        <v/>
      </c>
      <c r="R103" s="19" t="str">
        <f>IFERROR(VLOOKUP(C103,#REF!, 15, FALSE), "")</f>
        <v/>
      </c>
      <c r="S103" s="19" t="str">
        <f>IFERROR(VLOOKUP(C103,#REF!, 14, FALSE), "")</f>
        <v/>
      </c>
      <c r="T103" s="26" t="s">
        <v>138</v>
      </c>
      <c r="U103" s="26" t="s">
        <v>101</v>
      </c>
      <c r="V103" s="26" t="s">
        <v>193</v>
      </c>
    </row>
    <row r="104" spans="1:24" x14ac:dyDescent="0.25">
      <c r="A104" s="19" t="s">
        <v>50</v>
      </c>
      <c r="B104" s="19" t="s">
        <v>407</v>
      </c>
      <c r="C104" s="19" t="s">
        <v>738</v>
      </c>
      <c r="D104" s="19" t="s">
        <v>268</v>
      </c>
      <c r="E104" s="19" t="str">
        <f>IFERROR(VLOOKUP(C104,#REF!, 9, FALSE), "")</f>
        <v/>
      </c>
      <c r="F104" s="19" t="str">
        <f t="shared" si="1"/>
        <v>E3 5TG</v>
      </c>
      <c r="G104">
        <v>51.531364000000004</v>
      </c>
      <c r="H104">
        <v>-4.0248490999999997E-2</v>
      </c>
      <c r="I104" s="26" t="s">
        <v>406</v>
      </c>
      <c r="J104" s="19">
        <v>104</v>
      </c>
      <c r="M104" s="19" t="s">
        <v>742</v>
      </c>
      <c r="N104" s="19" t="s">
        <v>468</v>
      </c>
      <c r="O104" s="26" t="s">
        <v>743</v>
      </c>
      <c r="P104" s="26" t="s">
        <v>1053</v>
      </c>
      <c r="Q104" s="26" t="str">
        <f>IFERROR(VLOOKUP($C104,#REF!, 17, FALSE), "")</f>
        <v/>
      </c>
      <c r="R104" s="19" t="str">
        <f>IFERROR(VLOOKUP(C104,#REF!, 15, FALSE), "")</f>
        <v/>
      </c>
      <c r="S104" s="19" t="str">
        <f>IFERROR(VLOOKUP(C104,#REF!, 14, FALSE), "")</f>
        <v/>
      </c>
      <c r="T104" s="26" t="s">
        <v>133</v>
      </c>
      <c r="U104" s="26" t="s">
        <v>94</v>
      </c>
      <c r="V104" s="26" t="s">
        <v>185</v>
      </c>
      <c r="W104" s="19" t="s">
        <v>1054</v>
      </c>
      <c r="X104" s="19" t="s">
        <v>1055</v>
      </c>
    </row>
    <row r="105" spans="1:24" x14ac:dyDescent="0.25">
      <c r="A105" s="19" t="s">
        <v>50</v>
      </c>
      <c r="B105" s="19" t="s">
        <v>464</v>
      </c>
      <c r="C105" s="19" t="s">
        <v>791</v>
      </c>
      <c r="D105" s="19" t="s">
        <v>266</v>
      </c>
      <c r="E105" s="19" t="str">
        <f>IFERROR(VLOOKUP(C105,#REF!, 9, FALSE), "")</f>
        <v/>
      </c>
      <c r="F105" s="19" t="str">
        <f t="shared" si="1"/>
        <v>E1 0NR</v>
      </c>
      <c r="G105">
        <v>51.516883</v>
      </c>
      <c r="H105">
        <v>-4.1691713999999998E-2</v>
      </c>
      <c r="I105" s="26" t="s">
        <v>439</v>
      </c>
      <c r="J105" s="19">
        <v>107</v>
      </c>
      <c r="M105" s="19" t="s">
        <v>795</v>
      </c>
      <c r="N105" s="19" t="s">
        <v>468</v>
      </c>
      <c r="O105" s="26" t="s">
        <v>796</v>
      </c>
      <c r="P105" s="26" t="s">
        <v>1056</v>
      </c>
      <c r="Q105" s="26" t="str">
        <f>IFERROR(VLOOKUP($C105,#REF!, 17, FALSE), "")</f>
        <v/>
      </c>
      <c r="R105" s="19" t="str">
        <f>IFERROR(VLOOKUP(C105,#REF!, 15, FALSE), "")</f>
        <v/>
      </c>
      <c r="S105" s="19" t="str">
        <f>IFERROR(VLOOKUP(C105,#REF!, 14, FALSE), "")</f>
        <v/>
      </c>
      <c r="T105" s="26" t="s">
        <v>144</v>
      </c>
      <c r="U105" s="25">
        <v>0</v>
      </c>
      <c r="V105" s="26" t="s">
        <v>201</v>
      </c>
      <c r="W105" s="19" t="s">
        <v>1057</v>
      </c>
      <c r="X105" s="19" t="s">
        <v>1058</v>
      </c>
    </row>
    <row r="106" spans="1:24" x14ac:dyDescent="0.25">
      <c r="A106" s="19" t="s">
        <v>50</v>
      </c>
      <c r="B106" s="19" t="s">
        <v>432</v>
      </c>
      <c r="C106" s="19" t="s">
        <v>781</v>
      </c>
      <c r="D106" s="19" t="s">
        <v>1059</v>
      </c>
      <c r="E106" s="19" t="str">
        <f>IFERROR(VLOOKUP(C106,#REF!, 9, FALSE), "")</f>
        <v/>
      </c>
      <c r="F106" s="19" t="str">
        <f t="shared" si="1"/>
        <v>E1 0BH</v>
      </c>
      <c r="G106">
        <v>51.510415999999999</v>
      </c>
      <c r="H106">
        <v>-6.0559639999999998E-2</v>
      </c>
      <c r="I106" s="26" t="s">
        <v>431</v>
      </c>
      <c r="J106" s="19">
        <v>51</v>
      </c>
      <c r="M106" s="19" t="s">
        <v>783</v>
      </c>
      <c r="N106" s="19" t="s">
        <v>468</v>
      </c>
      <c r="O106" s="26" t="s">
        <v>784</v>
      </c>
      <c r="P106" s="26" t="s">
        <v>1060</v>
      </c>
      <c r="Q106" s="26" t="str">
        <f>IFERROR(VLOOKUP($C106,#REF!, 17, FALSE), "")</f>
        <v/>
      </c>
      <c r="R106" s="19" t="str">
        <f>IFERROR(VLOOKUP(C106,#REF!, 15, FALSE), "")</f>
        <v/>
      </c>
      <c r="S106" s="19" t="str">
        <f>IFERROR(VLOOKUP(C106,#REF!, 14, FALSE), "")</f>
        <v/>
      </c>
      <c r="T106">
        <v>0</v>
      </c>
      <c r="U106" s="26" t="s">
        <v>106</v>
      </c>
      <c r="V106" s="26" t="s">
        <v>199</v>
      </c>
      <c r="W106" s="19" t="s">
        <v>1061</v>
      </c>
      <c r="X106" s="19" t="s">
        <v>1062</v>
      </c>
    </row>
    <row r="107" spans="1:24" x14ac:dyDescent="0.25">
      <c r="A107" s="19" t="s">
        <v>50</v>
      </c>
      <c r="B107" s="19" t="s">
        <v>409</v>
      </c>
      <c r="C107" s="19" t="s">
        <v>741</v>
      </c>
      <c r="D107" s="19" t="s">
        <v>251</v>
      </c>
      <c r="E107" s="19" t="str">
        <f>IFERROR(VLOOKUP(C107,#REF!, 9, FALSE), "")</f>
        <v/>
      </c>
      <c r="F107" s="19" t="str">
        <f t="shared" si="1"/>
        <v>E2 9JD</v>
      </c>
      <c r="G107">
        <v>51.531272000000001</v>
      </c>
      <c r="H107">
        <v>-4.7663258E-2</v>
      </c>
      <c r="I107" s="26" t="s">
        <v>408</v>
      </c>
      <c r="J107" s="19">
        <v>42</v>
      </c>
      <c r="M107" s="19" t="s">
        <v>745</v>
      </c>
      <c r="N107" s="19" t="s">
        <v>468</v>
      </c>
      <c r="O107" s="26" t="s">
        <v>746</v>
      </c>
      <c r="P107" s="26" t="s">
        <v>1063</v>
      </c>
      <c r="Q107" s="26" t="str">
        <f>IFERROR(VLOOKUP($C107,#REF!, 17, FALSE), "")</f>
        <v/>
      </c>
      <c r="R107" s="19" t="str">
        <f>IFERROR(VLOOKUP(C107,#REF!, 15, FALSE), "")</f>
        <v/>
      </c>
      <c r="S107" s="19" t="str">
        <f>IFERROR(VLOOKUP(C107,#REF!, 14, FALSE), "")</f>
        <v/>
      </c>
      <c r="T107" s="26" t="s">
        <v>133</v>
      </c>
      <c r="U107" s="26" t="s">
        <v>95</v>
      </c>
      <c r="V107" s="26" t="s">
        <v>186</v>
      </c>
      <c r="W107" s="19" t="s">
        <v>1064</v>
      </c>
      <c r="X107" s="19" t="s">
        <v>1065</v>
      </c>
    </row>
    <row r="108" spans="1:24" x14ac:dyDescent="0.25">
      <c r="A108" s="19" t="s">
        <v>50</v>
      </c>
      <c r="B108" s="19" t="s">
        <v>48</v>
      </c>
      <c r="C108" s="19" t="s">
        <v>744</v>
      </c>
      <c r="D108" s="19" t="s">
        <v>279</v>
      </c>
      <c r="E108" s="19" t="str">
        <f>IFERROR(VLOOKUP(C108,#REF!, 9, FALSE), "")</f>
        <v/>
      </c>
      <c r="F108" s="19" t="str">
        <f t="shared" si="1"/>
        <v>E2 9PA</v>
      </c>
      <c r="G108">
        <v>51.527659</v>
      </c>
      <c r="H108">
        <v>-5.4838771000000001E-2</v>
      </c>
      <c r="I108" s="26" t="s">
        <v>410</v>
      </c>
      <c r="J108" s="19">
        <v>92</v>
      </c>
      <c r="M108" s="19" t="s">
        <v>748</v>
      </c>
      <c r="N108" s="19" t="s">
        <v>493</v>
      </c>
      <c r="O108" s="26" t="s">
        <v>749</v>
      </c>
      <c r="P108" s="26" t="s">
        <v>1066</v>
      </c>
      <c r="Q108" s="26" t="str">
        <f>IFERROR(VLOOKUP($C108,#REF!, 17, FALSE), "")</f>
        <v/>
      </c>
      <c r="R108" s="19" t="str">
        <f>IFERROR(VLOOKUP(C108,#REF!, 15, FALSE), "")</f>
        <v/>
      </c>
      <c r="S108" s="19" t="str">
        <f>IFERROR(VLOOKUP(C108,#REF!, 14, FALSE), "")</f>
        <v/>
      </c>
      <c r="T108" s="26" t="s">
        <v>107</v>
      </c>
      <c r="U108" s="26" t="s">
        <v>107</v>
      </c>
      <c r="V108" s="26" t="s">
        <v>200</v>
      </c>
      <c r="W108" s="19" t="s">
        <v>1067</v>
      </c>
      <c r="X108" s="19" t="s">
        <v>1068</v>
      </c>
    </row>
    <row r="109" spans="1:24" x14ac:dyDescent="0.25">
      <c r="A109" s="19" t="s">
        <v>50</v>
      </c>
      <c r="B109" s="19" t="s">
        <v>687</v>
      </c>
      <c r="C109" s="19" t="s">
        <v>847</v>
      </c>
      <c r="E109" s="19" t="str">
        <f>IFERROR(VLOOKUP(C109,#REF!, 9, FALSE), "")</f>
        <v/>
      </c>
      <c r="F109" s="19" t="str">
        <f t="shared" si="1"/>
        <v/>
      </c>
      <c r="G109"/>
      <c r="H109"/>
      <c r="I109" s="26" t="s">
        <v>689</v>
      </c>
      <c r="J109" s="19">
        <v>0</v>
      </c>
      <c r="M109" s="19" t="s">
        <v>696</v>
      </c>
      <c r="N109" s="19" t="s">
        <v>570</v>
      </c>
      <c r="O109" s="26" t="s">
        <v>697</v>
      </c>
      <c r="P109" s="26" t="s">
        <v>995</v>
      </c>
      <c r="Q109" s="26" t="str">
        <f>IFERROR(VLOOKUP($C109,#REF!, 17, FALSE), "")</f>
        <v/>
      </c>
      <c r="R109" s="19" t="str">
        <f>IFERROR(VLOOKUP(C109,#REF!, 15, FALSE), "")</f>
        <v/>
      </c>
      <c r="S109" s="19" t="str">
        <f>IFERROR(VLOOKUP(C109,#REF!, 14, FALSE), "")</f>
        <v/>
      </c>
      <c r="T109" t="s">
        <v>77</v>
      </c>
      <c r="U109" s="25" t="s">
        <v>77</v>
      </c>
      <c r="V109" s="25" t="s">
        <v>77</v>
      </c>
    </row>
    <row r="110" spans="1:24" x14ac:dyDescent="0.25">
      <c r="A110" s="19" t="s">
        <v>50</v>
      </c>
      <c r="B110" s="19" t="s">
        <v>422</v>
      </c>
      <c r="C110" s="19" t="s">
        <v>765</v>
      </c>
      <c r="D110" s="19" t="s">
        <v>256</v>
      </c>
      <c r="E110" s="19" t="str">
        <f>IFERROR(VLOOKUP(C110,#REF!, 9, FALSE), "")</f>
        <v/>
      </c>
      <c r="F110" s="19" t="str">
        <f t="shared" si="1"/>
        <v>E14 8LH</v>
      </c>
      <c r="G110">
        <v>51.499136</v>
      </c>
      <c r="H110">
        <v>-2.3736838999999999E-2</v>
      </c>
      <c r="I110" s="26" t="s">
        <v>421</v>
      </c>
      <c r="J110" s="19">
        <v>40</v>
      </c>
      <c r="M110" s="19" t="s">
        <v>767</v>
      </c>
      <c r="N110" s="19" t="s">
        <v>558</v>
      </c>
      <c r="O110" s="26" t="s">
        <v>768</v>
      </c>
      <c r="P110" s="26" t="s">
        <v>81</v>
      </c>
      <c r="Q110" s="26" t="str">
        <f>IFERROR(VLOOKUP($C110,#REF!, 17, FALSE), "")</f>
        <v/>
      </c>
      <c r="R110" s="19" t="str">
        <f>IFERROR(VLOOKUP(C110,#REF!, 15, FALSE), "")</f>
        <v/>
      </c>
      <c r="S110" s="19" t="str">
        <f>IFERROR(VLOOKUP(C110,#REF!, 14, FALSE), "")</f>
        <v/>
      </c>
      <c r="T110" s="26" t="s">
        <v>137</v>
      </c>
      <c r="U110" s="25">
        <v>0</v>
      </c>
      <c r="V110" s="26" t="s">
        <v>192</v>
      </c>
      <c r="W110" s="19" t="s">
        <v>1039</v>
      </c>
      <c r="X110" s="19" t="s">
        <v>1040</v>
      </c>
    </row>
    <row r="111" spans="1:24" x14ac:dyDescent="0.25">
      <c r="A111" s="19" t="s">
        <v>50</v>
      </c>
      <c r="B111" s="19" t="s">
        <v>703</v>
      </c>
      <c r="C111" s="19" t="s">
        <v>838</v>
      </c>
      <c r="E111" s="19" t="str">
        <f>IFERROR(VLOOKUP(C111,#REF!, 9, FALSE), "")</f>
        <v/>
      </c>
      <c r="F111" s="19" t="str">
        <f t="shared" si="1"/>
        <v/>
      </c>
      <c r="G111"/>
      <c r="H111"/>
      <c r="I111" s="26" t="s">
        <v>705</v>
      </c>
      <c r="J111" s="19">
        <v>0</v>
      </c>
      <c r="M111" s="19" t="s">
        <v>709</v>
      </c>
      <c r="N111" s="19" t="s">
        <v>570</v>
      </c>
      <c r="O111" s="26" t="s">
        <v>710</v>
      </c>
      <c r="P111" s="26" t="s">
        <v>1003</v>
      </c>
      <c r="Q111" s="26" t="str">
        <f>IFERROR(VLOOKUP($C111,#REF!, 17, FALSE), "")</f>
        <v/>
      </c>
      <c r="R111" s="19" t="str">
        <f>IFERROR(VLOOKUP(C111,#REF!, 15, FALSE), "")</f>
        <v/>
      </c>
      <c r="S111" s="19" t="str">
        <f>IFERROR(VLOOKUP(C111,#REF!, 14, FALSE), "")</f>
        <v/>
      </c>
      <c r="T111" t="s">
        <v>77</v>
      </c>
      <c r="U111" s="25" t="s">
        <v>77</v>
      </c>
      <c r="V111" s="25" t="s">
        <v>77</v>
      </c>
    </row>
    <row r="112" spans="1:24" x14ac:dyDescent="0.25">
      <c r="A112" s="19" t="s">
        <v>50</v>
      </c>
      <c r="B112" s="19" t="s">
        <v>861</v>
      </c>
      <c r="C112" s="19" t="s">
        <v>862</v>
      </c>
      <c r="E112" s="19" t="str">
        <f>IFERROR(VLOOKUP(C112,#REF!, 9, FALSE), "")</f>
        <v/>
      </c>
      <c r="F112" s="19" t="str">
        <f t="shared" si="1"/>
        <v/>
      </c>
      <c r="G112"/>
      <c r="H112"/>
      <c r="I112" s="26" t="s">
        <v>452</v>
      </c>
      <c r="J112" s="19">
        <v>0</v>
      </c>
      <c r="M112" s="19" t="s">
        <v>742</v>
      </c>
      <c r="N112" s="19" t="s">
        <v>691</v>
      </c>
      <c r="O112" s="26" t="s">
        <v>743</v>
      </c>
      <c r="P112"/>
      <c r="Q112" s="26" t="str">
        <f>IFERROR(VLOOKUP($C112,#REF!, 17, FALSE), "")</f>
        <v/>
      </c>
      <c r="R112" s="19" t="str">
        <f>IFERROR(VLOOKUP(C112,#REF!, 15, FALSE), "")</f>
        <v/>
      </c>
      <c r="S112" s="19" t="str">
        <f>IFERROR(VLOOKUP(C112,#REF!, 14, FALSE), "")</f>
        <v/>
      </c>
      <c r="T112" t="s">
        <v>77</v>
      </c>
      <c r="U112" s="25" t="s">
        <v>77</v>
      </c>
      <c r="V112" s="25" t="s">
        <v>77</v>
      </c>
    </row>
    <row r="113" spans="1:24" x14ac:dyDescent="0.25">
      <c r="A113" s="19" t="s">
        <v>50</v>
      </c>
      <c r="B113" s="19" t="s">
        <v>35</v>
      </c>
      <c r="C113" s="19" t="s">
        <v>769</v>
      </c>
      <c r="D113" s="19" t="s">
        <v>278</v>
      </c>
      <c r="E113" s="19" t="str">
        <f>IFERROR(VLOOKUP(C113,#REF!, 9, FALSE), "")</f>
        <v/>
      </c>
      <c r="F113" s="19" t="str">
        <f t="shared" si="1"/>
        <v>E3 3AH</v>
      </c>
      <c r="G113">
        <v>51.528162999999999</v>
      </c>
      <c r="H113">
        <v>-1.8342409E-2</v>
      </c>
      <c r="I113" s="26" t="s">
        <v>425</v>
      </c>
      <c r="J113" s="19">
        <v>90</v>
      </c>
      <c r="M113" s="19" t="s">
        <v>773</v>
      </c>
      <c r="N113" s="19" t="s">
        <v>468</v>
      </c>
      <c r="O113" s="26" t="s">
        <v>774</v>
      </c>
      <c r="P113" s="26" t="s">
        <v>1069</v>
      </c>
      <c r="Q113" s="26" t="str">
        <f>IFERROR(VLOOKUP($C113,#REF!, 17, FALSE), "")</f>
        <v/>
      </c>
      <c r="R113" s="19" t="str">
        <f>IFERROR(VLOOKUP(C113,#REF!, 15, FALSE), "")</f>
        <v/>
      </c>
      <c r="S113" s="19" t="str">
        <f>IFERROR(VLOOKUP(C113,#REF!, 14, FALSE), "")</f>
        <v/>
      </c>
      <c r="T113" s="26" t="s">
        <v>134</v>
      </c>
      <c r="U113" s="26" t="s">
        <v>98</v>
      </c>
      <c r="V113" s="26" t="s">
        <v>189</v>
      </c>
      <c r="W113" s="19" t="s">
        <v>1070</v>
      </c>
      <c r="X113" s="19" t="s">
        <v>1071</v>
      </c>
    </row>
    <row r="114" spans="1:24" x14ac:dyDescent="0.25">
      <c r="A114" s="19" t="s">
        <v>50</v>
      </c>
      <c r="B114" s="19" t="s">
        <v>434</v>
      </c>
      <c r="C114" s="19" t="s">
        <v>782</v>
      </c>
      <c r="D114" s="19" t="s">
        <v>264</v>
      </c>
      <c r="E114" s="19" t="str">
        <f>IFERROR(VLOOKUP(C114,#REF!, 9, FALSE), "")</f>
        <v/>
      </c>
      <c r="F114" s="19" t="str">
        <f t="shared" si="1"/>
        <v>E1 0BQ</v>
      </c>
      <c r="G114">
        <v>51.510215000000002</v>
      </c>
      <c r="H114">
        <v>-5.4933388E-2</v>
      </c>
      <c r="I114" s="26" t="s">
        <v>433</v>
      </c>
      <c r="J114" s="19">
        <v>60</v>
      </c>
      <c r="M114" s="19" t="s">
        <v>786</v>
      </c>
      <c r="N114" s="19" t="s">
        <v>468</v>
      </c>
      <c r="O114" s="26" t="s">
        <v>787</v>
      </c>
      <c r="P114" s="26" t="s">
        <v>1072</v>
      </c>
      <c r="Q114" s="26" t="str">
        <f>IFERROR(VLOOKUP($C114,#REF!, 17, FALSE), "")</f>
        <v/>
      </c>
      <c r="R114" s="19" t="str">
        <f>IFERROR(VLOOKUP(C114,#REF!, 15, FALSE), "")</f>
        <v/>
      </c>
      <c r="S114" s="19" t="str">
        <f>IFERROR(VLOOKUP(C114,#REF!, 14, FALSE), "")</f>
        <v/>
      </c>
      <c r="T114" s="26" t="s">
        <v>143</v>
      </c>
      <c r="U114" s="25">
        <v>0</v>
      </c>
      <c r="V114" s="26" t="s">
        <v>198</v>
      </c>
      <c r="W114" s="19" t="s">
        <v>1073</v>
      </c>
      <c r="X114" s="19" t="s">
        <v>1074</v>
      </c>
    </row>
    <row r="115" spans="1:24" x14ac:dyDescent="0.25">
      <c r="A115" s="19" t="s">
        <v>50</v>
      </c>
      <c r="B115" s="19" t="s">
        <v>405</v>
      </c>
      <c r="C115" s="19" t="s">
        <v>734</v>
      </c>
      <c r="D115" s="19" t="s">
        <v>269</v>
      </c>
      <c r="E115" s="19" t="str">
        <f>IFERROR(VLOOKUP(C115,#REF!, 9, FALSE), "")</f>
        <v/>
      </c>
      <c r="F115" s="19" t="str">
        <f t="shared" si="1"/>
        <v>E2 6DT</v>
      </c>
      <c r="G115">
        <v>51.525098999999997</v>
      </c>
      <c r="H115">
        <v>-6.8095186000000002E-2</v>
      </c>
      <c r="I115" s="26" t="s">
        <v>404</v>
      </c>
      <c r="J115" s="19">
        <v>63</v>
      </c>
      <c r="M115" s="19" t="s">
        <v>739</v>
      </c>
      <c r="N115" s="19" t="s">
        <v>468</v>
      </c>
      <c r="O115" s="26" t="s">
        <v>740</v>
      </c>
      <c r="P115" s="26" t="s">
        <v>80</v>
      </c>
      <c r="Q115" s="26" t="str">
        <f>IFERROR(VLOOKUP($C115,#REF!, 17, FALSE), "")</f>
        <v/>
      </c>
      <c r="R115" s="19" t="str">
        <f>IFERROR(VLOOKUP(C115,#REF!, 15, FALSE), "")</f>
        <v/>
      </c>
      <c r="S115" s="19" t="str">
        <f>IFERROR(VLOOKUP(C115,#REF!, 14, FALSE), "")</f>
        <v/>
      </c>
      <c r="T115" s="26" t="s">
        <v>133</v>
      </c>
      <c r="U115" s="26" t="s">
        <v>96</v>
      </c>
      <c r="V115" s="26" t="s">
        <v>187</v>
      </c>
      <c r="W115" s="19" t="s">
        <v>1075</v>
      </c>
      <c r="X115" s="19" t="s">
        <v>1076</v>
      </c>
    </row>
    <row r="116" spans="1:24" x14ac:dyDescent="0.25">
      <c r="A116" s="19" t="s">
        <v>50</v>
      </c>
      <c r="B116" s="19" t="s">
        <v>572</v>
      </c>
      <c r="C116" s="19" t="s">
        <v>844</v>
      </c>
      <c r="E116" s="19" t="str">
        <f>IFERROR(VLOOKUP(C116,#REF!, 9, FALSE), "")</f>
        <v/>
      </c>
      <c r="F116" s="19" t="str">
        <f t="shared" si="1"/>
        <v/>
      </c>
      <c r="G116"/>
      <c r="H116"/>
      <c r="I116" s="26" t="s">
        <v>574</v>
      </c>
      <c r="J116" s="19">
        <v>0</v>
      </c>
      <c r="M116" s="19" t="s">
        <v>580</v>
      </c>
      <c r="N116" s="19" t="s">
        <v>570</v>
      </c>
      <c r="O116" s="26" t="s">
        <v>581</v>
      </c>
      <c r="P116" s="26" t="s">
        <v>934</v>
      </c>
      <c r="Q116" s="26" t="str">
        <f>IFERROR(VLOOKUP($C116,#REF!, 17, FALSE), "")</f>
        <v/>
      </c>
      <c r="R116" s="19" t="str">
        <f>IFERROR(VLOOKUP(C116,#REF!, 15, FALSE), "")</f>
        <v/>
      </c>
      <c r="S116" s="19" t="str">
        <f>IFERROR(VLOOKUP(C116,#REF!, 14, FALSE), "")</f>
        <v/>
      </c>
      <c r="T116" t="s">
        <v>77</v>
      </c>
      <c r="U116" s="25" t="s">
        <v>77</v>
      </c>
      <c r="V116" s="25" t="s">
        <v>77</v>
      </c>
    </row>
    <row r="117" spans="1:24" x14ac:dyDescent="0.25">
      <c r="A117" s="19" t="s">
        <v>50</v>
      </c>
      <c r="B117" s="19" t="s">
        <v>755</v>
      </c>
      <c r="C117" s="19" t="s">
        <v>754</v>
      </c>
      <c r="D117" s="19" t="s">
        <v>261</v>
      </c>
      <c r="E117" s="19" t="str">
        <f>IFERROR(VLOOKUP(C117,#REF!, 9, FALSE), "")</f>
        <v/>
      </c>
      <c r="F117" s="19" t="str">
        <f t="shared" si="1"/>
        <v>E14 0PT</v>
      </c>
      <c r="G117">
        <v>51.514231000000002</v>
      </c>
      <c r="H117">
        <v>-4.9524992999999996E-3</v>
      </c>
      <c r="I117" s="26" t="s">
        <v>416</v>
      </c>
      <c r="J117" s="19">
        <v>344</v>
      </c>
      <c r="M117" s="19" t="s">
        <v>759</v>
      </c>
      <c r="N117" s="19" t="s">
        <v>760</v>
      </c>
      <c r="O117" s="26" t="s">
        <v>761</v>
      </c>
      <c r="P117" s="26" t="s">
        <v>1077</v>
      </c>
      <c r="Q117" s="26" t="str">
        <f>IFERROR(VLOOKUP($C117,#REF!, 17, FALSE), "")</f>
        <v/>
      </c>
      <c r="R117" s="19" t="str">
        <f>IFERROR(VLOOKUP(C117,#REF!, 15, FALSE), "")</f>
        <v/>
      </c>
      <c r="S117" s="19" t="str">
        <f>IFERROR(VLOOKUP(C117,#REF!, 14, FALSE), "")</f>
        <v/>
      </c>
      <c r="T117" t="s">
        <v>77</v>
      </c>
      <c r="U117" s="25" t="s">
        <v>77</v>
      </c>
      <c r="V117" s="25" t="s">
        <v>77</v>
      </c>
    </row>
    <row r="118" spans="1:24" x14ac:dyDescent="0.25">
      <c r="A118" s="19" t="s">
        <v>50</v>
      </c>
      <c r="B118" s="19" t="s">
        <v>427</v>
      </c>
      <c r="C118" s="19" t="s">
        <v>772</v>
      </c>
      <c r="D118" s="19" t="s">
        <v>1078</v>
      </c>
      <c r="E118" s="19" t="str">
        <f>IFERROR(VLOOKUP(C118,#REF!, 9, FALSE), "")</f>
        <v/>
      </c>
      <c r="F118" s="19" t="str">
        <f t="shared" si="1"/>
        <v>E9 5HT</v>
      </c>
      <c r="G118">
        <v>51.539682999999997</v>
      </c>
      <c r="H118">
        <v>-2.8498850999999999E-2</v>
      </c>
      <c r="I118" s="26" t="s">
        <v>426</v>
      </c>
      <c r="J118" s="19">
        <v>129</v>
      </c>
      <c r="M118" s="19" t="s">
        <v>776</v>
      </c>
      <c r="N118" s="19" t="s">
        <v>468</v>
      </c>
      <c r="O118" s="26" t="s">
        <v>777</v>
      </c>
      <c r="P118" s="26" t="s">
        <v>1079</v>
      </c>
      <c r="Q118" s="26" t="str">
        <f>IFERROR(VLOOKUP($C118,#REF!, 17, FALSE), "")</f>
        <v/>
      </c>
      <c r="R118" s="19" t="str">
        <f>IFERROR(VLOOKUP(C118,#REF!, 15, FALSE), "")</f>
        <v/>
      </c>
      <c r="S118" s="19" t="str">
        <f>IFERROR(VLOOKUP(C118,#REF!, 14, FALSE), "")</f>
        <v/>
      </c>
      <c r="T118" s="26" t="s">
        <v>140</v>
      </c>
      <c r="U118" s="26" t="s">
        <v>103</v>
      </c>
      <c r="V118" s="26" t="s">
        <v>195</v>
      </c>
      <c r="W118" s="19" t="s">
        <v>1080</v>
      </c>
      <c r="X118" s="19" t="s">
        <v>1081</v>
      </c>
    </row>
    <row r="119" spans="1:24" x14ac:dyDescent="0.25">
      <c r="A119" s="19" t="s">
        <v>50</v>
      </c>
      <c r="B119" s="19" t="s">
        <v>441</v>
      </c>
      <c r="C119" s="19" t="s">
        <v>794</v>
      </c>
      <c r="D119" s="19" t="s">
        <v>253</v>
      </c>
      <c r="E119" s="19" t="str">
        <f>IFERROR(VLOOKUP(C119,#REF!, 9, FALSE), "")</f>
        <v/>
      </c>
      <c r="F119" s="19" t="str">
        <f t="shared" si="1"/>
        <v>E3 4AR</v>
      </c>
      <c r="G119">
        <v>51.517195000000001</v>
      </c>
      <c r="H119">
        <v>-2.9153035000000001E-2</v>
      </c>
      <c r="I119" s="26" t="s">
        <v>440</v>
      </c>
      <c r="J119" s="19">
        <v>79</v>
      </c>
      <c r="M119" s="19" t="s">
        <v>798</v>
      </c>
      <c r="N119" s="19" t="s">
        <v>468</v>
      </c>
      <c r="O119" s="26" t="s">
        <v>799</v>
      </c>
      <c r="P119" s="26" t="s">
        <v>1082</v>
      </c>
      <c r="Q119" s="26" t="str">
        <f>IFERROR(VLOOKUP($C119,#REF!, 17, FALSE), "")</f>
        <v/>
      </c>
      <c r="R119" s="19" t="str">
        <f>IFERROR(VLOOKUP(C119,#REF!, 15, FALSE), "")</f>
        <v/>
      </c>
      <c r="S119" s="19" t="str">
        <f>IFERROR(VLOOKUP(C119,#REF!, 14, FALSE), "")</f>
        <v/>
      </c>
      <c r="T119" s="26" t="s">
        <v>135</v>
      </c>
      <c r="U119" s="26" t="s">
        <v>99</v>
      </c>
      <c r="V119" s="26" t="s">
        <v>190</v>
      </c>
      <c r="W119" s="19" t="s">
        <v>1083</v>
      </c>
      <c r="X119" s="19" t="s">
        <v>1084</v>
      </c>
    </row>
    <row r="120" spans="1:24" x14ac:dyDescent="0.25">
      <c r="A120" s="19" t="s">
        <v>50</v>
      </c>
      <c r="B120" s="19" t="s">
        <v>438</v>
      </c>
      <c r="C120" s="19" t="s">
        <v>788</v>
      </c>
      <c r="D120" s="19" t="s">
        <v>262</v>
      </c>
      <c r="E120" s="19" t="str">
        <f>IFERROR(VLOOKUP(C120,#REF!, 9, FALSE), "")</f>
        <v/>
      </c>
      <c r="F120" s="19" t="str">
        <f t="shared" si="1"/>
        <v>E1W 3DH</v>
      </c>
      <c r="G120">
        <v>51.509518</v>
      </c>
      <c r="H120">
        <v>-5.3046399000000001E-2</v>
      </c>
      <c r="I120" s="26" t="s">
        <v>437</v>
      </c>
      <c r="J120" s="19">
        <v>244</v>
      </c>
      <c r="M120" s="19" t="s">
        <v>792</v>
      </c>
      <c r="N120" s="19" t="s">
        <v>468</v>
      </c>
      <c r="O120" s="26" t="s">
        <v>793</v>
      </c>
      <c r="P120" s="26" t="s">
        <v>1085</v>
      </c>
      <c r="Q120" s="26" t="str">
        <f>IFERROR(VLOOKUP($C120,#REF!, 17, FALSE), "")</f>
        <v/>
      </c>
      <c r="R120" s="19" t="str">
        <f>IFERROR(VLOOKUP(C120,#REF!, 15, FALSE), "")</f>
        <v/>
      </c>
      <c r="S120" s="19" t="str">
        <f>IFERROR(VLOOKUP(C120,#REF!, 14, FALSE), "")</f>
        <v/>
      </c>
      <c r="T120" s="26" t="s">
        <v>141</v>
      </c>
      <c r="U120" s="26" t="s">
        <v>104</v>
      </c>
      <c r="V120" s="26" t="s">
        <v>196</v>
      </c>
      <c r="W120" s="19" t="s">
        <v>1086</v>
      </c>
      <c r="X120" s="19" t="s">
        <v>1087</v>
      </c>
    </row>
    <row r="121" spans="1:24" x14ac:dyDescent="0.25">
      <c r="A121" s="19" t="s">
        <v>50</v>
      </c>
      <c r="B121" s="19" t="s">
        <v>841</v>
      </c>
      <c r="C121" s="19" t="s">
        <v>842</v>
      </c>
      <c r="E121" s="19" t="str">
        <f>IFERROR(VLOOKUP(C121,#REF!, 9, FALSE), "")</f>
        <v/>
      </c>
      <c r="F121" s="19" t="str">
        <f t="shared" si="1"/>
        <v/>
      </c>
      <c r="G121"/>
      <c r="H121"/>
      <c r="I121" s="26" t="s">
        <v>843</v>
      </c>
      <c r="J121" s="19">
        <v>0</v>
      </c>
      <c r="M121" s="19" t="s">
        <v>845</v>
      </c>
      <c r="N121" s="19" t="s">
        <v>570</v>
      </c>
      <c r="O121" s="26" t="s">
        <v>846</v>
      </c>
      <c r="P121" s="26" t="s">
        <v>1088</v>
      </c>
      <c r="Q121" s="26" t="str">
        <f>IFERROR(VLOOKUP($C121,#REF!, 17, FALSE), "")</f>
        <v/>
      </c>
      <c r="R121" s="19" t="str">
        <f>IFERROR(VLOOKUP(C121,#REF!, 15, FALSE), "")</f>
        <v/>
      </c>
      <c r="S121" s="19" t="str">
        <f>IFERROR(VLOOKUP(C121,#REF!, 14, FALSE), "")</f>
        <v/>
      </c>
      <c r="T121" t="s">
        <v>77</v>
      </c>
      <c r="U121" s="25" t="s">
        <v>77</v>
      </c>
      <c r="V121" s="25" t="s">
        <v>77</v>
      </c>
    </row>
    <row r="122" spans="1:24" x14ac:dyDescent="0.25">
      <c r="A122" s="19" t="s">
        <v>50</v>
      </c>
      <c r="B122" s="19" t="s">
        <v>813</v>
      </c>
      <c r="C122" s="19" t="s">
        <v>814</v>
      </c>
      <c r="E122" s="19" t="str">
        <f>IFERROR(VLOOKUP(C122,#REF!, 9, FALSE), "")</f>
        <v/>
      </c>
      <c r="F122" s="19" t="str">
        <f t="shared" si="1"/>
        <v/>
      </c>
      <c r="G122"/>
      <c r="H122"/>
      <c r="I122" s="26" t="s">
        <v>815</v>
      </c>
      <c r="J122" s="19">
        <v>0</v>
      </c>
      <c r="M122" s="19" t="s">
        <v>821</v>
      </c>
      <c r="N122" s="19" t="s">
        <v>570</v>
      </c>
      <c r="O122" s="26" t="s">
        <v>822</v>
      </c>
      <c r="P122" s="26" t="s">
        <v>1089</v>
      </c>
      <c r="Q122" s="26" t="str">
        <f>IFERROR(VLOOKUP($C122,#REF!, 17, FALSE), "")</f>
        <v/>
      </c>
      <c r="R122" s="19" t="str">
        <f>IFERROR(VLOOKUP(C122,#REF!, 15, FALSE), "")</f>
        <v/>
      </c>
      <c r="S122" s="19" t="str">
        <f>IFERROR(VLOOKUP(C122,#REF!, 14, FALSE), "")</f>
        <v/>
      </c>
      <c r="T122" t="s">
        <v>77</v>
      </c>
      <c r="U122" s="25" t="s">
        <v>77</v>
      </c>
      <c r="V122" s="25" t="s">
        <v>77</v>
      </c>
    </row>
    <row r="123" spans="1:24" x14ac:dyDescent="0.25">
      <c r="A123" s="19" t="s">
        <v>50</v>
      </c>
      <c r="B123" s="19" t="s">
        <v>412</v>
      </c>
      <c r="C123" s="19" t="s">
        <v>747</v>
      </c>
      <c r="D123" s="19" t="s">
        <v>252</v>
      </c>
      <c r="E123" s="19" t="str">
        <f>IFERROR(VLOOKUP(C123,#REF!, 9, FALSE), "")</f>
        <v/>
      </c>
      <c r="F123" s="19" t="str">
        <f t="shared" si="1"/>
        <v>E2 7AE</v>
      </c>
      <c r="G123">
        <v>51.529953999999996</v>
      </c>
      <c r="H123">
        <v>-6.4213211000000006E-2</v>
      </c>
      <c r="I123" s="26" t="s">
        <v>411</v>
      </c>
      <c r="J123" s="19">
        <v>119</v>
      </c>
      <c r="M123" s="19" t="s">
        <v>751</v>
      </c>
      <c r="N123" s="19" t="s">
        <v>468</v>
      </c>
      <c r="O123" s="26" t="s">
        <v>752</v>
      </c>
      <c r="P123" s="26" t="s">
        <v>1090</v>
      </c>
      <c r="Q123" s="26" t="str">
        <f>IFERROR(VLOOKUP($C123,#REF!, 17, FALSE), "")</f>
        <v/>
      </c>
      <c r="R123" s="19" t="str">
        <f>IFERROR(VLOOKUP(C123,#REF!, 15, FALSE), "")</f>
        <v/>
      </c>
      <c r="S123" s="19" t="str">
        <f>IFERROR(VLOOKUP(C123,#REF!, 14, FALSE), "")</f>
        <v/>
      </c>
      <c r="T123" s="26" t="s">
        <v>133</v>
      </c>
      <c r="U123" s="26" t="s">
        <v>97</v>
      </c>
      <c r="V123" s="26" t="s">
        <v>188</v>
      </c>
      <c r="W123" s="19" t="s">
        <v>1091</v>
      </c>
      <c r="X123" s="19" t="s">
        <v>1092</v>
      </c>
    </row>
    <row r="124" spans="1:24" x14ac:dyDescent="0.25">
      <c r="A124" s="19" t="s">
        <v>50</v>
      </c>
      <c r="B124" s="19" t="s">
        <v>436</v>
      </c>
      <c r="C124" s="19" t="s">
        <v>785</v>
      </c>
      <c r="D124" s="19" t="s">
        <v>258</v>
      </c>
      <c r="E124" s="19" t="str">
        <f>IFERROR(VLOOKUP(C124,#REF!, 9, FALSE), "")</f>
        <v/>
      </c>
      <c r="F124" s="19" t="str">
        <f t="shared" si="1"/>
        <v>E1W 2RW</v>
      </c>
      <c r="G124">
        <v>51.505381</v>
      </c>
      <c r="H124">
        <v>-5.7905906E-2</v>
      </c>
      <c r="I124" s="26" t="s">
        <v>435</v>
      </c>
      <c r="J124" s="19">
        <v>104</v>
      </c>
      <c r="M124" s="19" t="s">
        <v>789</v>
      </c>
      <c r="N124" s="19" t="s">
        <v>468</v>
      </c>
      <c r="O124" s="26" t="s">
        <v>790</v>
      </c>
      <c r="P124" s="26" t="s">
        <v>1093</v>
      </c>
      <c r="Q124" s="26" t="str">
        <f>IFERROR(VLOOKUP($C124,#REF!, 17, FALSE), "")</f>
        <v/>
      </c>
      <c r="R124" s="19" t="str">
        <f>IFERROR(VLOOKUP(C124,#REF!, 15, FALSE), "")</f>
        <v/>
      </c>
      <c r="S124" s="19" t="str">
        <f>IFERROR(VLOOKUP(C124,#REF!, 14, FALSE), "")</f>
        <v/>
      </c>
      <c r="T124" s="26" t="s">
        <v>139</v>
      </c>
      <c r="U124" s="26" t="s">
        <v>102</v>
      </c>
      <c r="V124" s="26" t="s">
        <v>194</v>
      </c>
      <c r="W124" s="19" t="s">
        <v>1094</v>
      </c>
      <c r="X124" s="19" t="s">
        <v>1095</v>
      </c>
    </row>
    <row r="125" spans="1:24" x14ac:dyDescent="0.25">
      <c r="A125" s="19" t="s">
        <v>50</v>
      </c>
      <c r="B125" s="19" t="s">
        <v>465</v>
      </c>
      <c r="C125" s="19" t="s">
        <v>800</v>
      </c>
      <c r="E125" s="19" t="str">
        <f>IFERROR(VLOOKUP(C125,#REF!, 9, FALSE), "")</f>
        <v/>
      </c>
      <c r="F125" s="19" t="str">
        <f t="shared" si="1"/>
        <v/>
      </c>
      <c r="G125">
        <v>51.507644999999997</v>
      </c>
      <c r="H125">
        <v>-2.3844205E-2</v>
      </c>
      <c r="I125" s="26" t="s">
        <v>444</v>
      </c>
      <c r="J125" s="19">
        <v>0</v>
      </c>
      <c r="M125" s="19" t="s">
        <v>805</v>
      </c>
      <c r="N125" s="19" t="s">
        <v>558</v>
      </c>
      <c r="O125" s="26" t="s">
        <v>806</v>
      </c>
      <c r="P125" s="26" t="s">
        <v>1096</v>
      </c>
      <c r="Q125" s="26" t="str">
        <f>IFERROR(VLOOKUP($C125,#REF!, 17, FALSE), "")</f>
        <v/>
      </c>
      <c r="R125" s="19" t="str">
        <f>IFERROR(VLOOKUP(C125,#REF!, 15, FALSE), "")</f>
        <v/>
      </c>
      <c r="S125" s="19" t="str">
        <f>IFERROR(VLOOKUP(C125,#REF!, 14, FALSE), "")</f>
        <v/>
      </c>
      <c r="T125" s="26" t="s">
        <v>138</v>
      </c>
      <c r="U125" s="25">
        <v>0</v>
      </c>
      <c r="V125" s="26" t="s">
        <v>193</v>
      </c>
    </row>
    <row r="126" spans="1:24" x14ac:dyDescent="0.25">
      <c r="A126" s="19" t="s">
        <v>50</v>
      </c>
      <c r="B126" s="19" t="s">
        <v>818</v>
      </c>
      <c r="C126" s="19" t="s">
        <v>819</v>
      </c>
      <c r="E126" s="19" t="str">
        <f>IFERROR(VLOOKUP(C126,#REF!, 9, FALSE), "")</f>
        <v/>
      </c>
      <c r="F126" s="19" t="str">
        <f t="shared" si="1"/>
        <v/>
      </c>
      <c r="G126"/>
      <c r="H126"/>
      <c r="I126" s="26" t="s">
        <v>820</v>
      </c>
      <c r="J126" s="19">
        <v>0</v>
      </c>
      <c r="M126" s="19" t="s">
        <v>826</v>
      </c>
      <c r="N126" s="19" t="s">
        <v>570</v>
      </c>
      <c r="O126" s="26" t="s">
        <v>827</v>
      </c>
      <c r="P126" s="26" t="s">
        <v>1097</v>
      </c>
      <c r="Q126" s="26" t="str">
        <f>IFERROR(VLOOKUP($C126,#REF!, 17, FALSE), "")</f>
        <v/>
      </c>
      <c r="R126" s="19" t="str">
        <f>IFERROR(VLOOKUP(C126,#REF!, 15, FALSE), "")</f>
        <v/>
      </c>
      <c r="S126" s="19" t="str">
        <f>IFERROR(VLOOKUP(C126,#REF!, 14, FALSE), "")</f>
        <v/>
      </c>
      <c r="T126" t="s">
        <v>77</v>
      </c>
      <c r="U126" s="25" t="s">
        <v>77</v>
      </c>
      <c r="V126" s="25" t="s">
        <v>77</v>
      </c>
    </row>
    <row r="127" spans="1:24" x14ac:dyDescent="0.25">
      <c r="A127" s="19" t="s">
        <v>50</v>
      </c>
      <c r="B127" s="19" t="s">
        <v>833</v>
      </c>
      <c r="C127" s="19" t="s">
        <v>834</v>
      </c>
      <c r="E127" s="19" t="str">
        <f>IFERROR(VLOOKUP(C127,#REF!, 9, FALSE), "")</f>
        <v/>
      </c>
      <c r="F127" s="19" t="str">
        <f t="shared" si="1"/>
        <v/>
      </c>
      <c r="I127" s="26" t="s">
        <v>835</v>
      </c>
      <c r="J127" s="19">
        <v>0</v>
      </c>
      <c r="M127" s="19" t="s">
        <v>839</v>
      </c>
      <c r="N127" s="19" t="s">
        <v>570</v>
      </c>
      <c r="O127" s="26" t="s">
        <v>840</v>
      </c>
      <c r="P127" s="26" t="s">
        <v>1098</v>
      </c>
      <c r="Q127" s="26" t="str">
        <f>IFERROR(VLOOKUP($C127,#REF!, 17, FALSE), "")</f>
        <v/>
      </c>
      <c r="R127" s="19" t="str">
        <f>IFERROR(VLOOKUP(C127,#REF!, 15, FALSE), "")</f>
        <v/>
      </c>
      <c r="S127" s="19" t="str">
        <f>IFERROR(VLOOKUP(C127,#REF!, 14, FALSE), "")</f>
        <v/>
      </c>
      <c r="T127" t="s">
        <v>77</v>
      </c>
      <c r="U127" s="25" t="s">
        <v>77</v>
      </c>
      <c r="V127" s="25" t="s">
        <v>77</v>
      </c>
    </row>
    <row r="128" spans="1:24" x14ac:dyDescent="0.25">
      <c r="A128" s="19" t="s">
        <v>50</v>
      </c>
      <c r="B128" s="19" t="s">
        <v>823</v>
      </c>
      <c r="C128" s="19" t="s">
        <v>824</v>
      </c>
      <c r="E128" s="19" t="str">
        <f>IFERROR(VLOOKUP(C128,#REF!, 9, FALSE), "")</f>
        <v/>
      </c>
      <c r="F128" s="19" t="str">
        <f t="shared" si="1"/>
        <v/>
      </c>
      <c r="I128" s="26" t="s">
        <v>825</v>
      </c>
      <c r="J128" s="19">
        <v>0</v>
      </c>
      <c r="M128" s="19" t="s">
        <v>831</v>
      </c>
      <c r="N128" s="19" t="s">
        <v>570</v>
      </c>
      <c r="O128" s="26" t="s">
        <v>832</v>
      </c>
      <c r="P128" s="26" t="s">
        <v>1099</v>
      </c>
      <c r="Q128" s="26" t="str">
        <f>IFERROR(VLOOKUP($C128,#REF!, 17, FALSE), "")</f>
        <v/>
      </c>
      <c r="R128" s="19" t="str">
        <f>IFERROR(VLOOKUP(C128,#REF!, 15, FALSE), "")</f>
        <v/>
      </c>
      <c r="S128" s="19" t="str">
        <f>IFERROR(VLOOKUP(C128,#REF!, 14, FALSE), "")</f>
        <v/>
      </c>
      <c r="T128" t="s">
        <v>77</v>
      </c>
      <c r="U128" s="25" t="s">
        <v>77</v>
      </c>
      <c r="V128" s="25" t="s">
        <v>77</v>
      </c>
    </row>
    <row r="129" spans="1:22" x14ac:dyDescent="0.25">
      <c r="A129" s="19" t="s">
        <v>50</v>
      </c>
      <c r="B129" s="19" t="s">
        <v>456</v>
      </c>
      <c r="C129" s="19" t="s">
        <v>865</v>
      </c>
      <c r="E129" s="19" t="str">
        <f>IFERROR(VLOOKUP(C129,#REF!, 9, FALSE), "")</f>
        <v/>
      </c>
      <c r="F129" s="19" t="str">
        <f t="shared" si="1"/>
        <v/>
      </c>
      <c r="I129" s="26" t="s">
        <v>455</v>
      </c>
      <c r="J129" s="19">
        <v>0</v>
      </c>
      <c r="P129" s="26" t="s">
        <v>1100</v>
      </c>
      <c r="Q129" s="26" t="str">
        <f>IFERROR(VLOOKUP($C129,#REF!, 17, FALSE), "")</f>
        <v/>
      </c>
      <c r="R129" s="19" t="str">
        <f>IFERROR(VLOOKUP(C129,#REF!, 15, FALSE), "")</f>
        <v/>
      </c>
      <c r="S129" s="19" t="str">
        <f>IFERROR(VLOOKUP(C129,#REF!, 14, FALSE), "")</f>
        <v/>
      </c>
      <c r="T129" t="s">
        <v>77</v>
      </c>
      <c r="U129" s="25" t="s">
        <v>77</v>
      </c>
      <c r="V129" s="25" t="s">
        <v>77</v>
      </c>
    </row>
    <row r="130" spans="1:22" x14ac:dyDescent="0.25">
      <c r="A130" s="19" t="s">
        <v>50</v>
      </c>
      <c r="B130" s="19" t="s">
        <v>857</v>
      </c>
      <c r="C130" s="19" t="s">
        <v>854</v>
      </c>
      <c r="E130" s="19" t="str">
        <f>IFERROR(VLOOKUP(C130,#REF!, 9, FALSE), "")</f>
        <v/>
      </c>
      <c r="F130" s="19" t="str">
        <f t="shared" si="1"/>
        <v/>
      </c>
      <c r="I130" s="26" t="s">
        <v>451</v>
      </c>
      <c r="J130" s="19">
        <v>0</v>
      </c>
      <c r="M130" s="19" t="s">
        <v>858</v>
      </c>
      <c r="N130" s="19" t="s">
        <v>863</v>
      </c>
      <c r="O130" s="26" t="s">
        <v>860</v>
      </c>
      <c r="Q130" s="26" t="str">
        <f>IFERROR(VLOOKUP($C130,#REF!, 17, FALSE), "")</f>
        <v/>
      </c>
      <c r="R130" s="19" t="str">
        <f>IFERROR(VLOOKUP(C130,#REF!, 15, FALSE), "")</f>
        <v/>
      </c>
      <c r="S130" s="19" t="str">
        <f>IFERROR(VLOOKUP(C130,#REF!, 14, FALSE), "")</f>
        <v/>
      </c>
      <c r="T130" t="s">
        <v>77</v>
      </c>
      <c r="U130" s="25" t="s">
        <v>77</v>
      </c>
      <c r="V130" s="25" t="s">
        <v>77</v>
      </c>
    </row>
    <row r="131" spans="1:22" x14ac:dyDescent="0.25">
      <c r="A131" s="19" t="s">
        <v>50</v>
      </c>
      <c r="B131" s="19" t="s">
        <v>449</v>
      </c>
      <c r="C131" s="19" t="s">
        <v>851</v>
      </c>
      <c r="E131" s="19" t="str">
        <f>IFERROR(VLOOKUP(C131,#REF!, 9, FALSE), "")</f>
        <v/>
      </c>
      <c r="F131" s="19" t="str">
        <f t="shared" ref="F131:F133" si="2">IF("" &lt;&gt; D131, D131, E131)</f>
        <v/>
      </c>
      <c r="I131" s="26" t="s">
        <v>448</v>
      </c>
      <c r="J131" s="19">
        <v>0</v>
      </c>
      <c r="M131" s="19" t="s">
        <v>855</v>
      </c>
      <c r="N131" s="19" t="s">
        <v>727</v>
      </c>
      <c r="O131" s="26" t="s">
        <v>856</v>
      </c>
      <c r="Q131" s="26" t="str">
        <f>IFERROR(VLOOKUP($C131,#REF!, 17, FALSE), "")</f>
        <v/>
      </c>
      <c r="R131" s="19" t="str">
        <f>IFERROR(VLOOKUP(C131,#REF!, 15, FALSE), "")</f>
        <v/>
      </c>
      <c r="S131" s="19" t="str">
        <f>IFERROR(VLOOKUP(C131,#REF!, 14, FALSE), "")</f>
        <v/>
      </c>
      <c r="T131" s="26" t="str">
        <f>IFERROR(VLOOKUP(C131,#REF!, 18, FALSE), "")</f>
        <v/>
      </c>
      <c r="U131" s="25" t="str">
        <f>IFERROR(VLOOKUP(C131,#REF!, 19, FALSE), "")</f>
        <v/>
      </c>
      <c r="V131" s="25" t="str">
        <f>IFERROR(VLOOKUP($C131,#REF!, 20, FALSE), "")</f>
        <v/>
      </c>
    </row>
    <row r="132" spans="1:22" x14ac:dyDescent="0.25">
      <c r="E132" s="19" t="str">
        <f>IFERROR(VLOOKUP(C132,#REF!, 9, FALSE), "")</f>
        <v/>
      </c>
      <c r="F132" s="19" t="str">
        <f t="shared" si="2"/>
        <v/>
      </c>
      <c r="J132" s="19">
        <v>0</v>
      </c>
      <c r="Q132" s="26" t="str">
        <f>IFERROR(VLOOKUP($C132,#REF!, 17, FALSE), "")</f>
        <v/>
      </c>
      <c r="R132" s="19" t="str">
        <f>IFERROR(VLOOKUP(C132,#REF!, 15, FALSE), "")</f>
        <v/>
      </c>
      <c r="S132" s="19" t="str">
        <f>IFERROR(VLOOKUP(C132,#REF!, 14, FALSE), "")</f>
        <v/>
      </c>
      <c r="T132" s="26" t="str">
        <f>IFERROR(VLOOKUP(C132,#REF!, 18, FALSE), "")</f>
        <v/>
      </c>
      <c r="U132" s="25" t="str">
        <f>IFERROR(VLOOKUP(C132,#REF!, 19, FALSE), "")</f>
        <v/>
      </c>
      <c r="V132" s="25" t="str">
        <f>IFERROR(VLOOKUP($C132,#REF!, 20, FALSE), "")</f>
        <v/>
      </c>
    </row>
    <row r="133" spans="1:22" x14ac:dyDescent="0.25">
      <c r="E133" s="19" t="str">
        <f>IFERROR(VLOOKUP(C133,#REF!, 9, FALSE), "")</f>
        <v/>
      </c>
      <c r="F133" s="19" t="str">
        <f t="shared" si="2"/>
        <v/>
      </c>
      <c r="J133" s="19">
        <v>0</v>
      </c>
      <c r="Q133" s="26" t="str">
        <f>IFERROR(VLOOKUP($C133,#REF!, 17, FALSE), "")</f>
        <v/>
      </c>
      <c r="R133" s="19" t="str">
        <f>IFERROR(VLOOKUP(C133,#REF!, 15, FALSE), "")</f>
        <v/>
      </c>
      <c r="S133" s="19" t="str">
        <f>IFERROR(VLOOKUP(C133,#REF!, 14, FALSE), "")</f>
        <v/>
      </c>
      <c r="T133" s="26" t="str">
        <f>IFERROR(VLOOKUP(C133,#REF!, 18, FALSE), "")</f>
        <v/>
      </c>
      <c r="U133" s="25" t="str">
        <f>IFERROR(VLOOKUP(C133,#REF!, 19, FALSE), "")</f>
        <v/>
      </c>
      <c r="V133" s="25" t="str">
        <f>IFERROR(VLOOKUP($C133,#REF!, 20, FALSE), "")</f>
        <v/>
      </c>
    </row>
  </sheetData>
  <autoFilter ref="A1:X133"/>
  <hyperlinks>
    <hyperlink ref="I11" r:id="rId1"/>
    <hyperlink ref="I2" r:id="rId2"/>
    <hyperlink ref="I3" r:id="rId3"/>
    <hyperlink ref="I4" r:id="rId4"/>
    <hyperlink ref="I5" r:id="rId5"/>
    <hyperlink ref="I6" r:id="rId6"/>
    <hyperlink ref="I7" r:id="rId7"/>
    <hyperlink ref="I8" r:id="rId8"/>
    <hyperlink ref="I9" r:id="rId9"/>
    <hyperlink ref="I10" r:id="rId10"/>
    <hyperlink ref="I12" r:id="rId11"/>
    <hyperlink ref="I13" r:id="rId12"/>
    <hyperlink ref="I14" r:id="rId13"/>
    <hyperlink ref="I15" r:id="rId14"/>
    <hyperlink ref="I16" r:id="rId15"/>
    <hyperlink ref="I17" r:id="rId16"/>
    <hyperlink ref="I18" r:id="rId17"/>
    <hyperlink ref="I19" r:id="rId18"/>
    <hyperlink ref="I20" r:id="rId19"/>
    <hyperlink ref="I21" r:id="rId20"/>
    <hyperlink ref="I22" r:id="rId21"/>
    <hyperlink ref="I23" r:id="rId22"/>
    <hyperlink ref="I24" r:id="rId23"/>
    <hyperlink ref="I25" r:id="rId24"/>
    <hyperlink ref="I26" r:id="rId25"/>
    <hyperlink ref="I27" r:id="rId26"/>
    <hyperlink ref="I28" r:id="rId27"/>
    <hyperlink ref="I29" r:id="rId28"/>
    <hyperlink ref="I30" r:id="rId29"/>
    <hyperlink ref="I31" r:id="rId30"/>
    <hyperlink ref="I32" r:id="rId31"/>
    <hyperlink ref="I33" r:id="rId32"/>
    <hyperlink ref="I34" r:id="rId33"/>
    <hyperlink ref="I35" r:id="rId34"/>
    <hyperlink ref="I36" r:id="rId35"/>
    <hyperlink ref="I37" r:id="rId36"/>
    <hyperlink ref="I38" r:id="rId37"/>
    <hyperlink ref="I39" r:id="rId38"/>
    <hyperlink ref="I40" r:id="rId39"/>
    <hyperlink ref="I41" r:id="rId40"/>
    <hyperlink ref="I42" r:id="rId41"/>
    <hyperlink ref="I43" r:id="rId42"/>
    <hyperlink ref="I44" r:id="rId43"/>
    <hyperlink ref="I45" r:id="rId44"/>
    <hyperlink ref="I46" r:id="rId45"/>
    <hyperlink ref="I47" r:id="rId46"/>
    <hyperlink ref="I48" r:id="rId47"/>
    <hyperlink ref="I49" r:id="rId48"/>
    <hyperlink ref="I50" r:id="rId49"/>
    <hyperlink ref="I51" r:id="rId50"/>
    <hyperlink ref="I52" r:id="rId51"/>
    <hyperlink ref="I53" r:id="rId52"/>
    <hyperlink ref="I54" r:id="rId53"/>
    <hyperlink ref="I55" r:id="rId54"/>
    <hyperlink ref="I56" r:id="rId55"/>
    <hyperlink ref="I57" r:id="rId56"/>
    <hyperlink ref="I58" r:id="rId57"/>
    <hyperlink ref="I59" r:id="rId58"/>
    <hyperlink ref="I60" r:id="rId59"/>
    <hyperlink ref="I61" r:id="rId60"/>
    <hyperlink ref="I62" r:id="rId61"/>
    <hyperlink ref="I63" r:id="rId62"/>
    <hyperlink ref="I64" r:id="rId63"/>
    <hyperlink ref="I65" r:id="rId64"/>
    <hyperlink ref="I66" r:id="rId65"/>
    <hyperlink ref="I67" r:id="rId66"/>
    <hyperlink ref="I68" r:id="rId67"/>
    <hyperlink ref="I69" r:id="rId68"/>
    <hyperlink ref="I70" r:id="rId69"/>
    <hyperlink ref="I71" r:id="rId70"/>
    <hyperlink ref="I72" r:id="rId71"/>
    <hyperlink ref="I73" r:id="rId72"/>
    <hyperlink ref="I74" r:id="rId73"/>
    <hyperlink ref="I75" r:id="rId74"/>
    <hyperlink ref="I76" r:id="rId75"/>
    <hyperlink ref="I77" r:id="rId76"/>
    <hyperlink ref="I78" r:id="rId77"/>
    <hyperlink ref="I79" r:id="rId78"/>
    <hyperlink ref="I80" r:id="rId79"/>
    <hyperlink ref="I81" r:id="rId80"/>
    <hyperlink ref="I82" r:id="rId81"/>
    <hyperlink ref="I83" r:id="rId82"/>
    <hyperlink ref="I84" r:id="rId83"/>
    <hyperlink ref="I85" r:id="rId84"/>
    <hyperlink ref="I86" r:id="rId85"/>
    <hyperlink ref="I87" r:id="rId86"/>
    <hyperlink ref="I88" r:id="rId87"/>
    <hyperlink ref="I89" r:id="rId88"/>
    <hyperlink ref="I90" r:id="rId89"/>
    <hyperlink ref="I91" r:id="rId90"/>
    <hyperlink ref="I92" r:id="rId91"/>
    <hyperlink ref="I93" r:id="rId92"/>
    <hyperlink ref="I94" r:id="rId93"/>
    <hyperlink ref="I95" r:id="rId94"/>
    <hyperlink ref="I96" r:id="rId95"/>
    <hyperlink ref="I97" r:id="rId96"/>
    <hyperlink ref="I98" r:id="rId97"/>
    <hyperlink ref="I99" r:id="rId98"/>
    <hyperlink ref="I100" r:id="rId99"/>
    <hyperlink ref="I101" r:id="rId100"/>
    <hyperlink ref="I102" r:id="rId101"/>
    <hyperlink ref="I103" r:id="rId102"/>
    <hyperlink ref="I104" r:id="rId103"/>
    <hyperlink ref="I105" r:id="rId104"/>
    <hyperlink ref="I106" r:id="rId105"/>
    <hyperlink ref="I107" r:id="rId106"/>
    <hyperlink ref="I108" r:id="rId107"/>
    <hyperlink ref="I109" r:id="rId108"/>
    <hyperlink ref="I110" r:id="rId109"/>
    <hyperlink ref="I111" r:id="rId110"/>
    <hyperlink ref="I112" r:id="rId111"/>
    <hyperlink ref="I113" r:id="rId112"/>
    <hyperlink ref="I114" r:id="rId113"/>
    <hyperlink ref="I115" r:id="rId114"/>
    <hyperlink ref="I116" r:id="rId115"/>
    <hyperlink ref="I117" r:id="rId116"/>
    <hyperlink ref="I118" r:id="rId117"/>
    <hyperlink ref="I119" r:id="rId118"/>
    <hyperlink ref="I120" r:id="rId119"/>
    <hyperlink ref="I121" r:id="rId120"/>
    <hyperlink ref="I122" r:id="rId121"/>
    <hyperlink ref="I123" r:id="rId122"/>
    <hyperlink ref="I124" r:id="rId123"/>
    <hyperlink ref="I125" r:id="rId124"/>
    <hyperlink ref="I126" r:id="rId125"/>
    <hyperlink ref="I127" r:id="rId126"/>
    <hyperlink ref="I128" r:id="rId127"/>
    <hyperlink ref="I129" r:id="rId128"/>
    <hyperlink ref="I130" r:id="rId129"/>
    <hyperlink ref="I131" r:id="rId130"/>
    <hyperlink ref="P3" r:id="rId131" display="https://http/www.hackneymarshteam.org.uk"/>
    <hyperlink ref="P4" r:id="rId132" display="http://www.hackneymarshteam.org.uk/"/>
    <hyperlink ref="P5" r:id="rId133" display="https://www.gracechurchhackney.org.uk/"/>
    <hyperlink ref="P6" r:id="rId134" display="http://www.holytrinity.hackney.sch.uk/"/>
    <hyperlink ref="P11" r:id="rId135" display="https://hackney.church/"/>
    <hyperlink ref="P12" r:id="rId136" display="https://www.stsaviourspriory.org.uk/"/>
    <hyperlink ref="P13" r:id="rId137" display="http://www.standrewsn16.org/"/>
    <hyperlink ref="P14" r:id="rId138" display="http://www.hoxtonchurch.org.uk/"/>
    <hyperlink ref="P15" r:id="rId139" display="https://saintbarnabasdalston.org.uk/"/>
    <hyperlink ref="P17" r:id="rId140" display="https://www.holybart.com/"/>
    <hyperlink ref="P19" r:id="rId141" display="https://www.stjamesclapton.co.uk/"/>
    <hyperlink ref="P20" r:id="rId142" display="http://www.johnjames.hackney.sch.uk/"/>
    <hyperlink ref="P21" r:id="rId143" display="http://www.st-johnjerusalem.hackney.sch.uk/"/>
    <hyperlink ref="P22" r:id="rId144" display="http://www.sjoj.co.uk/"/>
    <hyperlink ref="P23" r:id="rId145" display="http://www.st-john.hackney.sch.uk/"/>
    <hyperlink ref="P24" r:id="rId146" display="https://www.stjohnshoxton.org.uk/"/>
    <hyperlink ref="P25" r:id="rId147" display="https://www.sjebp.com/"/>
    <hyperlink ref="P26" r:id="rId148" display="https://www.stjh.org.uk/"/>
    <hyperlink ref="P27" r:id="rId149"/>
    <hyperlink ref="P28" r:id="rId150"/>
    <hyperlink ref="P29" r:id="rId151" display="http://www.stmaryofeton.org.uk/"/>
    <hyperlink ref="P30" r:id="rId152" display="https://www.stmaryn16.org/"/>
    <hyperlink ref="P31" r:id="rId153"/>
    <hyperlink ref="P32" r:id="rId154"/>
    <hyperlink ref="P33" r:id="rId155"/>
    <hyperlink ref="P34" r:id="rId156" display="https://www.stmchurch.co.uk/"/>
    <hyperlink ref="P35" r:id="rId157" display="https://www.stmichaelslondonfields.org.uk/"/>
    <hyperlink ref="P37" r:id="rId158" display="http://www.stolaveschurch.co.uk/"/>
    <hyperlink ref="P38" r:id="rId159" display="http://stpaulswesthackney.org/"/>
    <hyperlink ref="P39" r:id="rId160" display="http://www.spsm.hackney.sch.uk/"/>
    <hyperlink ref="P40" r:id="rId161" display="http://www.stpeterdebeauvoir.org.uk/"/>
    <hyperlink ref="P41" r:id="rId162" display="https://www.saintthomasclapton.org/"/>
    <hyperlink ref="P42" r:id="rId163"/>
    <hyperlink ref="P43" r:id="rId164" display="http://www.allsaintsislington.org/"/>
    <hyperlink ref="P44" r:id="rId165" display="http://www.christchurchhighbury.com/"/>
    <hyperlink ref="P45" r:id="rId166"/>
    <hyperlink ref="P46" r:id="rId167" display="https://www.cityymca.org/"/>
    <hyperlink ref="P47" r:id="rId168"/>
    <hyperlink ref="P50" r:id="rId169" display="http://www.hopechurchislington.org/"/>
    <hyperlink ref="P53" r:id="rId170" display="https://nagsheadcc.com/"/>
    <hyperlink ref="P54" r:id="rId171" display="http://www.holyredeemerclerkenwell.com/"/>
    <hyperlink ref="P55" r:id="rId172" display="https://www.standrewsislington.com/"/>
    <hyperlink ref="P56" r:id="rId173" display="http://www.standrewsn19.org/"/>
    <hyperlink ref="P57" r:id="rId174"/>
    <hyperlink ref="P58" r:id="rId175" display="http://www.staugustine.org.uk/"/>
    <hyperlink ref="P59" r:id="rId176" display="https://www.stclementfinsbury.org/"/>
    <hyperlink ref="P60" r:id="rId177" display="http://www.stgeorgestufnellpark.org/"/>
    <hyperlink ref="P61" r:id="rId178"/>
    <hyperlink ref="P62" r:id="rId179" display="https://www.stjamesislington.org/"/>
    <hyperlink ref="P63" r:id="rId180" display="http://www.stjohnsupperholloway.church/"/>
    <hyperlink ref="P64" r:id="rId181"/>
    <hyperlink ref="P65" r:id="rId182"/>
    <hyperlink ref="P66" r:id="rId183" display="http://stjudestpauls.co.uk/"/>
    <hyperlink ref="P67" r:id="rId184" display="http://www.sjsp.org.uk/"/>
    <hyperlink ref="P68" r:id="rId185" display="http://www.saintlukeschurch.org.uk/"/>
    <hyperlink ref="P69" r:id="rId186" display="http://www.st-lukes.towerhamlets.sch.uk/"/>
    <hyperlink ref="P70" r:id="rId187" display="https://www.stmarks-clerkenwell.co.uk/"/>
    <hyperlink ref="P71" r:id="rId188" display="https://www.tollingtonparish.org.uk/"/>
    <hyperlink ref="P72" r:id="rId189"/>
    <hyperlink ref="P73" r:id="rId190" display="http://www.stmaryshornseyrise.org.uk/"/>
    <hyperlink ref="P74" r:id="rId191" display="https://www.stmaryislington.org/"/>
    <hyperlink ref="P75" r:id="rId192" display="http://www.smmacademy.org/"/>
    <hyperlink ref="P76" r:id="rId193"/>
    <hyperlink ref="P78" r:id="rId194" display="https://www.saint-silas.org.uk/"/>
    <hyperlink ref="P79" r:id="rId195" display="http://www.ststephenscanonbury.org.uk/"/>
    <hyperlink ref="P80" r:id="rId196" display="https://www.stthomaschurch.co.uk/"/>
    <hyperlink ref="P82" r:id="rId197" display="http://www.thecharterhouse.org/"/>
    <hyperlink ref="P83" r:id="rId198" display="http://www.churchonthecorner.org.uk/"/>
    <hyperlink ref="P86" r:id="rId199" display="https://www.trinityislington.org/"/>
    <hyperlink ref="P87" r:id="rId200" display="http://www.allhallowsbow.org.uk/"/>
    <hyperlink ref="P88" r:id="rId201" display="http://www.parishofpoplar.org/"/>
    <hyperlink ref="P90" r:id="rId202" display="https://www.canarywharfchaplaincy.co.uk/"/>
    <hyperlink ref="P91" r:id="rId203" display="http://www.parishiod.org.uk/"/>
    <hyperlink ref="P92" r:id="rId204" display="http://www.christchurchprimarybricklane.org/"/>
    <hyperlink ref="P93" r:id="rId205" display="https://www.parishiod.org.uk/"/>
    <hyperlink ref="P94" r:id="rId206" display="http://www.ccspits.org/"/>
    <hyperlink ref="P99" r:id="rId207" display="http://www.faith.qmul.ac.uk/"/>
    <hyperlink ref="P100" r:id="rId208" display="http://www.rainesfoundation.org.uk/"/>
    <hyperlink ref="P101" r:id="rId209" display="http://www.sjcr.net/"/>
    <hyperlink ref="P102" r:id="rId210" display="http://www.stanneslimehouse.org/"/>
    <hyperlink ref="P104" r:id="rId211" display="http://www.stbarnabasbethnalgreen.org/"/>
    <hyperlink ref="P105" r:id="rId212" display="http://www.stdunstanstepney.com/"/>
    <hyperlink ref="P106" r:id="rId213" display="http://www.stgeorgeintheeast.org/"/>
    <hyperlink ref="P107" r:id="rId214" display="http://stjamesthelessbg.org.uk/"/>
    <hyperlink ref="P108" r:id="rId215" display="https://www.stjohnonbethnalgreen.org/"/>
    <hyperlink ref="P109" r:id="rId216"/>
    <hyperlink ref="P110" r:id="rId217"/>
    <hyperlink ref="P111" r:id="rId218" display="http://www.st-lukes.towerhamlets.sch.uk/"/>
    <hyperlink ref="P113" r:id="rId219"/>
    <hyperlink ref="P114" r:id="rId220" display="http://stmaryscablest.blogspot.com/"/>
    <hyperlink ref="P115" r:id="rId221"/>
    <hyperlink ref="P116" r:id="rId222"/>
    <hyperlink ref="P117" r:id="rId223" display="http://stnicholaspoplar.org/"/>
    <hyperlink ref="P118" r:id="rId224" display="http://www.stpauloldford.com/"/>
    <hyperlink ref="P119" r:id="rId225" display="http://www.stpaulsbowcommon.org.uk/"/>
    <hyperlink ref="P120" r:id="rId226" display="http://sps.church/"/>
    <hyperlink ref="P121" r:id="rId227"/>
    <hyperlink ref="P122" r:id="rId228" display="http://www.st-pauls.towerhamlets.sch.uk/"/>
    <hyperlink ref="P123" r:id="rId229" display="https://www.stpetersbethnalgreen.org/"/>
    <hyperlink ref="P124" r:id="rId230" display="http://www.stpeterslondondocks.org.uk/"/>
    <hyperlink ref="P125" r:id="rId231" display="https://www.stpetersbarge.org/"/>
    <hyperlink ref="P126" r:id="rId232"/>
    <hyperlink ref="P127" r:id="rId233" display="http://www.stsavioursschool.org.uk/"/>
    <hyperlink ref="P128" r:id="rId234" display="http://www.stepneygreencoat.towerhamlets.sch.uk/"/>
    <hyperlink ref="P129" r:id="rId235" display="https://www.rfsk.org.uk/"/>
    <hyperlink ref="Q2" r:id="rId236" display="=IFERROR(VLOOKUP($C2, DataFromWikipedia!A:T, 17, FALSE), &quot;&quot;)"/>
    <hyperlink ref="Q3" r:id="rId237" display="=IFERROR(VLOOKUP($C3, DataFromWikipedia!A:T, 17, FALSE), &quot;&quot;)"/>
    <hyperlink ref="Q4" r:id="rId238" display="=IFERROR(VLOOKUP($C4, DataFromWikipedia!A:T, 17, FALSE), &quot;&quot;)"/>
    <hyperlink ref="Q5" r:id="rId239" display="=IFERROR(VLOOKUP($C5, DataFromWikipedia!A:T, 17, FALSE), &quot;&quot;)"/>
    <hyperlink ref="Q6" r:id="rId240" display="=IFERROR(VLOOKUP($C6, DataFromWikipedia!A:T, 17, FALSE), &quot;&quot;)"/>
    <hyperlink ref="Q7" r:id="rId241" display="=IFERROR(VLOOKUP($C7, DataFromWikipedia!A:T, 17, FALSE), &quot;&quot;)"/>
    <hyperlink ref="Q8" r:id="rId242" display="=IFERROR(VLOOKUP($C8, DataFromWikipedia!A:T, 17, FALSE), &quot;&quot;)"/>
    <hyperlink ref="Q9" r:id="rId243" display="=IFERROR(VLOOKUP($C9, DataFromWikipedia!A:T, 17, FALSE), &quot;&quot;)"/>
    <hyperlink ref="Q10" r:id="rId244" display="=IFERROR(VLOOKUP($C10, DataFromWikipedia!A:T, 17, FALSE), &quot;&quot;)"/>
    <hyperlink ref="Q11" r:id="rId245" display="=IFERROR(VLOOKUP($C11, DataFromWikipedia!A:T, 17, FALSE), &quot;&quot;)"/>
    <hyperlink ref="Q12" r:id="rId246" display="=IFERROR(VLOOKUP($C12, DataFromWikipedia!A:T, 17, FALSE), &quot;&quot;)"/>
    <hyperlink ref="Q13" r:id="rId247" display="=IFERROR(VLOOKUP($C13, DataFromWikipedia!A:T, 17, FALSE), &quot;&quot;)"/>
    <hyperlink ref="Q14" r:id="rId248" display="=IFERROR(VLOOKUP($C14, DataFromWikipedia!A:T, 17, FALSE), &quot;&quot;)"/>
    <hyperlink ref="Q15" r:id="rId249" display="=IFERROR(VLOOKUP($C15, DataFromWikipedia!A:T, 17, FALSE), &quot;&quot;)"/>
    <hyperlink ref="Q16" r:id="rId250" display="=IFERROR(VLOOKUP($C16, DataFromWikipedia!A:T, 17, FALSE), &quot;&quot;)"/>
    <hyperlink ref="Q17" r:id="rId251" display="=IFERROR(VLOOKUP($C17, DataFromWikipedia!A:T, 17, FALSE), &quot;&quot;)"/>
    <hyperlink ref="Q18" r:id="rId252" display="=IFERROR(VLOOKUP($C18, DataFromWikipedia!A:T, 17, FALSE), &quot;&quot;)"/>
    <hyperlink ref="Q19" r:id="rId253" display="=IFERROR(VLOOKUP($C19, DataFromWikipedia!A:T, 17, FALSE), &quot;&quot;)"/>
    <hyperlink ref="Q20" r:id="rId254" display="=IFERROR(VLOOKUP($C20, DataFromWikipedia!A:T, 17, FALSE), &quot;&quot;)"/>
    <hyperlink ref="Q21" r:id="rId255" display="=IFERROR(VLOOKUP($C21, DataFromWikipedia!A:T, 17, FALSE), &quot;&quot;)"/>
    <hyperlink ref="Q22" r:id="rId256" display="=IFERROR(VLOOKUP($C22, DataFromWikipedia!A:T, 17, FALSE), &quot;&quot;)"/>
    <hyperlink ref="Q23" r:id="rId257" display="=IFERROR(VLOOKUP($C23, DataFromWikipedia!A:T, 17, FALSE), &quot;&quot;)"/>
    <hyperlink ref="Q24" r:id="rId258" display="=IFERROR(VLOOKUP($C24, DataFromWikipedia!A:T, 17, FALSE), &quot;&quot;)"/>
    <hyperlink ref="Q25" r:id="rId259" display="=IFERROR(VLOOKUP($C25, DataFromWikipedia!A:T, 17, FALSE), &quot;&quot;)"/>
    <hyperlink ref="Q26" r:id="rId260" display="=IFERROR(VLOOKUP($C26, DataFromWikipedia!A:T, 17, FALSE), &quot;&quot;)"/>
    <hyperlink ref="Q27" r:id="rId261" display="=IFERROR(VLOOKUP($C27, DataFromWikipedia!A:T, 17, FALSE), &quot;&quot;)"/>
    <hyperlink ref="Q28" r:id="rId262" display="=IFERROR(VLOOKUP($C28, DataFromWikipedia!A:T, 17, FALSE), &quot;&quot;)"/>
    <hyperlink ref="Q29" r:id="rId263" display="=IFERROR(VLOOKUP($C29, DataFromWikipedia!A:T, 17, FALSE), &quot;&quot;)"/>
    <hyperlink ref="Q30" r:id="rId264" display="=IFERROR(VLOOKUP($C30, DataFromWikipedia!A:T, 17, FALSE), &quot;&quot;)"/>
    <hyperlink ref="Q31" r:id="rId265" display="=IFERROR(VLOOKUP($C31, DataFromWikipedia!A:T, 17, FALSE), &quot;&quot;)"/>
    <hyperlink ref="Q32" r:id="rId266" display="=IFERROR(VLOOKUP($C32, DataFromWikipedia!A:T, 17, FALSE), &quot;&quot;)"/>
    <hyperlink ref="Q33" r:id="rId267" display="=IFERROR(VLOOKUP($C33, DataFromWikipedia!A:T, 17, FALSE), &quot;&quot;)"/>
    <hyperlink ref="Q34" r:id="rId268" display="=IFERROR(VLOOKUP($C34, DataFromWikipedia!A:T, 17, FALSE), &quot;&quot;)"/>
    <hyperlink ref="Q35" r:id="rId269" display="=IFERROR(VLOOKUP($C35, DataFromWikipedia!A:T, 17, FALSE), &quot;&quot;)"/>
    <hyperlink ref="Q36" r:id="rId270" display="=IFERROR(VLOOKUP($C36, DataFromWikipedia!A:T, 17, FALSE), &quot;&quot;)"/>
    <hyperlink ref="Q37" r:id="rId271" display="=IFERROR(VLOOKUP($C37, DataFromWikipedia!A:T, 17, FALSE), &quot;&quot;)"/>
    <hyperlink ref="Q38" r:id="rId272" display="=IFERROR(VLOOKUP($C38, DataFromWikipedia!A:T, 17, FALSE), &quot;&quot;)"/>
    <hyperlink ref="Q39" r:id="rId273" display="=IFERROR(VLOOKUP($C39, DataFromWikipedia!A:T, 17, FALSE), &quot;&quot;)"/>
    <hyperlink ref="Q40" r:id="rId274" display="=IFERROR(VLOOKUP($C40, DataFromWikipedia!A:T, 17, FALSE), &quot;&quot;)"/>
    <hyperlink ref="Q41" r:id="rId275" display="=IFERROR(VLOOKUP($C41, DataFromWikipedia!A:T, 17, FALSE), &quot;&quot;)"/>
    <hyperlink ref="Q42" r:id="rId276" display="=IFERROR(VLOOKUP($C42, DataFromWikipedia!A:T, 17, FALSE), &quot;&quot;)"/>
    <hyperlink ref="Q44" r:id="rId277" display="=IFERROR(VLOOKUP($C44, DataFromWikipedia!A:T, 17, FALSE), &quot;&quot;)"/>
    <hyperlink ref="Q45" r:id="rId278" display="=IFERROR(VLOOKUP($C45, DataFromWikipedia!A:T, 17, FALSE), &quot;&quot;)"/>
    <hyperlink ref="Q46" r:id="rId279" display="=IFERROR(VLOOKUP($C46, DataFromWikipedia!A:T, 17, FALSE), &quot;&quot;)"/>
    <hyperlink ref="Q47" r:id="rId280" display="=IFERROR(VLOOKUP($C47, DataFromWikipedia!A:T, 17, FALSE), &quot;&quot;)"/>
    <hyperlink ref="Q48" r:id="rId281" display="=IFERROR(VLOOKUP($C48, DataFromWikipedia!A:T, 17, FALSE), &quot;&quot;)"/>
    <hyperlink ref="Q49" r:id="rId282" display="=IFERROR(VLOOKUP($C49, DataFromWikipedia!A:T, 17, FALSE), &quot;&quot;)"/>
    <hyperlink ref="Q50" r:id="rId283" display="=IFERROR(VLOOKUP($C50, DataFromWikipedia!A:T, 17, FALSE), &quot;&quot;)"/>
    <hyperlink ref="Q51" r:id="rId284" display="=IFERROR(VLOOKUP($C51, DataFromWikipedia!A:T, 17, FALSE), &quot;&quot;)"/>
    <hyperlink ref="Q52" r:id="rId285" display="=IFERROR(VLOOKUP($C52, DataFromWikipedia!A:T, 17, FALSE), &quot;&quot;)"/>
    <hyperlink ref="Q53" r:id="rId286" display="=IFERROR(VLOOKUP($C53, DataFromWikipedia!A:T, 17, FALSE), &quot;&quot;)"/>
    <hyperlink ref="Q54" r:id="rId287" display="=IFERROR(VLOOKUP($C54, DataFromWikipedia!A:T, 17, FALSE), &quot;&quot;)"/>
    <hyperlink ref="Q55" r:id="rId288" display="=IFERROR(VLOOKUP($C55, DataFromWikipedia!A:T, 17, FALSE), &quot;&quot;)"/>
    <hyperlink ref="Q56" r:id="rId289" display="=IFERROR(VLOOKUP($C56, DataFromWikipedia!A:T, 17, FALSE), &quot;&quot;)"/>
    <hyperlink ref="Q57" r:id="rId290" display="=IFERROR(VLOOKUP($C57, DataFromWikipedia!A:T, 17, FALSE), &quot;&quot;)"/>
    <hyperlink ref="Q58" r:id="rId291" display="=IFERROR(VLOOKUP($C58, DataFromWikipedia!A:T, 17, FALSE), &quot;&quot;)"/>
    <hyperlink ref="Q59" r:id="rId292" display="=IFERROR(VLOOKUP($C59, DataFromWikipedia!A:T, 17, FALSE), &quot;&quot;)"/>
    <hyperlink ref="Q60" r:id="rId293" display="=IFERROR(VLOOKUP($C60, DataFromWikipedia!A:T, 17, FALSE), &quot;&quot;)"/>
    <hyperlink ref="Q61" r:id="rId294" display="=IFERROR(VLOOKUP($C61, DataFromWikipedia!A:T, 17, FALSE), &quot;&quot;)"/>
    <hyperlink ref="Q62" r:id="rId295" display="=IFERROR(VLOOKUP($C62, DataFromWikipedia!A:T, 17, FALSE), &quot;&quot;)"/>
    <hyperlink ref="Q63" r:id="rId296" display="=IFERROR(VLOOKUP($C63, DataFromWikipedia!A:T, 17, FALSE), &quot;&quot;)"/>
    <hyperlink ref="Q64" r:id="rId297" display="=IFERROR(VLOOKUP($C64, DataFromWikipedia!A:T, 17, FALSE), &quot;&quot;)"/>
    <hyperlink ref="Q65" r:id="rId298" display="=IFERROR(VLOOKUP($C65, DataFromWikipedia!A:T, 17, FALSE), &quot;&quot;)"/>
    <hyperlink ref="Q66" r:id="rId299" display="=IFERROR(VLOOKUP($C66, DataFromWikipedia!A:T, 17, FALSE), &quot;&quot;)"/>
    <hyperlink ref="Q67" r:id="rId300" display="=IFERROR(VLOOKUP($C67, DataFromWikipedia!A:T, 17, FALSE), &quot;&quot;)"/>
    <hyperlink ref="Q68" r:id="rId301" display="=IFERROR(VLOOKUP($C68, DataFromWikipedia!A:T, 17, FALSE), &quot;&quot;)"/>
    <hyperlink ref="Q69" r:id="rId302" display="=IFERROR(VLOOKUP($C69, DataFromWikipedia!A:T, 17, FALSE), &quot;&quot;)"/>
    <hyperlink ref="Q70" r:id="rId303" display="=IFERROR(VLOOKUP($C70, DataFromWikipedia!A:T, 17, FALSE), &quot;&quot;)"/>
    <hyperlink ref="Q71" r:id="rId304" display="=IFERROR(VLOOKUP($C71, DataFromWikipedia!A:T, 17, FALSE), &quot;&quot;)"/>
    <hyperlink ref="Q72" r:id="rId305" display="=IFERROR(VLOOKUP($C72, DataFromWikipedia!A:T, 17, FALSE), &quot;&quot;)"/>
    <hyperlink ref="Q73" r:id="rId306" display="=IFERROR(VLOOKUP($C73, DataFromWikipedia!A:T, 17, FALSE), &quot;&quot;)"/>
    <hyperlink ref="Q74" r:id="rId307" display="=IFERROR(VLOOKUP($C74, DataFromWikipedia!A:T, 17, FALSE), &quot;&quot;)"/>
    <hyperlink ref="Q75" r:id="rId308" display="=IFERROR(VLOOKUP($C75, DataFromWikipedia!A:T, 17, FALSE), &quot;&quot;)"/>
    <hyperlink ref="Q76" r:id="rId309" display="=IFERROR(VLOOKUP($C76, DataFromWikipedia!A:T, 17, FALSE), &quot;&quot;)"/>
    <hyperlink ref="Q77" r:id="rId310" display="=IFERROR(VLOOKUP($C77, DataFromWikipedia!A:T, 17, FALSE), &quot;&quot;)"/>
    <hyperlink ref="Q78" r:id="rId311" display="=IFERROR(VLOOKUP($C78, DataFromWikipedia!A:T, 17, FALSE), &quot;&quot;)"/>
    <hyperlink ref="Q79" r:id="rId312" display="=IFERROR(VLOOKUP($C79, DataFromWikipedia!A:T, 17, FALSE), &quot;&quot;)"/>
    <hyperlink ref="Q80" r:id="rId313" display="=IFERROR(VLOOKUP($C80, DataFromWikipedia!A:T, 17, FALSE), &quot;&quot;)"/>
    <hyperlink ref="Q81" r:id="rId314" display="=IFERROR(VLOOKUP($C81, DataFromWikipedia!A:T, 17, FALSE), &quot;&quot;)"/>
    <hyperlink ref="Q82" r:id="rId315" display="=IFERROR(VLOOKUP($C82, DataFromWikipedia!A:T, 17, FALSE), &quot;&quot;)"/>
    <hyperlink ref="Q84" r:id="rId316" display="=IFERROR(VLOOKUP($C84, DataFromWikipedia!A:T, 17, FALSE), &quot;&quot;)"/>
    <hyperlink ref="Q85" r:id="rId317" display="=IFERROR(VLOOKUP($C85, DataFromWikipedia!A:T, 17, FALSE), &quot;&quot;)"/>
    <hyperlink ref="Q86" r:id="rId318" display="=IFERROR(VLOOKUP($C86, DataFromWikipedia!A:T, 17, FALSE), &quot;&quot;)"/>
    <hyperlink ref="Q87" r:id="rId319" display="=IFERROR(VLOOKUP($C87, DataFromWikipedia!A:T, 17, FALSE), &quot;&quot;)"/>
    <hyperlink ref="Q88" r:id="rId320" display="=IFERROR(VLOOKUP($C88, DataFromWikipedia!A:T, 17, FALSE), &quot;&quot;)"/>
    <hyperlink ref="Q89" r:id="rId321" display="=IFERROR(VLOOKUP($C89, DataFromWikipedia!A:T, 17, FALSE), &quot;&quot;)"/>
    <hyperlink ref="Q90" r:id="rId322" display="=IFERROR(VLOOKUP($C90, DataFromWikipedia!A:T, 17, FALSE), &quot;&quot;)"/>
    <hyperlink ref="Q91" r:id="rId323" display="=IFERROR(VLOOKUP($C91, DataFromWikipedia!A:T, 17, FALSE), &quot;&quot;)"/>
    <hyperlink ref="Q92" r:id="rId324" display="=IFERROR(VLOOKUP($C92, DataFromWikipedia!A:T, 17, FALSE), &quot;&quot;)"/>
    <hyperlink ref="Q93" r:id="rId325" display="=IFERROR(VLOOKUP($C93, DataFromWikipedia!A:T, 17, FALSE), &quot;&quot;)"/>
    <hyperlink ref="Q94" r:id="rId326" display="=IFERROR(VLOOKUP($C94, DataFromWikipedia!A:T, 17, FALSE), &quot;&quot;)"/>
    <hyperlink ref="Q95" r:id="rId327" display="=IFERROR(VLOOKUP($C95, DataFromWikipedia!A:T, 17, FALSE), &quot;&quot;)"/>
    <hyperlink ref="Q96" r:id="rId328" display="=IFERROR(VLOOKUP($C96, DataFromWikipedia!A:T, 17, FALSE), &quot;&quot;)"/>
    <hyperlink ref="Q97" r:id="rId329" display="=IFERROR(VLOOKUP($C97, DataFromWikipedia!A:T, 17, FALSE), &quot;&quot;)"/>
    <hyperlink ref="Q98" r:id="rId330" display="=IFERROR(VLOOKUP($C98, DataFromWikipedia!A:T, 17, FALSE), &quot;&quot;)"/>
    <hyperlink ref="Q99" r:id="rId331" display="=IFERROR(VLOOKUP($C99, DataFromWikipedia!A:T, 17, FALSE), &quot;&quot;)"/>
    <hyperlink ref="Q100" r:id="rId332" display="=IFERROR(VLOOKUP($C100, DataFromWikipedia!A:T, 17, FALSE), &quot;&quot;)"/>
    <hyperlink ref="Q101" r:id="rId333" display="=IFERROR(VLOOKUP($C101, DataFromWikipedia!A:T, 17, FALSE), &quot;&quot;)"/>
    <hyperlink ref="Q102" r:id="rId334" display="=IFERROR(VLOOKUP($C102, DataFromWikipedia!A:T, 17, FALSE), &quot;&quot;)"/>
    <hyperlink ref="Q103" r:id="rId335" display="=IFERROR(VLOOKUP($C103, DataFromWikipedia!A:T, 17, FALSE), &quot;&quot;)"/>
    <hyperlink ref="Q104" r:id="rId336" display="=IFERROR(VLOOKUP($C104, DataFromWikipedia!A:T, 17, FALSE), &quot;&quot;)"/>
    <hyperlink ref="Q105" r:id="rId337" display="=IFERROR(VLOOKUP($C105, DataFromWikipedia!A:T, 17, FALSE), &quot;&quot;)"/>
    <hyperlink ref="Q106" r:id="rId338" display="=IFERROR(VLOOKUP($C106, DataFromWikipedia!A:T, 17, FALSE), &quot;&quot;)"/>
    <hyperlink ref="Q107" r:id="rId339" display="=IFERROR(VLOOKUP($C107, DataFromWikipedia!A:T, 17, FALSE), &quot;&quot;)"/>
    <hyperlink ref="Q108" r:id="rId340" display="=IFERROR(VLOOKUP($C108, DataFromWikipedia!A:T, 17, FALSE), &quot;&quot;)"/>
    <hyperlink ref="Q109" r:id="rId341" display="=IFERROR(VLOOKUP($C109, DataFromWikipedia!A:T, 17, FALSE), &quot;&quot;)"/>
    <hyperlink ref="Q110" r:id="rId342" display="=IFERROR(VLOOKUP($C110, DataFromWikipedia!A:T, 17, FALSE), &quot;&quot;)"/>
    <hyperlink ref="Q111" r:id="rId343" display="=IFERROR(VLOOKUP($C111, DataFromWikipedia!A:T, 17, FALSE), &quot;&quot;)"/>
    <hyperlink ref="Q112" r:id="rId344" display="=IFERROR(VLOOKUP($C112, DataFromWikipedia!A:T, 17, FALSE), &quot;&quot;)"/>
    <hyperlink ref="Q113" r:id="rId345" display="=IFERROR(VLOOKUP($C113, DataFromWikipedia!A:T, 17, FALSE), &quot;&quot;)"/>
    <hyperlink ref="Q114" r:id="rId346" display="=IFERROR(VLOOKUP($C114, DataFromWikipedia!A:T, 17, FALSE), &quot;&quot;)"/>
    <hyperlink ref="Q115" r:id="rId347" display="=IFERROR(VLOOKUP($C115, DataFromWikipedia!A:T, 17, FALSE), &quot;&quot;)"/>
    <hyperlink ref="Q116" r:id="rId348" display="=IFERROR(VLOOKUP($C116, DataFromWikipedia!A:T, 17, FALSE), &quot;&quot;)"/>
    <hyperlink ref="Q117" r:id="rId349" display="=IFERROR(VLOOKUP($C117, DataFromWikipedia!A:T, 17, FALSE), &quot;&quot;)"/>
    <hyperlink ref="Q118" r:id="rId350" display="=IFERROR(VLOOKUP($C118, DataFromWikipedia!A:T, 17, FALSE), &quot;&quot;)"/>
    <hyperlink ref="Q119" r:id="rId351" display="=IFERROR(VLOOKUP($C119, DataFromWikipedia!A:T, 17, FALSE), &quot;&quot;)"/>
    <hyperlink ref="Q120" r:id="rId352" display="=IFERROR(VLOOKUP($C120, DataFromWikipedia!A:T, 17, FALSE), &quot;&quot;)"/>
    <hyperlink ref="Q121" r:id="rId353" display="=IFERROR(VLOOKUP($C121, DataFromWikipedia!A:T, 17, FALSE), &quot;&quot;)"/>
    <hyperlink ref="Q122" r:id="rId354" display="=IFERROR(VLOOKUP($C122, DataFromWikipedia!A:T, 17, FALSE), &quot;&quot;)"/>
    <hyperlink ref="Q123" r:id="rId355" display="=IFERROR(VLOOKUP($C123, DataFromWikipedia!A:T, 17, FALSE), &quot;&quot;)"/>
    <hyperlink ref="Q124" r:id="rId356" display="=IFERROR(VLOOKUP($C124, DataFromWikipedia!A:T, 17, FALSE), &quot;&quot;)"/>
    <hyperlink ref="Q125" r:id="rId357" display="=IFERROR(VLOOKUP($C125, DataFromWikipedia!A:T, 17, FALSE), &quot;&quot;)"/>
    <hyperlink ref="Q126" r:id="rId358" display="=IFERROR(VLOOKUP($C126, DataFromWikipedia!A:T, 17, FALSE), &quot;&quot;)"/>
    <hyperlink ref="Q127" r:id="rId359" display="=IFERROR(VLOOKUP($C127, DataFromWikipedia!A:T, 17, FALSE), &quot;&quot;)"/>
    <hyperlink ref="Q128" r:id="rId360" display="=IFERROR(VLOOKUP($C128, DataFromWikipedia!A:T, 17, FALSE), &quot;&quot;)"/>
    <hyperlink ref="Q129" r:id="rId361" display="=IFERROR(VLOOKUP($C129, DataFromWikipedia!A:T, 17, FALSE), &quot;&quot;)"/>
    <hyperlink ref="Q130" r:id="rId362" display="=IFERROR(VLOOKUP($C130, DataFromWikipedia!A:T, 17, FALSE), &quot;&quot;)"/>
    <hyperlink ref="Q131" r:id="rId363" display="=IFERROR(VLOOKUP($C131, DataFromWikipedia!A:T, 17, FALSE), &quot;&quot;)"/>
    <hyperlink ref="Q132" r:id="rId364" display="=IFERROR(VLOOKUP($C132, DataFromWikipedia!A:T, 17, FALSE), &quot;&quot;)"/>
    <hyperlink ref="Q133" r:id="rId365" display="=IFERROR(VLOOKUP($C133, DataFromWikipedia!A:T, 17, FALSE), &quot;&quot;)"/>
    <hyperlink ref="T5" r:id="rId366"/>
    <hyperlink ref="T7" r:id="rId367"/>
    <hyperlink ref="T8" r:id="rId368"/>
    <hyperlink ref="T9" r:id="rId369"/>
    <hyperlink ref="T13" r:id="rId370"/>
    <hyperlink ref="T14" r:id="rId371"/>
    <hyperlink ref="T17" r:id="rId372"/>
    <hyperlink ref="T18" r:id="rId373"/>
    <hyperlink ref="T19" r:id="rId374"/>
    <hyperlink ref="T22" r:id="rId375"/>
    <hyperlink ref="T24" r:id="rId376"/>
    <hyperlink ref="T27" r:id="rId377"/>
    <hyperlink ref="T28" r:id="rId378"/>
    <hyperlink ref="T29" r:id="rId379"/>
    <hyperlink ref="T30" r:id="rId380"/>
    <hyperlink ref="T32" r:id="rId381"/>
    <hyperlink ref="T35" r:id="rId382"/>
    <hyperlink ref="T36" r:id="rId383"/>
    <hyperlink ref="T37" r:id="rId384"/>
    <hyperlink ref="T38" r:id="rId385"/>
    <hyperlink ref="T40" r:id="rId386"/>
    <hyperlink ref="T41" r:id="rId387"/>
    <hyperlink ref="T44" r:id="rId388"/>
    <hyperlink ref="T48" r:id="rId389"/>
    <hyperlink ref="T54" r:id="rId390"/>
    <hyperlink ref="T58" r:id="rId391"/>
    <hyperlink ref="T59" r:id="rId392"/>
    <hyperlink ref="T60" r:id="rId393"/>
    <hyperlink ref="T61" r:id="rId394"/>
    <hyperlink ref="T62" r:id="rId395"/>
    <hyperlink ref="T63" r:id="rId396"/>
    <hyperlink ref="T71" r:id="rId397"/>
    <hyperlink ref="T73" r:id="rId398"/>
    <hyperlink ref="T74" r:id="rId399"/>
    <hyperlink ref="T77" r:id="rId400"/>
    <hyperlink ref="T78" r:id="rId401"/>
    <hyperlink ref="T79" r:id="rId402"/>
    <hyperlink ref="T80" r:id="rId403"/>
    <hyperlink ref="T86" r:id="rId404"/>
    <hyperlink ref="T87" r:id="rId405"/>
    <hyperlink ref="T93" r:id="rId406"/>
    <hyperlink ref="T94" r:id="rId407"/>
    <hyperlink ref="T103" r:id="rId408"/>
    <hyperlink ref="T104" r:id="rId409"/>
    <hyperlink ref="T105" r:id="rId410"/>
    <hyperlink ref="T107" r:id="rId411"/>
    <hyperlink ref="T108" r:id="rId412"/>
    <hyperlink ref="T110" r:id="rId413"/>
    <hyperlink ref="T113" r:id="rId414"/>
    <hyperlink ref="T114" r:id="rId415"/>
    <hyperlink ref="T115" r:id="rId416"/>
    <hyperlink ref="T118" r:id="rId417"/>
    <hyperlink ref="T119" r:id="rId418"/>
    <hyperlink ref="T120" r:id="rId419"/>
    <hyperlink ref="T123" r:id="rId420"/>
    <hyperlink ref="T124" r:id="rId421"/>
    <hyperlink ref="T125" r:id="rId422"/>
    <hyperlink ref="T131" r:id="rId423" display="=IFERROR(VLOOKUP(C131, DataFromWikipedia!A:T, 18, FALSE), &quot;&quot;)"/>
    <hyperlink ref="T132" r:id="rId424" display="=IFERROR(VLOOKUP(C132, DataFromWikipedia!A:T, 18, FALSE), &quot;&quot;)"/>
    <hyperlink ref="T133" r:id="rId425" display="=IFERROR(VLOOKUP(C133, DataFromWikipedia!A:T, 18, FALSE), &quot;&quot;)"/>
    <hyperlink ref="U13" r:id="rId426"/>
    <hyperlink ref="U24" r:id="rId427"/>
    <hyperlink ref="U27" r:id="rId428"/>
    <hyperlink ref="U34" r:id="rId429"/>
    <hyperlink ref="U44" r:id="rId430"/>
    <hyperlink ref="U54" r:id="rId431"/>
    <hyperlink ref="U59" r:id="rId432"/>
    <hyperlink ref="U61" r:id="rId433"/>
    <hyperlink ref="U62" r:id="rId434"/>
    <hyperlink ref="U74" r:id="rId435"/>
    <hyperlink ref="U87" r:id="rId436"/>
    <hyperlink ref="U94" r:id="rId437"/>
    <hyperlink ref="U103" r:id="rId438"/>
    <hyperlink ref="U104" r:id="rId439"/>
    <hyperlink ref="U106" r:id="rId440"/>
    <hyperlink ref="U107" r:id="rId441"/>
    <hyperlink ref="U108" r:id="rId442"/>
    <hyperlink ref="U113" r:id="rId443"/>
    <hyperlink ref="U115" r:id="rId444"/>
    <hyperlink ref="U118" r:id="rId445"/>
    <hyperlink ref="U119" r:id="rId446"/>
    <hyperlink ref="U120" r:id="rId447"/>
    <hyperlink ref="U123" r:id="rId448"/>
    <hyperlink ref="U124" r:id="rId449"/>
    <hyperlink ref="O4" r:id="rId450"/>
    <hyperlink ref="O5" r:id="rId451"/>
    <hyperlink ref="O6" r:id="rId452"/>
    <hyperlink ref="O8" r:id="rId453"/>
    <hyperlink ref="O9" r:id="rId454"/>
    <hyperlink ref="O11" r:id="rId455"/>
    <hyperlink ref="O12" r:id="rId456"/>
    <hyperlink ref="O13" r:id="rId457"/>
    <hyperlink ref="O14" r:id="rId458"/>
    <hyperlink ref="O16" r:id="rId459"/>
    <hyperlink ref="O17" r:id="rId460"/>
    <hyperlink ref="O18" r:id="rId461"/>
    <hyperlink ref="O19" r:id="rId462"/>
    <hyperlink ref="O20" r:id="rId463"/>
    <hyperlink ref="O21" r:id="rId464"/>
    <hyperlink ref="O22" r:id="rId465"/>
    <hyperlink ref="O23" r:id="rId466"/>
    <hyperlink ref="O24" r:id="rId467"/>
    <hyperlink ref="O25" r:id="rId468"/>
    <hyperlink ref="O26" r:id="rId469"/>
    <hyperlink ref="O27" r:id="rId470"/>
    <hyperlink ref="O28" r:id="rId471"/>
    <hyperlink ref="O29" r:id="rId472"/>
    <hyperlink ref="O30" r:id="rId473"/>
    <hyperlink ref="O31" r:id="rId474"/>
    <hyperlink ref="O32" r:id="rId475"/>
    <hyperlink ref="O33" r:id="rId476"/>
    <hyperlink ref="O34" r:id="rId477"/>
    <hyperlink ref="O35" r:id="rId478"/>
    <hyperlink ref="O36" r:id="rId479"/>
    <hyperlink ref="O37" r:id="rId480"/>
    <hyperlink ref="O38" r:id="rId481"/>
    <hyperlink ref="O39" r:id="rId482"/>
    <hyperlink ref="O40" r:id="rId483"/>
    <hyperlink ref="O41" r:id="rId484"/>
    <hyperlink ref="O42" r:id="rId485"/>
    <hyperlink ref="O43" r:id="rId486"/>
    <hyperlink ref="O44" r:id="rId487"/>
    <hyperlink ref="O45" r:id="rId488"/>
    <hyperlink ref="O47" r:id="rId489"/>
    <hyperlink ref="O49" r:id="rId490"/>
    <hyperlink ref="O50" r:id="rId491"/>
    <hyperlink ref="O54" r:id="rId492"/>
    <hyperlink ref="O55" r:id="rId493"/>
    <hyperlink ref="O56" r:id="rId494"/>
    <hyperlink ref="O57" r:id="rId495"/>
    <hyperlink ref="O58" r:id="rId496"/>
    <hyperlink ref="O59" r:id="rId497"/>
    <hyperlink ref="O60" r:id="rId498"/>
    <hyperlink ref="O61" r:id="rId499"/>
    <hyperlink ref="O62" r:id="rId500"/>
    <hyperlink ref="O63" r:id="rId501"/>
    <hyperlink ref="O64" r:id="rId502"/>
    <hyperlink ref="O65" r:id="rId503"/>
    <hyperlink ref="O66" r:id="rId504"/>
    <hyperlink ref="O67" r:id="rId505"/>
    <hyperlink ref="O68" r:id="rId506"/>
    <hyperlink ref="O69" r:id="rId507"/>
    <hyperlink ref="O70" r:id="rId508"/>
    <hyperlink ref="O71" r:id="rId509"/>
    <hyperlink ref="O72" r:id="rId510"/>
    <hyperlink ref="O73" r:id="rId511"/>
    <hyperlink ref="O74" r:id="rId512"/>
    <hyperlink ref="O75" r:id="rId513"/>
    <hyperlink ref="O76" r:id="rId514"/>
    <hyperlink ref="O77" r:id="rId515"/>
    <hyperlink ref="O78" r:id="rId516"/>
    <hyperlink ref="O79" r:id="rId517"/>
    <hyperlink ref="O80" r:id="rId518"/>
    <hyperlink ref="O82" r:id="rId519"/>
    <hyperlink ref="O83" r:id="rId520"/>
    <hyperlink ref="O84" r:id="rId521"/>
    <hyperlink ref="O85" r:id="rId522"/>
    <hyperlink ref="O86" r:id="rId523"/>
    <hyperlink ref="O87" r:id="rId524"/>
    <hyperlink ref="O88" r:id="rId525"/>
    <hyperlink ref="O89" r:id="rId526"/>
    <hyperlink ref="O90" r:id="rId527"/>
    <hyperlink ref="O91" r:id="rId528"/>
    <hyperlink ref="O92" r:id="rId529"/>
    <hyperlink ref="O93" r:id="rId530"/>
    <hyperlink ref="O94" r:id="rId531"/>
    <hyperlink ref="O95" r:id="rId532"/>
    <hyperlink ref="O97" r:id="rId533"/>
    <hyperlink ref="O99" r:id="rId534"/>
    <hyperlink ref="O100" r:id="rId535"/>
    <hyperlink ref="O101" r:id="rId536"/>
    <hyperlink ref="O102" r:id="rId537"/>
    <hyperlink ref="O104" r:id="rId538"/>
    <hyperlink ref="O105" r:id="rId539"/>
    <hyperlink ref="O106" r:id="rId540"/>
    <hyperlink ref="O107" r:id="rId541"/>
    <hyperlink ref="O108" r:id="rId542"/>
    <hyperlink ref="O109" r:id="rId543"/>
    <hyperlink ref="O110" r:id="rId544"/>
    <hyperlink ref="O111" r:id="rId545"/>
    <hyperlink ref="O112" r:id="rId546"/>
    <hyperlink ref="O113" r:id="rId547"/>
    <hyperlink ref="O114" r:id="rId548"/>
    <hyperlink ref="O115" r:id="rId549"/>
    <hyperlink ref="O116" r:id="rId550"/>
    <hyperlink ref="O117" r:id="rId551"/>
    <hyperlink ref="O118" r:id="rId552"/>
    <hyperlink ref="O119" r:id="rId553"/>
    <hyperlink ref="O120" r:id="rId554"/>
    <hyperlink ref="O121" r:id="rId555"/>
    <hyperlink ref="O122" r:id="rId556"/>
    <hyperlink ref="O123" r:id="rId557"/>
    <hyperlink ref="O124" r:id="rId558"/>
    <hyperlink ref="O125" r:id="rId559"/>
    <hyperlink ref="O126" r:id="rId560"/>
    <hyperlink ref="O127" r:id="rId561"/>
    <hyperlink ref="O128" r:id="rId562"/>
    <hyperlink ref="O130" r:id="rId563"/>
    <hyperlink ref="O131" r:id="rId564"/>
    <hyperlink ref="V5" r:id="rId565"/>
    <hyperlink ref="V7" r:id="rId566"/>
    <hyperlink ref="V8" r:id="rId567"/>
    <hyperlink ref="V9" r:id="rId568"/>
    <hyperlink ref="V13" r:id="rId569"/>
    <hyperlink ref="V14" r:id="rId570"/>
    <hyperlink ref="V15" r:id="rId571"/>
    <hyperlink ref="V17" r:id="rId572"/>
    <hyperlink ref="V18" r:id="rId573"/>
    <hyperlink ref="V19" r:id="rId574"/>
    <hyperlink ref="V22" r:id="rId575"/>
    <hyperlink ref="V24" r:id="rId576"/>
    <hyperlink ref="V25" r:id="rId577"/>
    <hyperlink ref="V27" r:id="rId578"/>
    <hyperlink ref="V28" r:id="rId579"/>
    <hyperlink ref="V29" r:id="rId580"/>
    <hyperlink ref="V30" r:id="rId581"/>
    <hyperlink ref="V32" r:id="rId582"/>
    <hyperlink ref="V34" r:id="rId583"/>
    <hyperlink ref="V35" r:id="rId584"/>
    <hyperlink ref="V36" r:id="rId585"/>
    <hyperlink ref="V37" r:id="rId586"/>
    <hyperlink ref="V38" r:id="rId587"/>
    <hyperlink ref="V40" r:id="rId588"/>
    <hyperlink ref="V41" r:id="rId589"/>
    <hyperlink ref="V44" r:id="rId590"/>
    <hyperlink ref="V48" r:id="rId591"/>
    <hyperlink ref="V54" r:id="rId592"/>
    <hyperlink ref="V56" r:id="rId593"/>
    <hyperlink ref="V58" r:id="rId594"/>
    <hyperlink ref="V59" r:id="rId595"/>
    <hyperlink ref="V60" r:id="rId596"/>
    <hyperlink ref="V61" r:id="rId597"/>
    <hyperlink ref="V62" r:id="rId598"/>
    <hyperlink ref="V63" r:id="rId599"/>
    <hyperlink ref="V67" r:id="rId600"/>
    <hyperlink ref="V68" r:id="rId601"/>
    <hyperlink ref="V71" r:id="rId602"/>
    <hyperlink ref="V73" r:id="rId603"/>
    <hyperlink ref="V74" r:id="rId604"/>
    <hyperlink ref="V77" r:id="rId605"/>
    <hyperlink ref="V78" r:id="rId606"/>
    <hyperlink ref="V79" r:id="rId607"/>
    <hyperlink ref="V80" r:id="rId608"/>
    <hyperlink ref="V86" r:id="rId609"/>
    <hyperlink ref="V87" r:id="rId610"/>
    <hyperlink ref="V93" r:id="rId611"/>
    <hyperlink ref="V94" r:id="rId612"/>
    <hyperlink ref="V103" r:id="rId613"/>
    <hyperlink ref="V104" r:id="rId614"/>
    <hyperlink ref="V105" r:id="rId615"/>
    <hyperlink ref="V106" r:id="rId616"/>
    <hyperlink ref="V107" r:id="rId617"/>
    <hyperlink ref="V108" r:id="rId618"/>
    <hyperlink ref="V110" r:id="rId619"/>
    <hyperlink ref="V113" r:id="rId620"/>
    <hyperlink ref="V114" r:id="rId621"/>
    <hyperlink ref="V115" r:id="rId622"/>
    <hyperlink ref="V118" r:id="rId623"/>
    <hyperlink ref="V119" r:id="rId624"/>
    <hyperlink ref="V120" r:id="rId625"/>
    <hyperlink ref="V123" r:id="rId626"/>
    <hyperlink ref="V124" r:id="rId627"/>
    <hyperlink ref="V125" r:id="rId628"/>
    <hyperlink ref="Q43" r:id="rId629"/>
    <hyperlink ref="Q83" r:id="rId630"/>
  </hyperlinks>
  <pageMargins left="0.7" right="0.7" top="0.75" bottom="0.75" header="0.3" footer="0.3"/>
  <pageSetup paperSize="9" orientation="portrait" r:id="rId63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90"/>
  <sheetViews>
    <sheetView workbookViewId="0">
      <pane ySplit="1" topLeftCell="A8" activePane="bottomLeft" state="frozen"/>
      <selection pane="bottomLeft" activeCell="B34" sqref="B34"/>
    </sheetView>
  </sheetViews>
  <sheetFormatPr defaultColWidth="6.42578125" defaultRowHeight="20.25" customHeight="1" x14ac:dyDescent="0.25"/>
  <cols>
    <col min="1" max="1" width="9.85546875" style="59" bestFit="1" customWidth="1"/>
    <col min="2" max="2" width="29.7109375" style="59" bestFit="1" customWidth="1"/>
    <col min="3" max="3" width="15" style="61" bestFit="1" customWidth="1"/>
    <col min="4" max="4" width="14.5703125" style="61" bestFit="1" customWidth="1"/>
    <col min="5" max="5" width="6.5703125" style="61" bestFit="1" customWidth="1"/>
    <col min="6" max="6" width="6.5703125" style="61" customWidth="1"/>
    <col min="7" max="7" width="11" style="19" customWidth="1"/>
    <col min="8" max="8" width="46.7109375" style="19" bestFit="1" customWidth="1"/>
    <col min="9" max="9" width="59.28515625" style="80" bestFit="1" customWidth="1"/>
    <col min="10" max="10" width="11.28515625" style="59" bestFit="1" customWidth="1"/>
    <col min="11" max="11" width="31.28515625" style="59" bestFit="1" customWidth="1"/>
    <col min="12" max="16384" width="6.42578125" style="59"/>
  </cols>
  <sheetData>
    <row r="1" spans="1:11" s="60" customFormat="1" ht="20.25" customHeight="1" x14ac:dyDescent="0.25">
      <c r="A1" s="62" t="s">
        <v>1134</v>
      </c>
      <c r="B1" s="63" t="s">
        <v>1135</v>
      </c>
      <c r="C1" s="64" t="s">
        <v>1136</v>
      </c>
      <c r="D1" s="64" t="s">
        <v>1137</v>
      </c>
      <c r="E1" s="64" t="s">
        <v>1138</v>
      </c>
      <c r="F1" s="76"/>
      <c r="G1" s="22" t="s">
        <v>1180</v>
      </c>
      <c r="H1" s="21" t="s">
        <v>27</v>
      </c>
      <c r="I1" s="81"/>
      <c r="J1" s="62" t="s">
        <v>1181</v>
      </c>
      <c r="K1" s="62" t="s">
        <v>1182</v>
      </c>
    </row>
    <row r="2" spans="1:11" ht="20.25" customHeight="1" x14ac:dyDescent="0.25">
      <c r="A2" s="65" t="s">
        <v>471</v>
      </c>
      <c r="B2" s="66" t="s">
        <v>282</v>
      </c>
      <c r="C2" s="67" t="s">
        <v>1139</v>
      </c>
      <c r="D2" s="68" t="s">
        <v>888</v>
      </c>
      <c r="E2" s="69">
        <v>1</v>
      </c>
      <c r="F2" s="77"/>
      <c r="G2" s="19" t="s">
        <v>485</v>
      </c>
      <c r="H2" s="19" t="s">
        <v>26</v>
      </c>
      <c r="I2" s="80" t="str">
        <f>"@" &amp; G2 &amp; ": " &amp; H2</f>
        <v>@Ref:0506B: All Saints Haggerston</v>
      </c>
      <c r="J2" s="59" t="str">
        <f>VLOOKUP(A2,G:G, 1, FALSE)</f>
        <v>Ref:0501</v>
      </c>
      <c r="K2" s="59" t="str">
        <f>IFERROR(VLOOKUP(G2,A:A, 1, FALSE), I2)</f>
        <v>@Ref:0506B: All Saints Haggerston</v>
      </c>
    </row>
    <row r="3" spans="1:11" ht="20.25" customHeight="1" x14ac:dyDescent="0.25">
      <c r="A3" s="65" t="s">
        <v>472</v>
      </c>
      <c r="B3" s="66" t="s">
        <v>284</v>
      </c>
      <c r="C3" s="70"/>
      <c r="D3" s="68" t="s">
        <v>216</v>
      </c>
      <c r="E3" s="69">
        <v>4</v>
      </c>
      <c r="F3" s="77"/>
      <c r="G3" s="19" t="s">
        <v>491</v>
      </c>
      <c r="H3" s="19" t="s">
        <v>490</v>
      </c>
      <c r="I3" s="80" t="str">
        <f t="shared" ref="I3:I66" si="0">"@" &amp; G3 &amp; ": " &amp; H3</f>
        <v>@Ref:Hackney Marsh Team Ministry: All Souls Clapton Park</v>
      </c>
      <c r="J3" s="59" t="str">
        <f t="shared" ref="J3:J66" si="1">VLOOKUP(A3,G:G, 1, FALSE)</f>
        <v>Ref:0504</v>
      </c>
      <c r="K3" s="59" t="str">
        <f t="shared" ref="K3:K66" si="2">IFERROR(VLOOKUP(G3,A:A, 1, FALSE), I3)</f>
        <v>@Ref:Hackney Marsh Team Ministry: All Souls Clapton Park</v>
      </c>
    </row>
    <row r="4" spans="1:11" ht="20.25" customHeight="1" x14ac:dyDescent="0.25">
      <c r="A4" s="65" t="s">
        <v>475</v>
      </c>
      <c r="B4" s="66" t="s">
        <v>286</v>
      </c>
      <c r="C4" s="67" t="s">
        <v>1140</v>
      </c>
      <c r="D4" s="68" t="s">
        <v>1141</v>
      </c>
      <c r="E4" s="69">
        <v>3</v>
      </c>
      <c r="F4" s="77"/>
      <c r="G4" s="19" t="s">
        <v>491</v>
      </c>
      <c r="H4" s="19" t="s">
        <v>495</v>
      </c>
      <c r="I4" s="80" t="str">
        <f t="shared" si="0"/>
        <v>@Ref:Hackney Marsh Team Ministry: Christchurch-on-the-Mead</v>
      </c>
      <c r="J4" s="59" t="str">
        <f t="shared" si="1"/>
        <v>Ref:0505</v>
      </c>
      <c r="K4" s="59" t="str">
        <f t="shared" si="2"/>
        <v>@Ref:Hackney Marsh Team Ministry: Christchurch-on-the-Mead</v>
      </c>
    </row>
    <row r="5" spans="1:11" ht="20.25" customHeight="1" x14ac:dyDescent="0.25">
      <c r="A5" s="65" t="s">
        <v>479</v>
      </c>
      <c r="B5" s="66" t="s">
        <v>1142</v>
      </c>
      <c r="C5" s="67"/>
      <c r="D5" s="68" t="s">
        <v>1143</v>
      </c>
      <c r="E5" s="69"/>
      <c r="F5" s="77"/>
      <c r="G5" s="19" t="s">
        <v>555</v>
      </c>
      <c r="H5" s="19" t="s">
        <v>17</v>
      </c>
      <c r="I5" s="80" t="str">
        <f t="shared" si="0"/>
        <v>@Ref:0586: Grace Church Hackney</v>
      </c>
      <c r="J5" s="59" t="str">
        <f t="shared" si="1"/>
        <v>Ref:0506</v>
      </c>
      <c r="K5" s="59" t="str">
        <f t="shared" si="2"/>
        <v>Ref:0586</v>
      </c>
    </row>
    <row r="6" spans="1:11" ht="20.25" customHeight="1" x14ac:dyDescent="0.25">
      <c r="A6" s="65" t="s">
        <v>486</v>
      </c>
      <c r="B6" s="66" t="s">
        <v>293</v>
      </c>
      <c r="C6" s="67"/>
      <c r="D6" s="68" t="s">
        <v>218</v>
      </c>
      <c r="E6" s="69"/>
      <c r="F6" s="77"/>
      <c r="G6" s="19" t="s">
        <v>482</v>
      </c>
      <c r="H6" s="19" t="s">
        <v>290</v>
      </c>
      <c r="I6" s="80" t="str">
        <f t="shared" si="0"/>
        <v>@Ref:0506A: Holy Trinity Dalston</v>
      </c>
      <c r="J6" s="59" t="str">
        <f t="shared" si="1"/>
        <v>Ref:0507</v>
      </c>
      <c r="K6" s="59" t="str">
        <f t="shared" si="2"/>
        <v>@Ref:0506A: Holy Trinity Dalston</v>
      </c>
    </row>
    <row r="7" spans="1:11" ht="20.25" customHeight="1" x14ac:dyDescent="0.25">
      <c r="A7" s="65" t="s">
        <v>487</v>
      </c>
      <c r="B7" s="66" t="s">
        <v>1144</v>
      </c>
      <c r="C7" s="67" t="s">
        <v>1139</v>
      </c>
      <c r="D7" s="68"/>
      <c r="E7" s="69">
        <v>3</v>
      </c>
      <c r="F7" s="77"/>
      <c r="G7" s="19" t="s">
        <v>479</v>
      </c>
      <c r="H7" s="19" t="s">
        <v>288</v>
      </c>
      <c r="I7" s="80" t="str">
        <f t="shared" si="0"/>
        <v>@Ref:0506: Holy Trinity Dalston with All Saints Haggerston</v>
      </c>
      <c r="J7" s="59" t="str">
        <f t="shared" si="1"/>
        <v>Ref:0509A</v>
      </c>
      <c r="K7" s="59" t="str">
        <f t="shared" si="2"/>
        <v>Ref:0506</v>
      </c>
    </row>
    <row r="8" spans="1:11" ht="20.25" customHeight="1" x14ac:dyDescent="0.25">
      <c r="A8" s="65" t="s">
        <v>496</v>
      </c>
      <c r="B8" s="66" t="s">
        <v>1145</v>
      </c>
      <c r="C8" s="67" t="s">
        <v>1146</v>
      </c>
      <c r="D8" s="68" t="s">
        <v>908</v>
      </c>
      <c r="E8" s="69">
        <v>3</v>
      </c>
      <c r="F8" s="77"/>
      <c r="G8" s="19" t="s">
        <v>536</v>
      </c>
      <c r="H8" s="19" t="s">
        <v>321</v>
      </c>
      <c r="I8" s="80" t="str">
        <f t="shared" si="0"/>
        <v>@Ref:0525: Holy Trinity Hoxton</v>
      </c>
      <c r="J8" s="59" t="str">
        <f t="shared" si="1"/>
        <v>Ref:0510</v>
      </c>
      <c r="K8" s="59" t="str">
        <f t="shared" si="2"/>
        <v>Ref:0525</v>
      </c>
    </row>
    <row r="9" spans="1:11" ht="20.25" customHeight="1" x14ac:dyDescent="0.25">
      <c r="A9" s="65" t="s">
        <v>500</v>
      </c>
      <c r="B9" s="66" t="s">
        <v>300</v>
      </c>
      <c r="C9" s="67"/>
      <c r="D9" s="68" t="s">
        <v>222</v>
      </c>
      <c r="E9" s="69">
        <v>3</v>
      </c>
      <c r="F9" s="77"/>
      <c r="G9" s="19" t="s">
        <v>471</v>
      </c>
      <c r="H9" s="19" t="s">
        <v>282</v>
      </c>
      <c r="I9" s="80" t="str">
        <f t="shared" si="0"/>
        <v>@Ref:0501: Parish of Hackney</v>
      </c>
      <c r="J9" s="59" t="str">
        <f t="shared" si="1"/>
        <v>Ref:0511</v>
      </c>
      <c r="K9" s="59" t="str">
        <f t="shared" si="2"/>
        <v>Ref:0501</v>
      </c>
    </row>
    <row r="10" spans="1:11" ht="20.25" customHeight="1" x14ac:dyDescent="0.25">
      <c r="A10" s="65" t="s">
        <v>503</v>
      </c>
      <c r="B10" s="66" t="s">
        <v>1147</v>
      </c>
      <c r="C10" s="70"/>
      <c r="D10" s="68" t="s">
        <v>224</v>
      </c>
      <c r="E10" s="69"/>
      <c r="F10" s="77"/>
      <c r="G10" s="19" t="s">
        <v>515</v>
      </c>
      <c r="H10" s="19" t="s">
        <v>308</v>
      </c>
      <c r="I10" s="80" t="str">
        <f t="shared" si="0"/>
        <v>@Ref:0516: St Andrew Stoke Newington</v>
      </c>
      <c r="J10" s="59" t="str">
        <f t="shared" si="1"/>
        <v>Ref:0512</v>
      </c>
      <c r="K10" s="59" t="str">
        <f t="shared" si="2"/>
        <v>Ref:0516</v>
      </c>
    </row>
    <row r="11" spans="1:11" ht="20.25" customHeight="1" x14ac:dyDescent="0.25">
      <c r="A11" s="65" t="s">
        <v>506</v>
      </c>
      <c r="B11" s="66" t="s">
        <v>1148</v>
      </c>
      <c r="C11" s="67" t="s">
        <v>1146</v>
      </c>
      <c r="D11" s="68" t="s">
        <v>944</v>
      </c>
      <c r="E11" s="69"/>
      <c r="F11" s="77"/>
      <c r="G11" s="19" t="s">
        <v>533</v>
      </c>
      <c r="H11" s="19" t="s">
        <v>319</v>
      </c>
      <c r="I11" s="80" t="str">
        <f t="shared" si="0"/>
        <v>@Ref:0523: St Anne Hoxton</v>
      </c>
      <c r="J11" s="59" t="str">
        <f t="shared" si="1"/>
        <v>Ref:0513</v>
      </c>
      <c r="K11" s="59" t="str">
        <f t="shared" si="2"/>
        <v>Ref:0523</v>
      </c>
    </row>
    <row r="12" spans="1:11" ht="20.25" customHeight="1" x14ac:dyDescent="0.25">
      <c r="A12" s="65" t="s">
        <v>509</v>
      </c>
      <c r="B12" s="66" t="s">
        <v>304</v>
      </c>
      <c r="C12" s="67" t="s">
        <v>1146</v>
      </c>
      <c r="D12" s="68" t="s">
        <v>219</v>
      </c>
      <c r="E12" s="69">
        <v>4</v>
      </c>
      <c r="F12" s="77"/>
      <c r="G12" s="19" t="s">
        <v>552</v>
      </c>
      <c r="H12" s="19" t="s">
        <v>331</v>
      </c>
      <c r="I12" s="80" t="str">
        <f t="shared" si="0"/>
        <v>@Ref:0585: St Barnabas Dalston</v>
      </c>
      <c r="J12" s="59" t="str">
        <f t="shared" si="1"/>
        <v>Ref:0514</v>
      </c>
      <c r="K12" s="59" t="str">
        <f t="shared" si="2"/>
        <v>Ref:0585</v>
      </c>
    </row>
    <row r="13" spans="1:11" ht="20.25" customHeight="1" x14ac:dyDescent="0.25">
      <c r="A13" s="65" t="s">
        <v>512</v>
      </c>
      <c r="B13" s="66" t="s">
        <v>306</v>
      </c>
      <c r="C13" s="67"/>
      <c r="D13" s="68" t="s">
        <v>230</v>
      </c>
      <c r="E13" s="69"/>
      <c r="F13" s="77"/>
      <c r="G13" s="19" t="s">
        <v>487</v>
      </c>
      <c r="H13" s="19" t="s">
        <v>8</v>
      </c>
      <c r="I13" s="80" t="str">
        <f t="shared" si="0"/>
        <v>@Ref:0509A: St Barnabas, Homerton</v>
      </c>
      <c r="J13" s="59" t="str">
        <f t="shared" si="1"/>
        <v>Ref:0515</v>
      </c>
      <c r="K13" s="59" t="str">
        <f t="shared" si="2"/>
        <v>Ref:0509A</v>
      </c>
    </row>
    <row r="14" spans="1:11" ht="20.25" customHeight="1" x14ac:dyDescent="0.25">
      <c r="A14" s="65" t="s">
        <v>515</v>
      </c>
      <c r="B14" s="66" t="s">
        <v>1149</v>
      </c>
      <c r="C14" s="67"/>
      <c r="D14" s="68" t="s">
        <v>275</v>
      </c>
      <c r="E14" s="71">
        <v>4</v>
      </c>
      <c r="F14" s="78"/>
      <c r="G14" s="19" t="s">
        <v>546</v>
      </c>
      <c r="H14" s="19" t="s">
        <v>327</v>
      </c>
      <c r="I14" s="80" t="str">
        <f t="shared" si="0"/>
        <v>@Ref:0528: St Bartholomew Stamford Hill</v>
      </c>
      <c r="J14" s="59" t="str">
        <f t="shared" si="1"/>
        <v>Ref:0516</v>
      </c>
      <c r="K14" s="59" t="str">
        <f t="shared" si="2"/>
        <v>Ref:0528</v>
      </c>
    </row>
    <row r="15" spans="1:11" ht="20.25" customHeight="1" x14ac:dyDescent="0.25">
      <c r="A15" s="65" t="s">
        <v>518</v>
      </c>
      <c r="B15" s="66" t="s">
        <v>310</v>
      </c>
      <c r="C15" s="67" t="s">
        <v>1140</v>
      </c>
      <c r="D15" s="68" t="s">
        <v>232</v>
      </c>
      <c r="E15" s="71">
        <v>4</v>
      </c>
      <c r="F15" s="78"/>
      <c r="G15" s="19" t="s">
        <v>542</v>
      </c>
      <c r="H15" s="19" t="s">
        <v>325</v>
      </c>
      <c r="I15" s="80" t="str">
        <f t="shared" si="0"/>
        <v>@Ref:0527: St Chad Haggerston</v>
      </c>
      <c r="J15" s="59" t="str">
        <f t="shared" si="1"/>
        <v>Ref:0517</v>
      </c>
      <c r="K15" s="59" t="str">
        <f t="shared" si="2"/>
        <v>Ref:0527</v>
      </c>
    </row>
    <row r="16" spans="1:11" ht="20.25" customHeight="1" x14ac:dyDescent="0.25">
      <c r="A16" s="65" t="s">
        <v>521</v>
      </c>
      <c r="B16" s="66" t="s">
        <v>1150</v>
      </c>
      <c r="C16" s="67"/>
      <c r="D16" s="68" t="s">
        <v>276</v>
      </c>
      <c r="E16" s="69"/>
      <c r="F16" s="77"/>
      <c r="G16" s="19" t="s">
        <v>549</v>
      </c>
      <c r="H16" s="19" t="s">
        <v>329</v>
      </c>
      <c r="I16" s="80" t="str">
        <f t="shared" si="0"/>
        <v>@Ref:0529: St James Clapton</v>
      </c>
      <c r="J16" s="59" t="str">
        <f t="shared" si="1"/>
        <v>Ref:0518</v>
      </c>
      <c r="K16" s="59" t="str">
        <f t="shared" si="2"/>
        <v>Ref:0529</v>
      </c>
    </row>
    <row r="17" spans="1:11" ht="20.25" customHeight="1" x14ac:dyDescent="0.25">
      <c r="A17" s="65" t="s">
        <v>524</v>
      </c>
      <c r="B17" s="66" t="s">
        <v>313</v>
      </c>
      <c r="C17" s="67"/>
      <c r="D17" s="68" t="s">
        <v>231</v>
      </c>
      <c r="E17" s="69"/>
      <c r="F17" s="77"/>
      <c r="G17" s="19" t="s">
        <v>496</v>
      </c>
      <c r="H17" s="19" t="s">
        <v>298</v>
      </c>
      <c r="I17" s="80" t="str">
        <f t="shared" si="0"/>
        <v>@Ref:0510: St John of Jerusalem South Hackney</v>
      </c>
      <c r="J17" s="59" t="str">
        <f t="shared" si="1"/>
        <v>Ref:0519</v>
      </c>
      <c r="K17" s="59" t="str">
        <f t="shared" si="2"/>
        <v>Ref:0510</v>
      </c>
    </row>
    <row r="18" spans="1:11" ht="20.25" customHeight="1" x14ac:dyDescent="0.25">
      <c r="A18" s="65" t="s">
        <v>527</v>
      </c>
      <c r="B18" s="66" t="s">
        <v>1151</v>
      </c>
      <c r="C18" s="67" t="s">
        <v>1140</v>
      </c>
      <c r="D18" s="68" t="s">
        <v>215</v>
      </c>
      <c r="E18" s="69"/>
      <c r="F18" s="77"/>
      <c r="G18" s="19" t="s">
        <v>539</v>
      </c>
      <c r="H18" s="19" t="s">
        <v>323</v>
      </c>
      <c r="I18" s="80" t="str">
        <f t="shared" si="0"/>
        <v>@Ref:0526: St John the Baptist Hoxton</v>
      </c>
      <c r="J18" s="59" t="str">
        <f t="shared" si="1"/>
        <v>Ref:0520</v>
      </c>
      <c r="K18" s="59" t="str">
        <f t="shared" si="2"/>
        <v>Ref:0526</v>
      </c>
    </row>
    <row r="19" spans="1:11" ht="20.25" customHeight="1" x14ac:dyDescent="0.25">
      <c r="A19" s="65" t="s">
        <v>530</v>
      </c>
      <c r="B19" s="66" t="s">
        <v>317</v>
      </c>
      <c r="C19" s="70" t="s">
        <v>1146</v>
      </c>
      <c r="D19" s="68" t="s">
        <v>228</v>
      </c>
      <c r="E19" s="69"/>
      <c r="F19" s="77"/>
      <c r="G19" s="19" t="s">
        <v>527</v>
      </c>
      <c r="H19" s="19" t="s">
        <v>315</v>
      </c>
      <c r="I19" s="80" t="str">
        <f t="shared" si="0"/>
        <v>@Ref:0520: St John the Evangelist Brownswood Park</v>
      </c>
      <c r="J19" s="59" t="str">
        <f t="shared" si="1"/>
        <v>Ref:0521</v>
      </c>
      <c r="K19" s="59" t="str">
        <f t="shared" si="2"/>
        <v>Ref:0520</v>
      </c>
    </row>
    <row r="20" spans="1:11" ht="20.25" customHeight="1" x14ac:dyDescent="0.25">
      <c r="A20" s="65" t="s">
        <v>533</v>
      </c>
      <c r="B20" s="66" t="s">
        <v>319</v>
      </c>
      <c r="C20" s="70" t="s">
        <v>1140</v>
      </c>
      <c r="D20" s="68" t="s">
        <v>226</v>
      </c>
      <c r="E20" s="69">
        <v>3</v>
      </c>
      <c r="F20" s="77"/>
      <c r="G20" s="19" t="s">
        <v>530</v>
      </c>
      <c r="H20" s="19" t="s">
        <v>317</v>
      </c>
      <c r="I20" s="80" t="str">
        <f t="shared" si="0"/>
        <v>@Ref:0521: St Leonard Shoreditch</v>
      </c>
      <c r="J20" s="59" t="str">
        <f t="shared" si="1"/>
        <v>Ref:0523</v>
      </c>
      <c r="K20" s="59" t="str">
        <f t="shared" si="2"/>
        <v>Ref:0521</v>
      </c>
    </row>
    <row r="21" spans="1:11" ht="20.25" customHeight="1" x14ac:dyDescent="0.25">
      <c r="A21" s="65" t="s">
        <v>536</v>
      </c>
      <c r="B21" s="66" t="s">
        <v>321</v>
      </c>
      <c r="C21" s="70" t="s">
        <v>1140</v>
      </c>
      <c r="D21" s="68" t="s">
        <v>274</v>
      </c>
      <c r="E21" s="71">
        <v>4</v>
      </c>
      <c r="F21" s="78"/>
      <c r="G21" s="19" t="s">
        <v>486</v>
      </c>
      <c r="H21" s="19" t="s">
        <v>293</v>
      </c>
      <c r="I21" s="80" t="str">
        <f t="shared" si="0"/>
        <v>@Ref:0507: St Mark Dalston</v>
      </c>
      <c r="J21" s="59" t="str">
        <f t="shared" si="1"/>
        <v>Ref:0525</v>
      </c>
      <c r="K21" s="59" t="str">
        <f t="shared" si="2"/>
        <v>Ref:0507</v>
      </c>
    </row>
    <row r="22" spans="1:11" ht="20.25" customHeight="1" x14ac:dyDescent="0.25">
      <c r="A22" s="65" t="s">
        <v>539</v>
      </c>
      <c r="B22" s="66" t="s">
        <v>1152</v>
      </c>
      <c r="C22" s="70" t="s">
        <v>1139</v>
      </c>
      <c r="D22" s="68" t="s">
        <v>227</v>
      </c>
      <c r="E22" s="69">
        <v>2</v>
      </c>
      <c r="F22" s="77"/>
      <c r="G22" s="19" t="s">
        <v>500</v>
      </c>
      <c r="H22" s="19" t="s">
        <v>300</v>
      </c>
      <c r="I22" s="80" t="str">
        <f t="shared" si="0"/>
        <v>@Ref:0511: St Mary of Eton Hackney</v>
      </c>
      <c r="J22" s="59" t="str">
        <f t="shared" si="1"/>
        <v>Ref:0526</v>
      </c>
      <c r="K22" s="59" t="str">
        <f t="shared" si="2"/>
        <v>Ref:0511</v>
      </c>
    </row>
    <row r="23" spans="1:11" ht="20.25" customHeight="1" x14ac:dyDescent="0.25">
      <c r="A23" s="65" t="s">
        <v>542</v>
      </c>
      <c r="B23" s="66" t="s">
        <v>325</v>
      </c>
      <c r="C23" s="70" t="s">
        <v>1140</v>
      </c>
      <c r="D23" s="68" t="s">
        <v>273</v>
      </c>
      <c r="E23" s="72">
        <v>4</v>
      </c>
      <c r="F23" s="79"/>
      <c r="G23" s="19" t="s">
        <v>512</v>
      </c>
      <c r="H23" s="19" t="s">
        <v>306</v>
      </c>
      <c r="I23" s="80" t="str">
        <f t="shared" si="0"/>
        <v>@Ref:0515: St Mary Stoke Newington</v>
      </c>
      <c r="J23" s="59" t="str">
        <f t="shared" si="1"/>
        <v>Ref:0527</v>
      </c>
      <c r="K23" s="59" t="str">
        <f t="shared" si="2"/>
        <v>Ref:0515</v>
      </c>
    </row>
    <row r="24" spans="1:11" ht="20.25" customHeight="1" x14ac:dyDescent="0.25">
      <c r="A24" s="65" t="s">
        <v>546</v>
      </c>
      <c r="B24" s="66" t="s">
        <v>327</v>
      </c>
      <c r="C24" s="70" t="s">
        <v>1140</v>
      </c>
      <c r="D24" s="68" t="s">
        <v>229</v>
      </c>
      <c r="E24" s="72">
        <v>4</v>
      </c>
      <c r="F24" s="79"/>
      <c r="G24" s="19" t="s">
        <v>472</v>
      </c>
      <c r="H24" s="19" t="s">
        <v>284</v>
      </c>
      <c r="I24" s="80" t="str">
        <f t="shared" si="0"/>
        <v>@Ref:0504: St Matthew Upper Clapton</v>
      </c>
      <c r="J24" s="59" t="str">
        <f t="shared" si="1"/>
        <v>Ref:0528</v>
      </c>
      <c r="K24" s="59" t="str">
        <f t="shared" si="2"/>
        <v>Ref:0504</v>
      </c>
    </row>
    <row r="25" spans="1:11" ht="20.25" customHeight="1" x14ac:dyDescent="0.25">
      <c r="A25" s="65" t="s">
        <v>549</v>
      </c>
      <c r="B25" s="66" t="s">
        <v>1153</v>
      </c>
      <c r="C25" s="70" t="s">
        <v>1140</v>
      </c>
      <c r="D25" s="68" t="s">
        <v>270</v>
      </c>
      <c r="E25" s="71">
        <v>4</v>
      </c>
      <c r="F25" s="78"/>
      <c r="G25" s="19" t="s">
        <v>518</v>
      </c>
      <c r="H25" s="19" t="s">
        <v>310</v>
      </c>
      <c r="I25" s="80" t="str">
        <f t="shared" si="0"/>
        <v>@Ref:0517: St Matthias Stoke Newington</v>
      </c>
      <c r="J25" s="59" t="str">
        <f t="shared" si="1"/>
        <v>Ref:0529</v>
      </c>
      <c r="K25" s="59" t="str">
        <f t="shared" si="2"/>
        <v>Ref:0517</v>
      </c>
    </row>
    <row r="26" spans="1:11" ht="20.25" customHeight="1" x14ac:dyDescent="0.25">
      <c r="A26" s="65" t="s">
        <v>552</v>
      </c>
      <c r="B26" s="66" t="s">
        <v>1154</v>
      </c>
      <c r="C26" s="70"/>
      <c r="D26" s="68" t="s">
        <v>1155</v>
      </c>
      <c r="E26" s="69"/>
      <c r="F26" s="77"/>
      <c r="G26" s="19" t="s">
        <v>503</v>
      </c>
      <c r="H26" s="19" t="s">
        <v>461</v>
      </c>
      <c r="I26" s="80" t="str">
        <f t="shared" si="0"/>
        <v>@Ref:0512: St Michael &amp; All Angels London Fields</v>
      </c>
      <c r="J26" s="59" t="str">
        <f t="shared" si="1"/>
        <v>Ref:0585</v>
      </c>
      <c r="K26" s="59" t="str">
        <f t="shared" si="2"/>
        <v>Ref:0512</v>
      </c>
    </row>
    <row r="27" spans="1:11" ht="20.25" customHeight="1" x14ac:dyDescent="0.25">
      <c r="A27" s="65" t="s">
        <v>555</v>
      </c>
      <c r="B27" s="66" t="s">
        <v>17</v>
      </c>
      <c r="C27" s="67" t="s">
        <v>1139</v>
      </c>
      <c r="D27" s="68" t="s">
        <v>1155</v>
      </c>
      <c r="E27" s="69">
        <v>2</v>
      </c>
      <c r="F27" s="77"/>
      <c r="G27" s="19" t="s">
        <v>521</v>
      </c>
      <c r="H27" s="19" t="s">
        <v>462</v>
      </c>
      <c r="I27" s="80" t="str">
        <f t="shared" si="0"/>
        <v>@Ref:0518: St Michael &amp; All Angels Stoke Newington Common</v>
      </c>
      <c r="J27" s="59" t="str">
        <f t="shared" si="1"/>
        <v>Ref:0586</v>
      </c>
      <c r="K27" s="59" t="str">
        <f t="shared" si="2"/>
        <v>Ref:0518</v>
      </c>
    </row>
    <row r="28" spans="1:11" ht="20.25" customHeight="1" x14ac:dyDescent="0.25">
      <c r="A28" s="65" t="s">
        <v>607</v>
      </c>
      <c r="B28" s="66" t="s">
        <v>339</v>
      </c>
      <c r="C28" s="67" t="s">
        <v>1139</v>
      </c>
      <c r="D28" s="68" t="s">
        <v>246</v>
      </c>
      <c r="E28" s="69">
        <v>3</v>
      </c>
      <c r="F28" s="77"/>
      <c r="G28" s="19" t="s">
        <v>524</v>
      </c>
      <c r="H28" s="19" t="s">
        <v>313</v>
      </c>
      <c r="I28" s="80" t="str">
        <f t="shared" si="0"/>
        <v>@Ref:0519: St Olave Woodberry Down</v>
      </c>
      <c r="J28" s="59" t="str">
        <f t="shared" si="1"/>
        <v>Ref:0601</v>
      </c>
      <c r="K28" s="59" t="str">
        <f t="shared" si="2"/>
        <v>Ref:0519</v>
      </c>
    </row>
    <row r="29" spans="1:11" ht="20.25" customHeight="1" x14ac:dyDescent="0.25">
      <c r="A29" s="65" t="s">
        <v>608</v>
      </c>
      <c r="B29" s="66" t="s">
        <v>1156</v>
      </c>
      <c r="C29" s="67" t="s">
        <v>1139</v>
      </c>
      <c r="D29" s="68" t="s">
        <v>245</v>
      </c>
      <c r="E29" s="69">
        <v>3</v>
      </c>
      <c r="F29" s="77"/>
      <c r="G29" s="19" t="s">
        <v>506</v>
      </c>
      <c r="H29" s="19" t="s">
        <v>13</v>
      </c>
      <c r="I29" s="80" t="str">
        <f t="shared" si="0"/>
        <v>@Ref:0513: St Paul, West Hackney</v>
      </c>
      <c r="J29" s="59" t="str">
        <f t="shared" si="1"/>
        <v>Ref:0604</v>
      </c>
      <c r="K29" s="59" t="str">
        <f t="shared" si="2"/>
        <v>Ref:0513</v>
      </c>
    </row>
    <row r="30" spans="1:11" ht="20.25" customHeight="1" x14ac:dyDescent="0.25">
      <c r="A30" s="65" t="s">
        <v>611</v>
      </c>
      <c r="B30" s="66" t="s">
        <v>1157</v>
      </c>
      <c r="C30" s="67" t="s">
        <v>1139</v>
      </c>
      <c r="D30" s="68"/>
      <c r="E30" s="69"/>
      <c r="F30" s="77"/>
      <c r="G30" s="19" t="s">
        <v>509</v>
      </c>
      <c r="H30" s="19" t="s">
        <v>304</v>
      </c>
      <c r="I30" s="80" t="str">
        <f t="shared" si="0"/>
        <v>@Ref:0514: St Peter De Beauvoir Town</v>
      </c>
      <c r="J30" s="59" t="str">
        <f t="shared" si="1"/>
        <v>Ref:0605</v>
      </c>
      <c r="K30" s="59" t="str">
        <f t="shared" si="2"/>
        <v>Ref:0514</v>
      </c>
    </row>
    <row r="31" spans="1:11" ht="20.25" customHeight="1" x14ac:dyDescent="0.25">
      <c r="A31" s="65" t="s">
        <v>622</v>
      </c>
      <c r="B31" s="66" t="s">
        <v>1158</v>
      </c>
      <c r="C31" s="67"/>
      <c r="D31" s="68" t="s">
        <v>241</v>
      </c>
      <c r="E31" s="69"/>
      <c r="F31" s="77"/>
      <c r="G31" s="19" t="s">
        <v>475</v>
      </c>
      <c r="H31" s="19" t="s">
        <v>286</v>
      </c>
      <c r="I31" s="80" t="str">
        <f t="shared" si="0"/>
        <v>@Ref:0505: St Thomas Clapton Common</v>
      </c>
      <c r="J31" s="59" t="str">
        <f t="shared" si="1"/>
        <v>Ref:0606</v>
      </c>
      <c r="K31" s="59" t="str">
        <f t="shared" si="2"/>
        <v>Ref:0505</v>
      </c>
    </row>
    <row r="32" spans="1:11" ht="20.25" customHeight="1" x14ac:dyDescent="0.25">
      <c r="A32" s="65" t="s">
        <v>625</v>
      </c>
      <c r="B32" s="66" t="s">
        <v>350</v>
      </c>
      <c r="C32" s="67" t="s">
        <v>1139</v>
      </c>
      <c r="D32" s="68" t="s">
        <v>240</v>
      </c>
      <c r="E32" s="69">
        <v>2</v>
      </c>
      <c r="F32" s="77"/>
      <c r="G32" s="19" t="s">
        <v>615</v>
      </c>
      <c r="H32" s="19" t="s">
        <v>616</v>
      </c>
      <c r="I32" s="80" t="str">
        <f t="shared" si="0"/>
        <v>@Ref:The Barnsbury Team: All Saints Caledonian Road</v>
      </c>
      <c r="J32" s="59" t="str">
        <f t="shared" si="1"/>
        <v>Ref:0607</v>
      </c>
      <c r="K32" s="59" t="str">
        <f t="shared" si="2"/>
        <v>@Ref:The Barnsbury Team: All Saints Caledonian Road</v>
      </c>
    </row>
    <row r="33" spans="1:11" ht="20.25" customHeight="1" x14ac:dyDescent="0.25">
      <c r="A33" s="65" t="s">
        <v>628</v>
      </c>
      <c r="B33" s="66" t="s">
        <v>1159</v>
      </c>
      <c r="C33" s="67" t="s">
        <v>1139</v>
      </c>
      <c r="D33" s="68" t="s">
        <v>250</v>
      </c>
      <c r="E33" s="69">
        <v>3</v>
      </c>
      <c r="F33" s="77"/>
      <c r="G33" s="19" t="s">
        <v>625</v>
      </c>
      <c r="H33" s="19" t="s">
        <v>350</v>
      </c>
      <c r="I33" s="80" t="str">
        <f t="shared" si="0"/>
        <v>@Ref:0607: Christ Church Highbury</v>
      </c>
      <c r="J33" s="59" t="str">
        <f t="shared" si="1"/>
        <v>Ref:0610</v>
      </c>
      <c r="K33" s="59" t="str">
        <f t="shared" si="2"/>
        <v>Ref:0607</v>
      </c>
    </row>
    <row r="34" spans="1:11" ht="20.25" customHeight="1" x14ac:dyDescent="0.25">
      <c r="A34" s="65" t="s">
        <v>631</v>
      </c>
      <c r="B34" s="66" t="s">
        <v>1160</v>
      </c>
      <c r="C34" s="67" t="s">
        <v>1140</v>
      </c>
      <c r="D34" s="68" t="s">
        <v>267</v>
      </c>
      <c r="E34" s="69"/>
      <c r="F34" s="77"/>
      <c r="G34" s="19" t="s">
        <v>675</v>
      </c>
      <c r="H34" s="19" t="s">
        <v>384</v>
      </c>
      <c r="I34" s="80" t="str">
        <f t="shared" si="0"/>
        <v>@Ref:0635: Emmanuel Hornsey Road</v>
      </c>
      <c r="J34" s="59" t="str">
        <f t="shared" si="1"/>
        <v>Ref:0612</v>
      </c>
      <c r="K34" s="59" t="str">
        <f t="shared" si="2"/>
        <v>Ref:0635</v>
      </c>
    </row>
    <row r="35" spans="1:11" ht="20.25" customHeight="1" x14ac:dyDescent="0.25">
      <c r="A35" s="65" t="s">
        <v>634</v>
      </c>
      <c r="B35" s="66" t="s">
        <v>1161</v>
      </c>
      <c r="C35" s="67"/>
      <c r="D35" s="68" t="s">
        <v>280</v>
      </c>
      <c r="E35" s="69"/>
      <c r="F35" s="77"/>
      <c r="G35" s="19" t="s">
        <v>646</v>
      </c>
      <c r="H35" s="19" t="s">
        <v>363</v>
      </c>
      <c r="I35" s="80" t="str">
        <f t="shared" si="0"/>
        <v>@Ref:0619: Hope Church Islington</v>
      </c>
      <c r="J35" s="59" t="str">
        <f t="shared" si="1"/>
        <v>Ref:0615</v>
      </c>
      <c r="K35" s="59" t="str">
        <f t="shared" si="2"/>
        <v>Ref:0619</v>
      </c>
    </row>
    <row r="36" spans="1:11" ht="20.25" customHeight="1" x14ac:dyDescent="0.25">
      <c r="A36" s="65" t="s">
        <v>637</v>
      </c>
      <c r="B36" s="66" t="s">
        <v>357</v>
      </c>
      <c r="C36" s="67"/>
      <c r="D36" s="68" t="s">
        <v>242</v>
      </c>
      <c r="E36" s="69"/>
      <c r="F36" s="77"/>
      <c r="G36" s="19" t="s">
        <v>649</v>
      </c>
      <c r="H36" s="19" t="s">
        <v>365</v>
      </c>
      <c r="I36" s="80" t="str">
        <f t="shared" si="0"/>
        <v>@Ref:0620: Nags Head Church Community</v>
      </c>
      <c r="J36" s="59" t="str">
        <f t="shared" si="1"/>
        <v>Ref:0616</v>
      </c>
      <c r="K36" s="59" t="str">
        <f t="shared" si="2"/>
        <v>@Ref:0620: Nags Head Church Community</v>
      </c>
    </row>
    <row r="37" spans="1:11" ht="20.25" customHeight="1" x14ac:dyDescent="0.25">
      <c r="A37" s="65" t="s">
        <v>640</v>
      </c>
      <c r="B37" s="66" t="s">
        <v>1162</v>
      </c>
      <c r="C37" s="67" t="s">
        <v>1139</v>
      </c>
      <c r="D37" s="68" t="s">
        <v>248</v>
      </c>
      <c r="E37" s="88">
        <v>2</v>
      </c>
      <c r="F37" s="77"/>
      <c r="G37" s="19" t="s">
        <v>668</v>
      </c>
      <c r="H37" s="19" t="s">
        <v>378</v>
      </c>
      <c r="I37" s="80" t="str">
        <f t="shared" si="0"/>
        <v>@Ref:0630: Our Most Holy Redeemer Clerkenwell</v>
      </c>
      <c r="J37" s="59" t="str">
        <f t="shared" si="1"/>
        <v>Ref:0617</v>
      </c>
      <c r="K37" s="59" t="str">
        <f t="shared" si="2"/>
        <v>Ref:0630</v>
      </c>
    </row>
    <row r="38" spans="1:11" ht="20.25" customHeight="1" x14ac:dyDescent="0.25">
      <c r="A38" s="65" t="s">
        <v>643</v>
      </c>
      <c r="B38" s="66" t="s">
        <v>361</v>
      </c>
      <c r="C38" s="67" t="s">
        <v>1139</v>
      </c>
      <c r="D38" s="68" t="s">
        <v>244</v>
      </c>
      <c r="E38" s="69"/>
      <c r="F38" s="77"/>
      <c r="G38" s="19" t="s">
        <v>615</v>
      </c>
      <c r="H38" s="19" t="s">
        <v>614</v>
      </c>
      <c r="I38" s="80" t="str">
        <f t="shared" si="0"/>
        <v>@Ref:The Barnsbury Team: St Andrew Thornhill Square</v>
      </c>
      <c r="J38" s="59" t="str">
        <f t="shared" si="1"/>
        <v>Ref:0618</v>
      </c>
      <c r="K38" s="59" t="str">
        <f t="shared" si="2"/>
        <v>@Ref:The Barnsbury Team: St Andrew Thornhill Square</v>
      </c>
    </row>
    <row r="39" spans="1:11" ht="20.25" customHeight="1" x14ac:dyDescent="0.25">
      <c r="A39" s="65" t="s">
        <v>646</v>
      </c>
      <c r="B39" s="66" t="s">
        <v>363</v>
      </c>
      <c r="C39" s="67" t="s">
        <v>1139</v>
      </c>
      <c r="D39" s="68" t="s">
        <v>243</v>
      </c>
      <c r="E39" s="69">
        <v>2</v>
      </c>
      <c r="F39" s="77"/>
      <c r="G39" s="19" t="s">
        <v>608</v>
      </c>
      <c r="H39" s="19" t="s">
        <v>341</v>
      </c>
      <c r="I39" s="80" t="str">
        <f t="shared" si="0"/>
        <v>@Ref:0604: St Andrew Whitehall Park</v>
      </c>
      <c r="J39" s="59" t="str">
        <f t="shared" si="1"/>
        <v>Ref:0619</v>
      </c>
      <c r="K39" s="59" t="str">
        <f t="shared" si="2"/>
        <v>Ref:0604</v>
      </c>
    </row>
    <row r="40" spans="1:11" ht="20.25" customHeight="1" x14ac:dyDescent="0.25">
      <c r="A40" s="65" t="s">
        <v>652</v>
      </c>
      <c r="B40" s="66" t="s">
        <v>1163</v>
      </c>
      <c r="C40" s="67" t="s">
        <v>1139</v>
      </c>
      <c r="D40" s="68" t="s">
        <v>277</v>
      </c>
      <c r="E40" s="69"/>
      <c r="F40" s="77"/>
      <c r="G40" s="19" t="s">
        <v>719</v>
      </c>
      <c r="H40" s="19" t="s">
        <v>718</v>
      </c>
      <c r="I40" s="80" t="str">
        <f t="shared" si="0"/>
        <v>@Ref:Barnsbury: St Andrew's</v>
      </c>
      <c r="J40" s="59" t="str">
        <f t="shared" si="1"/>
        <v>Ref:0622</v>
      </c>
      <c r="K40" s="59" t="str">
        <f t="shared" si="2"/>
        <v>@Ref:Barnsbury: St Andrew's</v>
      </c>
    </row>
    <row r="41" spans="1:11" ht="20.25" customHeight="1" x14ac:dyDescent="0.25">
      <c r="A41" s="65" t="s">
        <v>653</v>
      </c>
      <c r="B41" s="66" t="s">
        <v>1164</v>
      </c>
      <c r="C41" s="67" t="s">
        <v>1139</v>
      </c>
      <c r="D41" s="68"/>
      <c r="E41" s="69">
        <v>3</v>
      </c>
      <c r="F41" s="77"/>
      <c r="G41" s="19" t="s">
        <v>622</v>
      </c>
      <c r="H41" s="19" t="s">
        <v>348</v>
      </c>
      <c r="I41" s="80" t="str">
        <f t="shared" si="0"/>
        <v>@Ref:0606: St Augustine Highbury New Park</v>
      </c>
      <c r="J41" s="59" t="str">
        <f t="shared" si="1"/>
        <v>Ref:0624</v>
      </c>
      <c r="K41" s="59" t="str">
        <f t="shared" si="2"/>
        <v>Ref:0606</v>
      </c>
    </row>
    <row r="42" spans="1:11" ht="20.25" customHeight="1" x14ac:dyDescent="0.25">
      <c r="A42" s="65" t="s">
        <v>656</v>
      </c>
      <c r="B42" s="66" t="s">
        <v>370</v>
      </c>
      <c r="C42" s="67" t="s">
        <v>1140</v>
      </c>
      <c r="D42" s="68" t="s">
        <v>247</v>
      </c>
      <c r="E42" s="72">
        <v>4</v>
      </c>
      <c r="F42" s="79"/>
      <c r="G42" s="19" t="s">
        <v>674</v>
      </c>
      <c r="H42" s="19" t="s">
        <v>382</v>
      </c>
      <c r="I42" s="80" t="str">
        <f t="shared" si="0"/>
        <v>@Ref:0633: St Clement King Square</v>
      </c>
      <c r="J42" s="59" t="str">
        <f t="shared" si="1"/>
        <v>Ref:0625</v>
      </c>
      <c r="K42" s="59" t="str">
        <f t="shared" si="2"/>
        <v>Ref:0633</v>
      </c>
    </row>
    <row r="43" spans="1:11" ht="20.25" customHeight="1" x14ac:dyDescent="0.25">
      <c r="A43" s="65" t="s">
        <v>659</v>
      </c>
      <c r="B43" s="66" t="s">
        <v>1165</v>
      </c>
      <c r="C43" s="67"/>
      <c r="D43" s="68" t="s">
        <v>235</v>
      </c>
      <c r="E43" s="69"/>
      <c r="F43" s="77"/>
      <c r="G43" s="19" t="s">
        <v>628</v>
      </c>
      <c r="H43" s="19" t="s">
        <v>463</v>
      </c>
      <c r="I43" s="80" t="str">
        <f t="shared" si="0"/>
        <v>@Ref:0610: St George &amp; All Saints Tufnell Park</v>
      </c>
      <c r="J43" s="59" t="str">
        <f t="shared" si="1"/>
        <v>Ref:0626</v>
      </c>
      <c r="K43" s="59" t="str">
        <f t="shared" si="2"/>
        <v>Ref:0610</v>
      </c>
    </row>
    <row r="44" spans="1:11" ht="20.25" customHeight="1" x14ac:dyDescent="0.25">
      <c r="A44" s="65" t="s">
        <v>662</v>
      </c>
      <c r="B44" s="66" t="s">
        <v>374</v>
      </c>
      <c r="C44" s="67"/>
      <c r="D44" s="68" t="s">
        <v>239</v>
      </c>
      <c r="E44" s="69"/>
      <c r="F44" s="77"/>
      <c r="G44" s="19" t="s">
        <v>665</v>
      </c>
      <c r="H44" s="19" t="s">
        <v>376</v>
      </c>
      <c r="I44" s="80" t="str">
        <f t="shared" si="0"/>
        <v>@Ref:0629: St James Clerkenwell</v>
      </c>
      <c r="J44" s="59" t="str">
        <f t="shared" si="1"/>
        <v>Ref:0628</v>
      </c>
      <c r="K44" s="59" t="str">
        <f t="shared" si="2"/>
        <v>Ref:0629</v>
      </c>
    </row>
    <row r="45" spans="1:11" ht="20.25" customHeight="1" x14ac:dyDescent="0.25">
      <c r="A45" s="65" t="s">
        <v>665</v>
      </c>
      <c r="B45" s="66" t="s">
        <v>376</v>
      </c>
      <c r="C45" s="67" t="s">
        <v>1139</v>
      </c>
      <c r="D45" s="68" t="s">
        <v>236</v>
      </c>
      <c r="E45" s="69"/>
      <c r="F45" s="77"/>
      <c r="G45" s="19" t="s">
        <v>631</v>
      </c>
      <c r="H45" s="19" t="s">
        <v>353</v>
      </c>
      <c r="I45" s="80" t="str">
        <f t="shared" si="0"/>
        <v>@Ref:0612: St James Islington</v>
      </c>
      <c r="J45" s="59" t="str">
        <f t="shared" si="1"/>
        <v>Ref:0629</v>
      </c>
      <c r="K45" s="59" t="str">
        <f t="shared" si="2"/>
        <v>Ref:0612</v>
      </c>
    </row>
    <row r="46" spans="1:11" ht="20.25" customHeight="1" x14ac:dyDescent="0.25">
      <c r="A46" s="65" t="s">
        <v>668</v>
      </c>
      <c r="B46" s="66" t="s">
        <v>1166</v>
      </c>
      <c r="C46" s="67" t="s">
        <v>1140</v>
      </c>
      <c r="D46" s="68" t="s">
        <v>459</v>
      </c>
      <c r="E46" s="69">
        <v>3</v>
      </c>
      <c r="F46" s="77"/>
      <c r="G46" s="19" t="s">
        <v>652</v>
      </c>
      <c r="H46" s="19" t="s">
        <v>64</v>
      </c>
      <c r="I46" s="80" t="str">
        <f t="shared" si="0"/>
        <v>@Ref:0622: St John the Evangelist, Upper Holloway</v>
      </c>
      <c r="J46" s="59" t="str">
        <f t="shared" si="1"/>
        <v>Ref:0630</v>
      </c>
      <c r="K46" s="59" t="str">
        <f t="shared" si="2"/>
        <v>Ref:0622</v>
      </c>
    </row>
    <row r="47" spans="1:11" ht="20.25" customHeight="1" x14ac:dyDescent="0.25">
      <c r="A47" s="65" t="s">
        <v>671</v>
      </c>
      <c r="B47" s="66" t="s">
        <v>1167</v>
      </c>
      <c r="C47" s="67" t="s">
        <v>1140</v>
      </c>
      <c r="D47" s="68" t="s">
        <v>237</v>
      </c>
      <c r="E47" s="69">
        <v>3</v>
      </c>
      <c r="F47" s="77"/>
      <c r="G47" s="19" t="s">
        <v>634</v>
      </c>
      <c r="H47" s="19" t="s">
        <v>355</v>
      </c>
      <c r="I47" s="80" t="str">
        <f t="shared" si="0"/>
        <v>@Ref:0615: St Jude and St Paul Mildmay Grove</v>
      </c>
      <c r="J47" s="59" t="str">
        <f t="shared" si="1"/>
        <v>Ref:0632</v>
      </c>
      <c r="K47" s="59" t="str">
        <f t="shared" si="2"/>
        <v>Ref:0615</v>
      </c>
    </row>
    <row r="48" spans="1:11" ht="20.25" customHeight="1" x14ac:dyDescent="0.25">
      <c r="A48" s="65" t="s">
        <v>674</v>
      </c>
      <c r="B48" s="66" t="s">
        <v>382</v>
      </c>
      <c r="C48" s="67" t="s">
        <v>1140</v>
      </c>
      <c r="D48" s="68" t="s">
        <v>238</v>
      </c>
      <c r="E48" s="69">
        <v>3</v>
      </c>
      <c r="F48" s="77"/>
      <c r="G48" s="19" t="s">
        <v>637</v>
      </c>
      <c r="H48" s="19" t="s">
        <v>357</v>
      </c>
      <c r="I48" s="80" t="str">
        <f t="shared" si="0"/>
        <v>@Ref:0616: St Luke West Holloway</v>
      </c>
      <c r="J48" s="59" t="str">
        <f t="shared" si="1"/>
        <v>Ref:0633</v>
      </c>
      <c r="K48" s="59" t="str">
        <f t="shared" si="2"/>
        <v>Ref:0616</v>
      </c>
    </row>
    <row r="49" spans="1:11" ht="20.25" customHeight="1" x14ac:dyDescent="0.25">
      <c r="A49" s="65" t="s">
        <v>1178</v>
      </c>
      <c r="B49" s="66" t="s">
        <v>1168</v>
      </c>
      <c r="C49" s="67"/>
      <c r="D49" s="68" t="s">
        <v>1155</v>
      </c>
      <c r="E49" s="69"/>
      <c r="F49" s="77"/>
      <c r="G49" s="19" t="s">
        <v>671</v>
      </c>
      <c r="H49" s="19" t="s">
        <v>380</v>
      </c>
      <c r="I49" s="80" t="str">
        <f t="shared" si="0"/>
        <v>@Ref:0632: St Mark Clerkenwell</v>
      </c>
      <c r="J49" s="59" t="e">
        <f t="shared" si="1"/>
        <v>#N/A</v>
      </c>
      <c r="K49" s="59" t="str">
        <f t="shared" si="2"/>
        <v>Ref:0632</v>
      </c>
    </row>
    <row r="50" spans="1:11" ht="20.25" customHeight="1" x14ac:dyDescent="0.25">
      <c r="A50" s="65" t="s">
        <v>675</v>
      </c>
      <c r="B50" s="66" t="s">
        <v>384</v>
      </c>
      <c r="C50" s="67"/>
      <c r="D50" s="68" t="s">
        <v>1169</v>
      </c>
      <c r="E50" s="72">
        <v>4</v>
      </c>
      <c r="F50" s="79"/>
      <c r="G50" s="19" t="s">
        <v>640</v>
      </c>
      <c r="H50" s="19" t="s">
        <v>359</v>
      </c>
      <c r="I50" s="80" t="str">
        <f t="shared" si="0"/>
        <v>@Ref:0617: St Mark, Tollington Park</v>
      </c>
      <c r="J50" s="59" t="str">
        <f t="shared" si="1"/>
        <v>Ref:0635</v>
      </c>
      <c r="K50" s="59" t="str">
        <f t="shared" si="2"/>
        <v>Ref:0617</v>
      </c>
    </row>
    <row r="51" spans="1:11" ht="20.25" customHeight="1" x14ac:dyDescent="0.25">
      <c r="A51" s="65" t="s">
        <v>679</v>
      </c>
      <c r="B51" s="66" t="s">
        <v>55</v>
      </c>
      <c r="C51" s="67"/>
      <c r="D51" s="68"/>
      <c r="E51" s="69"/>
      <c r="F51" s="77"/>
      <c r="G51" s="19" t="s">
        <v>643</v>
      </c>
      <c r="H51" s="19" t="s">
        <v>361</v>
      </c>
      <c r="I51" s="80" t="str">
        <f t="shared" si="0"/>
        <v>@Ref:0618: St Mary Hornsey Rise</v>
      </c>
      <c r="J51" s="59" t="str">
        <f t="shared" si="1"/>
        <v>Ref:0682</v>
      </c>
      <c r="K51" s="59" t="str">
        <f t="shared" si="2"/>
        <v>Ref:0618</v>
      </c>
    </row>
    <row r="52" spans="1:11" ht="20.25" customHeight="1" x14ac:dyDescent="0.25">
      <c r="A52" s="65" t="s">
        <v>1179</v>
      </c>
      <c r="B52" s="66" t="s">
        <v>1170</v>
      </c>
      <c r="C52" s="67"/>
      <c r="D52" s="68"/>
      <c r="E52" s="69"/>
      <c r="F52" s="77"/>
      <c r="G52" s="19" t="s">
        <v>607</v>
      </c>
      <c r="H52" s="19" t="s">
        <v>339</v>
      </c>
      <c r="I52" s="80" t="str">
        <f t="shared" si="0"/>
        <v>@Ref:0601: St Mary Islington</v>
      </c>
      <c r="J52" s="59" t="e">
        <f t="shared" si="1"/>
        <v>#N/A</v>
      </c>
      <c r="K52" s="59" t="str">
        <f t="shared" si="2"/>
        <v>Ref:0601</v>
      </c>
    </row>
    <row r="53" spans="1:11" ht="20.25" customHeight="1" x14ac:dyDescent="0.25">
      <c r="A53" s="65" t="s">
        <v>734</v>
      </c>
      <c r="B53" s="66" t="s">
        <v>405</v>
      </c>
      <c r="C53" s="67" t="s">
        <v>1140</v>
      </c>
      <c r="D53" s="68" t="s">
        <v>269</v>
      </c>
      <c r="E53" s="69">
        <v>3</v>
      </c>
      <c r="F53" s="77"/>
      <c r="G53" s="19" t="s">
        <v>708</v>
      </c>
      <c r="H53" s="19" t="s">
        <v>393</v>
      </c>
      <c r="I53" s="80" t="str">
        <f t="shared" si="0"/>
        <v>@Ref:0689: St Mary Magdalene Academy</v>
      </c>
      <c r="J53" s="59" t="str">
        <f t="shared" si="1"/>
        <v>Ref:0701</v>
      </c>
      <c r="K53" s="59" t="str">
        <f t="shared" si="2"/>
        <v>@Ref:0689: St Mary Magdalene Academy</v>
      </c>
    </row>
    <row r="54" spans="1:11" ht="20.25" customHeight="1" x14ac:dyDescent="0.25">
      <c r="A54" s="65" t="s">
        <v>738</v>
      </c>
      <c r="B54" s="66" t="s">
        <v>407</v>
      </c>
      <c r="C54" s="67" t="s">
        <v>1140</v>
      </c>
      <c r="D54" s="68" t="s">
        <v>268</v>
      </c>
      <c r="E54" s="72">
        <v>4</v>
      </c>
      <c r="F54" s="79"/>
      <c r="G54" s="19" t="s">
        <v>653</v>
      </c>
      <c r="H54" s="19" t="s">
        <v>368</v>
      </c>
      <c r="I54" s="80" t="str">
        <f t="shared" si="0"/>
        <v>@Ref:0624: St Saviour, Hanley Road</v>
      </c>
      <c r="J54" s="59" t="str">
        <f t="shared" si="1"/>
        <v>Ref:0702</v>
      </c>
      <c r="K54" s="59" t="str">
        <f t="shared" si="2"/>
        <v>Ref:0624</v>
      </c>
    </row>
    <row r="55" spans="1:11" ht="20.25" customHeight="1" x14ac:dyDescent="0.25">
      <c r="A55" s="65" t="s">
        <v>741</v>
      </c>
      <c r="B55" s="66" t="s">
        <v>409</v>
      </c>
      <c r="C55" s="67" t="s">
        <v>1146</v>
      </c>
      <c r="D55" s="68" t="s">
        <v>251</v>
      </c>
      <c r="E55" s="72">
        <v>4</v>
      </c>
      <c r="F55" s="79"/>
      <c r="G55" s="19" t="s">
        <v>656</v>
      </c>
      <c r="H55" s="19" t="s">
        <v>370</v>
      </c>
      <c r="I55" s="80" t="str">
        <f t="shared" si="0"/>
        <v>@Ref:0625: St Silas Pentonville</v>
      </c>
      <c r="J55" s="59" t="str">
        <f t="shared" si="1"/>
        <v>Ref:0705</v>
      </c>
      <c r="K55" s="59" t="str">
        <f t="shared" si="2"/>
        <v>Ref:0625</v>
      </c>
    </row>
    <row r="56" spans="1:11" ht="20.25" customHeight="1" x14ac:dyDescent="0.25">
      <c r="A56" s="65" t="s">
        <v>744</v>
      </c>
      <c r="B56" s="66" t="s">
        <v>47</v>
      </c>
      <c r="C56" s="67" t="s">
        <v>1140</v>
      </c>
      <c r="D56" s="68" t="s">
        <v>279</v>
      </c>
      <c r="E56" s="69"/>
      <c r="F56" s="77"/>
      <c r="G56" s="19" t="s">
        <v>659</v>
      </c>
      <c r="H56" s="19" t="s">
        <v>372</v>
      </c>
      <c r="I56" s="80" t="str">
        <f t="shared" si="0"/>
        <v>@Ref:0626: St Stephen Canonbury</v>
      </c>
      <c r="J56" s="59" t="str">
        <f t="shared" si="1"/>
        <v>Ref:0706</v>
      </c>
      <c r="K56" s="59" t="str">
        <f t="shared" si="2"/>
        <v>Ref:0626</v>
      </c>
    </row>
    <row r="57" spans="1:11" ht="20.25" customHeight="1" x14ac:dyDescent="0.25">
      <c r="A57" s="65" t="s">
        <v>747</v>
      </c>
      <c r="B57" s="66" t="s">
        <v>412</v>
      </c>
      <c r="C57" s="67" t="s">
        <v>1139</v>
      </c>
      <c r="D57" s="68" t="s">
        <v>252</v>
      </c>
      <c r="E57" s="72">
        <v>4</v>
      </c>
      <c r="F57" s="79"/>
      <c r="G57" s="19" t="s">
        <v>662</v>
      </c>
      <c r="H57" s="19" t="s">
        <v>374</v>
      </c>
      <c r="I57" s="80" t="str">
        <f t="shared" si="0"/>
        <v>@Ref:0628: St Thomas Finsbury Park</v>
      </c>
      <c r="J57" s="59" t="str">
        <f t="shared" si="1"/>
        <v>Ref:0707</v>
      </c>
      <c r="K57" s="59" t="str">
        <f t="shared" si="2"/>
        <v>Ref:0628</v>
      </c>
    </row>
    <row r="58" spans="1:11" ht="20.25" customHeight="1" x14ac:dyDescent="0.25">
      <c r="A58" s="65" t="s">
        <v>750</v>
      </c>
      <c r="B58" s="66" t="s">
        <v>414</v>
      </c>
      <c r="C58" s="67" t="s">
        <v>1140</v>
      </c>
      <c r="D58" s="68" t="s">
        <v>260</v>
      </c>
      <c r="E58" s="69">
        <v>3</v>
      </c>
      <c r="F58" s="77"/>
      <c r="G58" s="19" t="s">
        <v>611</v>
      </c>
      <c r="H58" s="19" t="s">
        <v>343</v>
      </c>
      <c r="I58" s="80" t="str">
        <f t="shared" si="0"/>
        <v>@Ref:0605: The Barnsbury Team</v>
      </c>
      <c r="J58" s="59" t="str">
        <f t="shared" si="1"/>
        <v>Ref:0708</v>
      </c>
      <c r="K58" s="59" t="str">
        <f t="shared" si="2"/>
        <v>Ref:0605</v>
      </c>
    </row>
    <row r="59" spans="1:11" ht="20.25" customHeight="1" x14ac:dyDescent="0.25">
      <c r="A59" s="65" t="s">
        <v>762</v>
      </c>
      <c r="B59" s="66" t="s">
        <v>420</v>
      </c>
      <c r="C59" s="67" t="s">
        <v>1140</v>
      </c>
      <c r="D59" s="68" t="s">
        <v>255</v>
      </c>
      <c r="E59" s="69">
        <v>3</v>
      </c>
      <c r="F59" s="77"/>
      <c r="G59" s="19" t="s">
        <v>683</v>
      </c>
      <c r="H59" s="19" t="s">
        <v>391</v>
      </c>
      <c r="I59" s="80" t="str">
        <f t="shared" si="0"/>
        <v>@Ref:0684: The Charterhouse</v>
      </c>
      <c r="J59" s="59" t="str">
        <f t="shared" si="1"/>
        <v>Ref:0709A</v>
      </c>
      <c r="K59" s="59" t="str">
        <f t="shared" si="2"/>
        <v>@Ref:0684: The Charterhouse</v>
      </c>
    </row>
    <row r="60" spans="1:11" ht="20.25" customHeight="1" x14ac:dyDescent="0.25">
      <c r="A60" s="65" t="s">
        <v>765</v>
      </c>
      <c r="B60" s="66" t="s">
        <v>1171</v>
      </c>
      <c r="C60" s="67" t="s">
        <v>1139</v>
      </c>
      <c r="D60" s="68" t="s">
        <v>256</v>
      </c>
      <c r="E60" s="69">
        <v>3</v>
      </c>
      <c r="F60" s="77"/>
      <c r="G60" s="19" t="s">
        <v>615</v>
      </c>
      <c r="H60" s="19" t="s">
        <v>51</v>
      </c>
      <c r="I60" s="80" t="str">
        <f t="shared" si="0"/>
        <v>@Ref:The Barnsbury Team: The Church on the Corner</v>
      </c>
      <c r="J60" s="59" t="str">
        <f t="shared" si="1"/>
        <v>Ref:0709B</v>
      </c>
      <c r="K60" s="59" t="str">
        <f t="shared" si="2"/>
        <v>@Ref:The Barnsbury Team: The Church on the Corner</v>
      </c>
    </row>
    <row r="61" spans="1:11" ht="20.25" customHeight="1" x14ac:dyDescent="0.25">
      <c r="A61" s="65" t="s">
        <v>766</v>
      </c>
      <c r="B61" s="66" t="s">
        <v>1172</v>
      </c>
      <c r="C61" s="67" t="s">
        <v>1139</v>
      </c>
      <c r="D61" s="68" t="s">
        <v>1030</v>
      </c>
      <c r="E61" s="69">
        <v>2</v>
      </c>
      <c r="F61" s="77"/>
      <c r="G61" s="19" t="s">
        <v>680</v>
      </c>
      <c r="H61" s="19" t="s">
        <v>389</v>
      </c>
      <c r="I61" s="80" t="str">
        <f t="shared" si="0"/>
        <v>@Ref:0683: The Priory Church of St John</v>
      </c>
      <c r="J61" s="59" t="str">
        <f t="shared" si="1"/>
        <v>Ref:0710</v>
      </c>
      <c r="K61" s="59" t="str">
        <f t="shared" si="2"/>
        <v>@Ref:0683: The Priory Church of St John</v>
      </c>
    </row>
    <row r="62" spans="1:11" ht="20.25" customHeight="1" x14ac:dyDescent="0.25">
      <c r="A62" s="65" t="s">
        <v>769</v>
      </c>
      <c r="B62" s="66" t="s">
        <v>1173</v>
      </c>
      <c r="C62" s="67" t="s">
        <v>1139</v>
      </c>
      <c r="D62" s="68" t="s">
        <v>278</v>
      </c>
      <c r="E62" s="69">
        <v>3</v>
      </c>
      <c r="F62" s="77"/>
      <c r="G62" s="19" t="s">
        <v>679</v>
      </c>
      <c r="H62" s="19" t="s">
        <v>55</v>
      </c>
      <c r="I62" s="80" t="str">
        <f t="shared" si="0"/>
        <v>@Ref:0682: Trinity Church Islington</v>
      </c>
      <c r="J62" s="59" t="str">
        <f t="shared" si="1"/>
        <v>Ref:0711</v>
      </c>
      <c r="K62" s="59" t="str">
        <f t="shared" si="2"/>
        <v>Ref:0682</v>
      </c>
    </row>
    <row r="63" spans="1:11" ht="20.25" customHeight="1" x14ac:dyDescent="0.25">
      <c r="A63" s="65" t="s">
        <v>772</v>
      </c>
      <c r="B63" s="66" t="s">
        <v>1174</v>
      </c>
      <c r="C63" s="67" t="s">
        <v>1146</v>
      </c>
      <c r="D63" s="68" t="s">
        <v>259</v>
      </c>
      <c r="E63" s="69">
        <v>2</v>
      </c>
      <c r="F63" s="77"/>
      <c r="G63" s="19" t="s">
        <v>766</v>
      </c>
      <c r="H63" s="19" t="s">
        <v>424</v>
      </c>
      <c r="I63" s="80" t="str">
        <f t="shared" si="0"/>
        <v>@Ref:0710: All Hallows Bromley by Bow</v>
      </c>
      <c r="J63" s="59" t="str">
        <f t="shared" si="1"/>
        <v>Ref:0713</v>
      </c>
      <c r="K63" s="59" t="str">
        <f t="shared" si="2"/>
        <v>Ref:0710</v>
      </c>
    </row>
    <row r="64" spans="1:11" ht="20.25" customHeight="1" x14ac:dyDescent="0.25">
      <c r="A64" s="65" t="s">
        <v>775</v>
      </c>
      <c r="B64" s="66" t="s">
        <v>1175</v>
      </c>
      <c r="C64" s="67" t="s">
        <v>1139</v>
      </c>
      <c r="D64" s="68" t="s">
        <v>257</v>
      </c>
      <c r="E64" s="69">
        <v>2</v>
      </c>
      <c r="F64" s="77"/>
      <c r="G64" s="19" t="s">
        <v>754</v>
      </c>
      <c r="H64" s="19" t="s">
        <v>753</v>
      </c>
      <c r="I64" s="80" t="str">
        <f t="shared" si="0"/>
        <v>@Ref:Poplar Team Ministry: All Saints Poplar</v>
      </c>
      <c r="J64" s="59" t="str">
        <f t="shared" si="1"/>
        <v>Ref:0714</v>
      </c>
      <c r="K64" s="59" t="str">
        <f t="shared" si="2"/>
        <v>@Ref:Poplar Team Ministry: All Saints Poplar</v>
      </c>
    </row>
    <row r="65" spans="1:11" ht="20.25" customHeight="1" x14ac:dyDescent="0.25">
      <c r="A65" s="65" t="s">
        <v>781</v>
      </c>
      <c r="B65" s="66" t="s">
        <v>1176</v>
      </c>
      <c r="C65" s="67" t="s">
        <v>1146</v>
      </c>
      <c r="D65" s="68" t="s">
        <v>1059</v>
      </c>
      <c r="E65" s="69">
        <v>2</v>
      </c>
      <c r="F65" s="77"/>
      <c r="G65" s="19" t="s">
        <v>758</v>
      </c>
      <c r="H65" s="19" t="s">
        <v>418</v>
      </c>
      <c r="I65" s="80" t="str">
        <f t="shared" si="0"/>
        <v>@Ref:0709: Christ Church and St John w St Luke, Isle of Dogs</v>
      </c>
      <c r="J65" s="59" t="str">
        <f t="shared" si="1"/>
        <v>Ref:0715</v>
      </c>
      <c r="K65" s="59" t="str">
        <f t="shared" si="2"/>
        <v>@Ref:0709: Christ Church and St John w St Luke, Isle of Dogs</v>
      </c>
    </row>
    <row r="66" spans="1:11" ht="20.25" customHeight="1" x14ac:dyDescent="0.25">
      <c r="A66" s="65" t="s">
        <v>782</v>
      </c>
      <c r="B66" s="66" t="s">
        <v>434</v>
      </c>
      <c r="C66" s="67" t="s">
        <v>1140</v>
      </c>
      <c r="D66" s="68" t="s">
        <v>264</v>
      </c>
      <c r="E66" s="69">
        <v>4</v>
      </c>
      <c r="F66" s="77"/>
      <c r="G66" s="19" t="s">
        <v>762</v>
      </c>
      <c r="H66" s="19" t="s">
        <v>420</v>
      </c>
      <c r="I66" s="80" t="str">
        <f t="shared" si="0"/>
        <v>@Ref:0709A: Christ Church Isle of Dogs</v>
      </c>
      <c r="J66" s="59" t="str">
        <f t="shared" si="1"/>
        <v>Ref:0716</v>
      </c>
      <c r="K66" s="59" t="str">
        <f t="shared" si="2"/>
        <v>Ref:0709A</v>
      </c>
    </row>
    <row r="67" spans="1:11" ht="20.25" customHeight="1" x14ac:dyDescent="0.25">
      <c r="A67" s="65" t="s">
        <v>785</v>
      </c>
      <c r="B67" s="66" t="s">
        <v>436</v>
      </c>
      <c r="C67" s="67" t="s">
        <v>1140</v>
      </c>
      <c r="D67" s="68" t="s">
        <v>258</v>
      </c>
      <c r="E67" s="69">
        <v>4</v>
      </c>
      <c r="F67" s="77"/>
      <c r="G67" s="19" t="s">
        <v>797</v>
      </c>
      <c r="H67" s="19" t="s">
        <v>443</v>
      </c>
      <c r="I67" s="80" t="str">
        <f t="shared" ref="I67:I89" si="3">"@" &amp; G67 &amp; ": " &amp; H67</f>
        <v>@Ref:0724: Christ Church Spitalfields</v>
      </c>
      <c r="J67" s="59" t="str">
        <f t="shared" ref="J67:J72" si="4">VLOOKUP(A67,G:G, 1, FALSE)</f>
        <v>Ref:0717</v>
      </c>
      <c r="K67" s="59" t="str">
        <f t="shared" ref="K67:K72" si="5">IFERROR(VLOOKUP(G67,A:A, 1, FALSE), I67)</f>
        <v>Ref:0724</v>
      </c>
    </row>
    <row r="68" spans="1:11" ht="20.25" customHeight="1" x14ac:dyDescent="0.25">
      <c r="A68" s="65" t="s">
        <v>788</v>
      </c>
      <c r="B68" s="66" t="s">
        <v>438</v>
      </c>
      <c r="C68" s="67" t="s">
        <v>1139</v>
      </c>
      <c r="D68" s="68" t="s">
        <v>262</v>
      </c>
      <c r="E68" s="69">
        <v>1</v>
      </c>
      <c r="F68" s="77"/>
      <c r="G68" s="19" t="s">
        <v>807</v>
      </c>
      <c r="H68" s="19" t="s">
        <v>447</v>
      </c>
      <c r="I68" s="80" t="str">
        <f t="shared" si="3"/>
        <v>@Ref:0778: HMS President</v>
      </c>
      <c r="J68" s="59" t="str">
        <f t="shared" si="4"/>
        <v>Ref:0718</v>
      </c>
      <c r="K68" s="59" t="str">
        <f t="shared" si="5"/>
        <v>@Ref:0778: HMS President</v>
      </c>
    </row>
    <row r="69" spans="1:11" ht="20.25" customHeight="1" x14ac:dyDescent="0.25">
      <c r="A69" s="65" t="s">
        <v>791</v>
      </c>
      <c r="B69" s="66" t="s">
        <v>1177</v>
      </c>
      <c r="C69" s="67" t="s">
        <v>1140</v>
      </c>
      <c r="D69" s="68" t="s">
        <v>266</v>
      </c>
      <c r="E69" s="69">
        <v>4</v>
      </c>
      <c r="F69" s="77"/>
      <c r="G69" s="19" t="s">
        <v>854</v>
      </c>
      <c r="H69" s="19" t="s">
        <v>853</v>
      </c>
      <c r="I69" s="80" t="str">
        <f t="shared" si="3"/>
        <v>@Ref:Barts Health NHS Trust: Mile End Hospital</v>
      </c>
      <c r="J69" s="59" t="str">
        <f t="shared" si="4"/>
        <v>Ref:0719</v>
      </c>
      <c r="K69" s="59" t="str">
        <f t="shared" si="5"/>
        <v>@Ref:Barts Health NHS Trust: Mile End Hospital</v>
      </c>
    </row>
    <row r="70" spans="1:11" ht="20.25" customHeight="1" x14ac:dyDescent="0.25">
      <c r="A70" s="65" t="s">
        <v>794</v>
      </c>
      <c r="B70" s="66" t="s">
        <v>441</v>
      </c>
      <c r="C70" s="67" t="s">
        <v>1140</v>
      </c>
      <c r="D70" s="68" t="s">
        <v>253</v>
      </c>
      <c r="E70" s="72">
        <v>4</v>
      </c>
      <c r="F70" s="79"/>
      <c r="G70" s="19" t="s">
        <v>750</v>
      </c>
      <c r="H70" s="19" t="s">
        <v>414</v>
      </c>
      <c r="I70" s="80" t="str">
        <f t="shared" si="3"/>
        <v>@Ref:0708: Poplar Team Ministry</v>
      </c>
      <c r="J70" s="59" t="str">
        <f t="shared" si="4"/>
        <v>Ref:0721</v>
      </c>
      <c r="K70" s="59" t="str">
        <f t="shared" si="5"/>
        <v>Ref:0708</v>
      </c>
    </row>
    <row r="71" spans="1:11" ht="20.25" customHeight="1" x14ac:dyDescent="0.25">
      <c r="A71" s="65" t="s">
        <v>797</v>
      </c>
      <c r="B71" s="66" t="s">
        <v>443</v>
      </c>
      <c r="C71" s="67" t="s">
        <v>1139</v>
      </c>
      <c r="D71" s="68" t="s">
        <v>263</v>
      </c>
      <c r="E71" s="69">
        <v>1</v>
      </c>
      <c r="F71" s="77"/>
      <c r="G71" s="19" t="s">
        <v>775</v>
      </c>
      <c r="H71" s="19" t="s">
        <v>429</v>
      </c>
      <c r="I71" s="80" t="str">
        <f t="shared" si="3"/>
        <v>@Ref:0714: St Anne w St Peter Limehouse</v>
      </c>
      <c r="J71" s="59" t="str">
        <f t="shared" si="4"/>
        <v>Ref:0724</v>
      </c>
      <c r="K71" s="59" t="str">
        <f t="shared" si="5"/>
        <v>Ref:0714</v>
      </c>
    </row>
    <row r="72" spans="1:11" ht="20.25" customHeight="1" x14ac:dyDescent="0.25">
      <c r="A72" s="65" t="s">
        <v>800</v>
      </c>
      <c r="B72" s="66" t="s">
        <v>465</v>
      </c>
      <c r="C72" s="67" t="s">
        <v>1139</v>
      </c>
      <c r="D72" s="68" t="s">
        <v>1155</v>
      </c>
      <c r="E72" s="69"/>
      <c r="F72" s="77"/>
      <c r="G72" s="19" t="s">
        <v>778</v>
      </c>
      <c r="H72" s="19" t="s">
        <v>40</v>
      </c>
      <c r="I72" s="80" t="str">
        <f t="shared" si="3"/>
        <v>@Ref:0714A: St Anne, Limehouse</v>
      </c>
      <c r="J72" s="59" t="str">
        <f t="shared" si="4"/>
        <v>Ref:0776</v>
      </c>
      <c r="K72" s="59" t="str">
        <f t="shared" si="5"/>
        <v>@Ref:0714A: St Anne, Limehouse</v>
      </c>
    </row>
    <row r="73" spans="1:11" ht="20.25" customHeight="1" x14ac:dyDescent="0.25">
      <c r="G73" s="19" t="s">
        <v>738</v>
      </c>
      <c r="H73" s="19" t="s">
        <v>407</v>
      </c>
      <c r="I73" s="80" t="str">
        <f t="shared" si="3"/>
        <v>@Ref:0702: St Barnabas Bethnal Green</v>
      </c>
    </row>
    <row r="74" spans="1:11" ht="20.25" customHeight="1" x14ac:dyDescent="0.25">
      <c r="G74" s="19" t="s">
        <v>791</v>
      </c>
      <c r="H74" s="19" t="s">
        <v>464</v>
      </c>
      <c r="I74" s="80" t="str">
        <f t="shared" si="3"/>
        <v>@Ref:0719: St Dunstan &amp; All Saints Stepney</v>
      </c>
    </row>
    <row r="75" spans="1:11" ht="20.25" customHeight="1" x14ac:dyDescent="0.25">
      <c r="G75" s="19" t="s">
        <v>781</v>
      </c>
      <c r="H75" s="19" t="s">
        <v>432</v>
      </c>
      <c r="I75" s="80" t="str">
        <f t="shared" si="3"/>
        <v>@Ref:0715: St George-in-the-East</v>
      </c>
    </row>
    <row r="76" spans="1:11" ht="20.25" customHeight="1" x14ac:dyDescent="0.25">
      <c r="G76" s="19" t="s">
        <v>741</v>
      </c>
      <c r="H76" s="19" t="s">
        <v>409</v>
      </c>
      <c r="I76" s="80" t="str">
        <f t="shared" si="3"/>
        <v>@Ref:0705: St James-the-Less Bethnal Green</v>
      </c>
    </row>
    <row r="77" spans="1:11" ht="20.25" customHeight="1" x14ac:dyDescent="0.25">
      <c r="G77" s="19" t="s">
        <v>744</v>
      </c>
      <c r="H77" s="19" t="s">
        <v>48</v>
      </c>
      <c r="I77" s="80" t="str">
        <f t="shared" si="3"/>
        <v>@Ref:0706: St John on Bethnal Green</v>
      </c>
    </row>
    <row r="78" spans="1:11" ht="20.25" customHeight="1" x14ac:dyDescent="0.25">
      <c r="G78" s="19" t="s">
        <v>765</v>
      </c>
      <c r="H78" s="19" t="s">
        <v>422</v>
      </c>
      <c r="I78" s="80" t="str">
        <f t="shared" si="3"/>
        <v>@Ref:0709B: St Luke Millwall</v>
      </c>
    </row>
    <row r="79" spans="1:11" ht="20.25" customHeight="1" x14ac:dyDescent="0.25">
      <c r="G79" s="19" t="s">
        <v>862</v>
      </c>
      <c r="H79" s="19" t="s">
        <v>861</v>
      </c>
      <c r="I79" s="80" t="str">
        <f t="shared" si="3"/>
        <v>@Ref:0794: St Margaret's House</v>
      </c>
    </row>
    <row r="80" spans="1:11" ht="20.25" customHeight="1" x14ac:dyDescent="0.25">
      <c r="G80" s="19" t="s">
        <v>769</v>
      </c>
      <c r="H80" s="19" t="s">
        <v>35</v>
      </c>
      <c r="I80" s="80" t="str">
        <f t="shared" si="3"/>
        <v>@Ref:0711: St Mary and Holy Trinity, Bow</v>
      </c>
    </row>
    <row r="81" spans="7:9" ht="20.25" customHeight="1" x14ac:dyDescent="0.25">
      <c r="G81" s="19" t="s">
        <v>782</v>
      </c>
      <c r="H81" s="19" t="s">
        <v>434</v>
      </c>
      <c r="I81" s="80" t="str">
        <f t="shared" si="3"/>
        <v>@Ref:0716: St Mary Cable Street</v>
      </c>
    </row>
    <row r="82" spans="7:9" ht="20.25" customHeight="1" x14ac:dyDescent="0.25">
      <c r="G82" s="19" t="s">
        <v>734</v>
      </c>
      <c r="H82" s="19" t="s">
        <v>405</v>
      </c>
      <c r="I82" s="80" t="str">
        <f t="shared" si="3"/>
        <v>@Ref:0701: St Matthew Bethnal Green</v>
      </c>
    </row>
    <row r="83" spans="7:9" ht="20.25" customHeight="1" x14ac:dyDescent="0.25">
      <c r="G83" s="19" t="s">
        <v>754</v>
      </c>
      <c r="H83" s="19" t="s">
        <v>755</v>
      </c>
      <c r="I83" s="80" t="str">
        <f t="shared" si="3"/>
        <v>@Ref:Poplar Team Ministry: St Nicholas Aberfeldy</v>
      </c>
    </row>
    <row r="84" spans="7:9" ht="20.25" customHeight="1" x14ac:dyDescent="0.25">
      <c r="G84" s="19" t="s">
        <v>772</v>
      </c>
      <c r="H84" s="19" t="s">
        <v>427</v>
      </c>
      <c r="I84" s="80" t="str">
        <f t="shared" si="3"/>
        <v>@Ref:0713: St Paul and St Mark Old Ford</v>
      </c>
    </row>
    <row r="85" spans="7:9" ht="20.25" customHeight="1" x14ac:dyDescent="0.25">
      <c r="G85" s="19" t="s">
        <v>794</v>
      </c>
      <c r="H85" s="19" t="s">
        <v>441</v>
      </c>
      <c r="I85" s="80" t="str">
        <f t="shared" si="3"/>
        <v>@Ref:0721: St Paul Bow Common</v>
      </c>
    </row>
    <row r="86" spans="7:9" ht="20.25" customHeight="1" x14ac:dyDescent="0.25">
      <c r="G86" s="19" t="s">
        <v>788</v>
      </c>
      <c r="H86" s="19" t="s">
        <v>438</v>
      </c>
      <c r="I86" s="80" t="str">
        <f t="shared" si="3"/>
        <v>@Ref:0718: St Paul Shadwell</v>
      </c>
    </row>
    <row r="87" spans="7:9" ht="20.25" customHeight="1" x14ac:dyDescent="0.25">
      <c r="G87" s="19" t="s">
        <v>747</v>
      </c>
      <c r="H87" s="19" t="s">
        <v>412</v>
      </c>
      <c r="I87" s="80" t="str">
        <f t="shared" si="3"/>
        <v>@Ref:0707: St Peter Bethnal Green</v>
      </c>
    </row>
    <row r="88" spans="7:9" ht="20.25" customHeight="1" x14ac:dyDescent="0.25">
      <c r="G88" s="19" t="s">
        <v>785</v>
      </c>
      <c r="H88" s="19" t="s">
        <v>436</v>
      </c>
      <c r="I88" s="80" t="str">
        <f t="shared" si="3"/>
        <v>@Ref:0717: St Peter London Docks</v>
      </c>
    </row>
    <row r="89" spans="7:9" ht="20.25" customHeight="1" x14ac:dyDescent="0.25">
      <c r="G89" s="19" t="s">
        <v>800</v>
      </c>
      <c r="H89" s="19" t="s">
        <v>465</v>
      </c>
      <c r="I89" s="80" t="str">
        <f t="shared" si="3"/>
        <v>@Ref:0776: St Peter's Barge Canary Wharf</v>
      </c>
    </row>
    <row r="90" spans="7:9" ht="20.25" customHeight="1" x14ac:dyDescent="0.25">
      <c r="G90" s="73"/>
      <c r="H90" s="73"/>
    </row>
  </sheetData>
  <autoFilter ref="A1:L72"/>
  <conditionalFormatting sqref="G1:G88 G90:G1048576">
    <cfRule type="expression" dxfId="3" priority="4">
      <formula>_xlfn.ISFORMULA(G1)</formula>
    </cfRule>
  </conditionalFormatting>
  <conditionalFormatting sqref="G89">
    <cfRule type="expression" dxfId="2" priority="3">
      <formula>_xlfn.ISFORMULA(G89)</formula>
    </cfRule>
  </conditionalFormatting>
  <conditionalFormatting sqref="H1:I2 H90:I1048576 H3:H88 I3:I89">
    <cfRule type="expression" dxfId="1" priority="2">
      <formula>_xlfn.ISFORMULA(H1)</formula>
    </cfRule>
  </conditionalFormatting>
  <conditionalFormatting sqref="H89">
    <cfRule type="expression" dxfId="0" priority="1">
      <formula>_xlfn.ISFORMULA(H89)</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462"/>
  <sheetViews>
    <sheetView topLeftCell="A121" workbookViewId="0">
      <selection activeCell="A141" sqref="A141"/>
    </sheetView>
  </sheetViews>
  <sheetFormatPr defaultRowHeight="15" x14ac:dyDescent="0.25"/>
  <cols>
    <col min="1" max="1" width="69.85546875" bestFit="1" customWidth="1"/>
    <col min="2" max="2" width="11.42578125" bestFit="1" customWidth="1"/>
    <col min="3" max="3" width="12" bestFit="1" customWidth="1"/>
    <col min="4" max="4" width="12.7109375" bestFit="1" customWidth="1"/>
    <col min="5" max="5" width="54.28515625" bestFit="1" customWidth="1"/>
    <col min="6" max="6" width="21.5703125" bestFit="1" customWidth="1"/>
  </cols>
  <sheetData>
    <row r="1" spans="1:7" x14ac:dyDescent="0.25">
      <c r="A1" t="s">
        <v>1201</v>
      </c>
      <c r="B1" t="s">
        <v>204</v>
      </c>
      <c r="C1" t="s">
        <v>202</v>
      </c>
      <c r="D1" t="s">
        <v>1202</v>
      </c>
      <c r="E1" t="s">
        <v>1203</v>
      </c>
      <c r="F1" t="s">
        <v>1204</v>
      </c>
    </row>
    <row r="2" spans="1:7" x14ac:dyDescent="0.25">
      <c r="A2" t="s">
        <v>1205</v>
      </c>
      <c r="B2" t="s">
        <v>2404</v>
      </c>
      <c r="C2">
        <v>51.467159500000001</v>
      </c>
      <c r="D2">
        <v>-0.22876940000000001</v>
      </c>
      <c r="E2" t="s">
        <v>1206</v>
      </c>
      <c r="F2">
        <v>1</v>
      </c>
      <c r="G2" t="str">
        <f>IFERROR(VLOOKUP(B2, Data!H:H, 1, FALSE), "")</f>
        <v/>
      </c>
    </row>
    <row r="3" spans="1:7" x14ac:dyDescent="0.25">
      <c r="A3" t="s">
        <v>1207</v>
      </c>
      <c r="B3" t="s">
        <v>2405</v>
      </c>
      <c r="C3">
        <v>51.4685481</v>
      </c>
      <c r="D3">
        <v>-0.21176159999999999</v>
      </c>
      <c r="E3" t="s">
        <v>1206</v>
      </c>
      <c r="F3">
        <v>1</v>
      </c>
      <c r="G3" t="str">
        <f>IFERROR(VLOOKUP(B3, Data!H:H, 1, FALSE), "")</f>
        <v/>
      </c>
    </row>
    <row r="4" spans="1:7" x14ac:dyDescent="0.25">
      <c r="A4" t="s">
        <v>1208</v>
      </c>
      <c r="B4" t="s">
        <v>2406</v>
      </c>
      <c r="C4">
        <v>51.442587000000003</v>
      </c>
      <c r="D4">
        <v>-0.19813919999999999</v>
      </c>
      <c r="E4" t="s">
        <v>1206</v>
      </c>
      <c r="F4">
        <v>1</v>
      </c>
      <c r="G4" t="str">
        <f>IFERROR(VLOOKUP(B4, Data!H:H, 1, FALSE), "")</f>
        <v/>
      </c>
    </row>
    <row r="5" spans="1:7" x14ac:dyDescent="0.25">
      <c r="A5" t="s">
        <v>1209</v>
      </c>
      <c r="B5" t="s">
        <v>2407</v>
      </c>
      <c r="C5">
        <v>51.451305499999997</v>
      </c>
      <c r="D5">
        <v>-0.21614320000000001</v>
      </c>
      <c r="E5" t="s">
        <v>1210</v>
      </c>
      <c r="F5">
        <v>1</v>
      </c>
      <c r="G5" t="str">
        <f>IFERROR(VLOOKUP(B5, Data!H:H, 1, FALSE), "")</f>
        <v/>
      </c>
    </row>
    <row r="6" spans="1:7" x14ac:dyDescent="0.25">
      <c r="A6" t="s">
        <v>1211</v>
      </c>
      <c r="B6" t="s">
        <v>2408</v>
      </c>
      <c r="C6">
        <v>51.543022800000003</v>
      </c>
      <c r="D6">
        <v>-0.47334039999999999</v>
      </c>
      <c r="E6" t="s">
        <v>1206</v>
      </c>
      <c r="F6">
        <v>1</v>
      </c>
      <c r="G6" t="str">
        <f>IFERROR(VLOOKUP(B6, Data!H:H, 1, FALSE), "")</f>
        <v/>
      </c>
    </row>
    <row r="7" spans="1:7" x14ac:dyDescent="0.25">
      <c r="A7" t="s">
        <v>1212</v>
      </c>
      <c r="B7" t="s">
        <v>2409</v>
      </c>
      <c r="C7">
        <v>51.436490800000001</v>
      </c>
      <c r="D7">
        <v>-0.1972458</v>
      </c>
      <c r="F7">
        <v>1</v>
      </c>
      <c r="G7" t="str">
        <f>IFERROR(VLOOKUP(B7, Data!H:H, 1, FALSE), "")</f>
        <v/>
      </c>
    </row>
    <row r="8" spans="1:7" x14ac:dyDescent="0.25">
      <c r="A8" t="s">
        <v>1213</v>
      </c>
      <c r="B8" t="s">
        <v>2410</v>
      </c>
      <c r="C8">
        <v>51.545940399999999</v>
      </c>
      <c r="D8">
        <v>-0.47966350000000002</v>
      </c>
      <c r="E8" t="s">
        <v>1206</v>
      </c>
      <c r="F8">
        <v>1</v>
      </c>
      <c r="G8" t="str">
        <f>IFERROR(VLOOKUP(B8, Data!H:H, 1, FALSE), "")</f>
        <v/>
      </c>
    </row>
    <row r="9" spans="1:7" x14ac:dyDescent="0.25">
      <c r="A9" t="s">
        <v>1214</v>
      </c>
      <c r="B9" t="s">
        <v>2411</v>
      </c>
      <c r="C9">
        <v>51.442897799999997</v>
      </c>
      <c r="D9">
        <v>-4.4571E-2</v>
      </c>
      <c r="F9">
        <v>1</v>
      </c>
      <c r="G9" t="str">
        <f>IFERROR(VLOOKUP(B9, Data!H:H, 1, FALSE), "")</f>
        <v/>
      </c>
    </row>
    <row r="10" spans="1:7" x14ac:dyDescent="0.25">
      <c r="A10" t="s">
        <v>1215</v>
      </c>
      <c r="B10" t="s">
        <v>2412</v>
      </c>
      <c r="C10">
        <v>51.417678600000002</v>
      </c>
      <c r="D10">
        <v>-0.285501</v>
      </c>
      <c r="F10">
        <v>1</v>
      </c>
      <c r="G10" t="str">
        <f>IFERROR(VLOOKUP(B10, Data!H:H, 1, FALSE), "")</f>
        <v/>
      </c>
    </row>
    <row r="11" spans="1:7" x14ac:dyDescent="0.25">
      <c r="A11" t="s">
        <v>1216</v>
      </c>
      <c r="B11" t="s">
        <v>2413</v>
      </c>
      <c r="C11">
        <v>51.4336299</v>
      </c>
      <c r="D11">
        <v>-0.25883319999999999</v>
      </c>
      <c r="E11" t="s">
        <v>1206</v>
      </c>
      <c r="F11">
        <v>1</v>
      </c>
      <c r="G11" t="str">
        <f>IFERROR(VLOOKUP(B11, Data!H:H, 1, FALSE), "")</f>
        <v/>
      </c>
    </row>
    <row r="12" spans="1:7" x14ac:dyDescent="0.25">
      <c r="A12" t="s">
        <v>1217</v>
      </c>
      <c r="B12" t="s">
        <v>2414</v>
      </c>
      <c r="C12">
        <v>51.472134799999999</v>
      </c>
      <c r="D12">
        <v>-0.28225640000000002</v>
      </c>
      <c r="E12" t="s">
        <v>1206</v>
      </c>
      <c r="F12">
        <v>1</v>
      </c>
      <c r="G12" t="str">
        <f>IFERROR(VLOOKUP(B12, Data!H:H, 1, FALSE), "")</f>
        <v/>
      </c>
    </row>
    <row r="13" spans="1:7" x14ac:dyDescent="0.25">
      <c r="A13" t="s">
        <v>1218</v>
      </c>
      <c r="B13" t="s">
        <v>2415</v>
      </c>
      <c r="C13">
        <v>51.416666800000002</v>
      </c>
      <c r="D13">
        <v>-0.2972822</v>
      </c>
      <c r="F13">
        <v>1</v>
      </c>
      <c r="G13" t="str">
        <f>IFERROR(VLOOKUP(B13, Data!H:H, 1, FALSE), "")</f>
        <v/>
      </c>
    </row>
    <row r="14" spans="1:7" x14ac:dyDescent="0.25">
      <c r="A14" t="s">
        <v>1219</v>
      </c>
      <c r="B14" t="s">
        <v>2416</v>
      </c>
      <c r="C14">
        <v>51.578417899999998</v>
      </c>
      <c r="D14">
        <v>0.187751</v>
      </c>
      <c r="F14">
        <v>1</v>
      </c>
      <c r="G14" t="str">
        <f>IFERROR(VLOOKUP(B14, Data!H:H, 1, FALSE), "")</f>
        <v/>
      </c>
    </row>
    <row r="15" spans="1:7" x14ac:dyDescent="0.25">
      <c r="A15" t="s">
        <v>1220</v>
      </c>
      <c r="B15" t="s">
        <v>2417</v>
      </c>
      <c r="C15">
        <v>51.578465700000002</v>
      </c>
      <c r="D15">
        <v>0.20824500000000001</v>
      </c>
      <c r="F15">
        <v>1</v>
      </c>
      <c r="G15" t="str">
        <f>IFERROR(VLOOKUP(B15, Data!H:H, 1, FALSE), "")</f>
        <v/>
      </c>
    </row>
    <row r="16" spans="1:7" x14ac:dyDescent="0.25">
      <c r="A16" t="s">
        <v>1221</v>
      </c>
      <c r="B16" t="s">
        <v>2418</v>
      </c>
      <c r="C16">
        <v>51.580591599999998</v>
      </c>
      <c r="D16">
        <v>0.2096896</v>
      </c>
      <c r="F16">
        <v>1</v>
      </c>
      <c r="G16" t="str">
        <f>IFERROR(VLOOKUP(B16, Data!H:H, 1, FALSE), "")</f>
        <v/>
      </c>
    </row>
    <row r="17" spans="1:7" x14ac:dyDescent="0.25">
      <c r="A17" t="s">
        <v>1222</v>
      </c>
      <c r="B17" t="s">
        <v>2419</v>
      </c>
      <c r="C17">
        <v>51.501705999999999</v>
      </c>
      <c r="D17">
        <v>-0.45887620000000001</v>
      </c>
      <c r="F17">
        <v>1</v>
      </c>
      <c r="G17" t="str">
        <f>IFERROR(VLOOKUP(B17, Data!H:H, 1, FALSE), "")</f>
        <v/>
      </c>
    </row>
    <row r="18" spans="1:7" x14ac:dyDescent="0.25">
      <c r="A18" t="s">
        <v>1223</v>
      </c>
      <c r="B18" t="s">
        <v>2420</v>
      </c>
      <c r="C18">
        <v>51.472046900000002</v>
      </c>
      <c r="D18">
        <v>-0.33642850000000002</v>
      </c>
      <c r="F18">
        <v>1</v>
      </c>
      <c r="G18" t="str">
        <f>IFERROR(VLOOKUP(B18, Data!H:H, 1, FALSE), "")</f>
        <v/>
      </c>
    </row>
    <row r="19" spans="1:7" x14ac:dyDescent="0.25">
      <c r="A19" t="s">
        <v>1224</v>
      </c>
      <c r="B19" t="s">
        <v>2421</v>
      </c>
      <c r="C19">
        <v>51.4748588</v>
      </c>
      <c r="D19">
        <v>-0.38575389999999998</v>
      </c>
      <c r="F19">
        <v>1</v>
      </c>
      <c r="G19" t="str">
        <f>IFERROR(VLOOKUP(B19, Data!H:H, 1, FALSE), "")</f>
        <v/>
      </c>
    </row>
    <row r="20" spans="1:7" x14ac:dyDescent="0.25">
      <c r="A20" t="s">
        <v>1225</v>
      </c>
      <c r="B20" t="s">
        <v>2422</v>
      </c>
      <c r="C20">
        <v>51.653106299999997</v>
      </c>
      <c r="D20">
        <v>-8.8123300000000002E-2</v>
      </c>
      <c r="F20">
        <v>1</v>
      </c>
      <c r="G20" t="str">
        <f>IFERROR(VLOOKUP(B20, Data!H:H, 1, FALSE), "")</f>
        <v/>
      </c>
    </row>
    <row r="21" spans="1:7" x14ac:dyDescent="0.25">
      <c r="A21" t="s">
        <v>1226</v>
      </c>
      <c r="B21" t="s">
        <v>2423</v>
      </c>
      <c r="C21">
        <v>51.471598700000001</v>
      </c>
      <c r="D21">
        <v>-0.38118279999999999</v>
      </c>
      <c r="F21">
        <v>1</v>
      </c>
      <c r="G21" t="str">
        <f>IFERROR(VLOOKUP(B21, Data!H:H, 1, FALSE), "")</f>
        <v/>
      </c>
    </row>
    <row r="22" spans="1:7" x14ac:dyDescent="0.25">
      <c r="A22" t="s">
        <v>1227</v>
      </c>
      <c r="B22" t="s">
        <v>2424</v>
      </c>
      <c r="C22">
        <v>51.466563899999997</v>
      </c>
      <c r="D22">
        <v>-0.38265979999999999</v>
      </c>
      <c r="F22">
        <v>1</v>
      </c>
      <c r="G22" t="str">
        <f>IFERROR(VLOOKUP(B22, Data!H:H, 1, FALSE), "")</f>
        <v/>
      </c>
    </row>
    <row r="23" spans="1:7" x14ac:dyDescent="0.25">
      <c r="A23" t="s">
        <v>1228</v>
      </c>
      <c r="B23" t="s">
        <v>2425</v>
      </c>
      <c r="C23">
        <v>51.471072399999997</v>
      </c>
      <c r="D23">
        <v>-0.4049913</v>
      </c>
      <c r="F23">
        <v>1</v>
      </c>
      <c r="G23" t="str">
        <f>IFERROR(VLOOKUP(B23, Data!H:H, 1, FALSE), "")</f>
        <v/>
      </c>
    </row>
    <row r="24" spans="1:7" x14ac:dyDescent="0.25">
      <c r="A24" t="s">
        <v>1229</v>
      </c>
      <c r="B24" t="s">
        <v>2426</v>
      </c>
      <c r="C24">
        <v>51.4826975</v>
      </c>
      <c r="D24">
        <v>-0.3312657</v>
      </c>
      <c r="E24" t="s">
        <v>1206</v>
      </c>
      <c r="F24">
        <v>1</v>
      </c>
      <c r="G24" t="str">
        <f>IFERROR(VLOOKUP(B24, Data!H:H, 1, FALSE), "")</f>
        <v/>
      </c>
    </row>
    <row r="25" spans="1:7" x14ac:dyDescent="0.25">
      <c r="A25" t="s">
        <v>1230</v>
      </c>
      <c r="B25" t="s">
        <v>2427</v>
      </c>
      <c r="C25">
        <v>51.471802699999998</v>
      </c>
      <c r="D25">
        <v>-0.35026819999999997</v>
      </c>
      <c r="F25">
        <v>1</v>
      </c>
      <c r="G25" t="str">
        <f>IFERROR(VLOOKUP(B25, Data!H:H, 1, FALSE), "")</f>
        <v/>
      </c>
    </row>
    <row r="26" spans="1:7" x14ac:dyDescent="0.25">
      <c r="A26" t="s">
        <v>1231</v>
      </c>
      <c r="B26" t="s">
        <v>2428</v>
      </c>
      <c r="C26">
        <v>51.467454799999999</v>
      </c>
      <c r="D26">
        <v>-0.3298526</v>
      </c>
      <c r="F26">
        <v>1</v>
      </c>
      <c r="G26" t="str">
        <f>IFERROR(VLOOKUP(B26, Data!H:H, 1, FALSE), "")</f>
        <v/>
      </c>
    </row>
    <row r="27" spans="1:7" x14ac:dyDescent="0.25">
      <c r="A27" t="s">
        <v>1232</v>
      </c>
      <c r="B27" t="s">
        <v>2429</v>
      </c>
      <c r="C27">
        <v>51.4669977</v>
      </c>
      <c r="D27">
        <v>-0.34521970000000002</v>
      </c>
      <c r="E27" t="s">
        <v>1206</v>
      </c>
      <c r="F27">
        <v>1</v>
      </c>
      <c r="G27" t="str">
        <f>IFERROR(VLOOKUP(B27, Data!H:H, 1, FALSE), "")</f>
        <v/>
      </c>
    </row>
    <row r="28" spans="1:7" x14ac:dyDescent="0.25">
      <c r="A28" t="s">
        <v>1233</v>
      </c>
      <c r="B28" t="s">
        <v>2430</v>
      </c>
      <c r="C28">
        <v>51.360729599999999</v>
      </c>
      <c r="D28">
        <v>-0.2163003</v>
      </c>
      <c r="E28" t="s">
        <v>1206</v>
      </c>
      <c r="F28">
        <v>1</v>
      </c>
      <c r="G28" t="str">
        <f>IFERROR(VLOOKUP(B28, Data!H:H, 1, FALSE), "")</f>
        <v/>
      </c>
    </row>
    <row r="29" spans="1:7" x14ac:dyDescent="0.25">
      <c r="A29" t="s">
        <v>1207</v>
      </c>
      <c r="B29" t="s">
        <v>2431</v>
      </c>
      <c r="C29">
        <v>51.430442399999997</v>
      </c>
      <c r="D29">
        <v>-0.15736520000000001</v>
      </c>
      <c r="E29" t="s">
        <v>1206</v>
      </c>
      <c r="F29">
        <v>1</v>
      </c>
      <c r="G29" t="str">
        <f>IFERROR(VLOOKUP(B29, Data!H:H, 1, FALSE), "")</f>
        <v/>
      </c>
    </row>
    <row r="30" spans="1:7" x14ac:dyDescent="0.25">
      <c r="A30" t="s">
        <v>1234</v>
      </c>
      <c r="B30" t="s">
        <v>2432</v>
      </c>
      <c r="C30">
        <v>51.590331900000002</v>
      </c>
      <c r="D30">
        <v>0.2335989</v>
      </c>
      <c r="E30" t="s">
        <v>1206</v>
      </c>
      <c r="F30">
        <v>1</v>
      </c>
      <c r="G30" t="str">
        <f>IFERROR(VLOOKUP(B30, Data!H:H, 1, FALSE), "")</f>
        <v/>
      </c>
    </row>
    <row r="31" spans="1:7" x14ac:dyDescent="0.25">
      <c r="A31" t="s">
        <v>1235</v>
      </c>
      <c r="B31" t="s">
        <v>2433</v>
      </c>
      <c r="C31">
        <v>51.424293300000002</v>
      </c>
      <c r="D31">
        <v>-0.3766486</v>
      </c>
      <c r="E31" t="s">
        <v>1206</v>
      </c>
      <c r="F31">
        <v>1</v>
      </c>
      <c r="G31" t="str">
        <f>IFERROR(VLOOKUP(B31, Data!H:H, 1, FALSE), "")</f>
        <v/>
      </c>
    </row>
    <row r="32" spans="1:7" x14ac:dyDescent="0.25">
      <c r="A32" t="s">
        <v>1236</v>
      </c>
      <c r="B32" t="s">
        <v>2434</v>
      </c>
      <c r="C32">
        <v>51.4449848</v>
      </c>
      <c r="D32">
        <v>-0.36189749999999998</v>
      </c>
      <c r="F32">
        <v>1</v>
      </c>
      <c r="G32" t="str">
        <f>IFERROR(VLOOKUP(B32, Data!H:H, 1, FALSE), "")</f>
        <v/>
      </c>
    </row>
    <row r="33" spans="1:7" x14ac:dyDescent="0.25">
      <c r="A33" t="s">
        <v>1237</v>
      </c>
      <c r="B33" t="s">
        <v>2435</v>
      </c>
      <c r="C33">
        <v>51.5570187</v>
      </c>
      <c r="D33">
        <v>-7.3933200000000004E-2</v>
      </c>
      <c r="E33" t="s">
        <v>1206</v>
      </c>
      <c r="F33">
        <v>1</v>
      </c>
      <c r="G33" t="str">
        <f>IFERROR(VLOOKUP(B33, Data!H:H, 1, FALSE), "")</f>
        <v/>
      </c>
    </row>
    <row r="34" spans="1:7" x14ac:dyDescent="0.25">
      <c r="A34" t="s">
        <v>1238</v>
      </c>
      <c r="B34" t="s">
        <v>2436</v>
      </c>
      <c r="C34">
        <v>51.623662400000001</v>
      </c>
      <c r="D34">
        <v>0.22469610000000001</v>
      </c>
      <c r="E34" t="s">
        <v>1206</v>
      </c>
      <c r="F34">
        <v>1</v>
      </c>
      <c r="G34" t="str">
        <f>IFERROR(VLOOKUP(B34, Data!H:H, 1, FALSE), "")</f>
        <v/>
      </c>
    </row>
    <row r="35" spans="1:7" x14ac:dyDescent="0.25">
      <c r="A35" t="s">
        <v>1239</v>
      </c>
      <c r="B35" t="s">
        <v>2437</v>
      </c>
      <c r="C35">
        <v>51.482812899999999</v>
      </c>
      <c r="D35">
        <v>-0.38113000000000002</v>
      </c>
      <c r="F35">
        <v>1</v>
      </c>
      <c r="G35" t="str">
        <f>IFERROR(VLOOKUP(B35, Data!H:H, 1, FALSE), "")</f>
        <v/>
      </c>
    </row>
    <row r="36" spans="1:7" x14ac:dyDescent="0.25">
      <c r="A36" t="s">
        <v>1240</v>
      </c>
      <c r="B36" t="s">
        <v>2438</v>
      </c>
      <c r="C36">
        <v>51.439062700000001</v>
      </c>
      <c r="D36">
        <v>-3.4318899999999999E-2</v>
      </c>
      <c r="F36">
        <v>1</v>
      </c>
      <c r="G36" t="str">
        <f>IFERROR(VLOOKUP(B36, Data!H:H, 1, FALSE), "")</f>
        <v/>
      </c>
    </row>
    <row r="37" spans="1:7" x14ac:dyDescent="0.25">
      <c r="A37" t="s">
        <v>1241</v>
      </c>
      <c r="B37" t="s">
        <v>2439</v>
      </c>
      <c r="C37">
        <v>51.644902399999999</v>
      </c>
      <c r="D37">
        <v>-6.6386000000000001E-2</v>
      </c>
      <c r="E37" t="s">
        <v>1206</v>
      </c>
      <c r="F37">
        <v>1</v>
      </c>
      <c r="G37" t="str">
        <f>IFERROR(VLOOKUP(B37, Data!H:H, 1, FALSE), "")</f>
        <v/>
      </c>
    </row>
    <row r="38" spans="1:7" x14ac:dyDescent="0.25">
      <c r="A38" t="s">
        <v>1211</v>
      </c>
      <c r="B38" t="s">
        <v>2440</v>
      </c>
      <c r="C38">
        <v>51.653047100000002</v>
      </c>
      <c r="D38">
        <v>-8.2056299999999999E-2</v>
      </c>
      <c r="E38" t="s">
        <v>1206</v>
      </c>
      <c r="F38">
        <v>1</v>
      </c>
      <c r="G38" t="str">
        <f>IFERROR(VLOOKUP(B38, Data!H:H, 1, FALSE), "")</f>
        <v/>
      </c>
    </row>
    <row r="39" spans="1:7" x14ac:dyDescent="0.25">
      <c r="A39" t="s">
        <v>1242</v>
      </c>
      <c r="B39" t="s">
        <v>2441</v>
      </c>
      <c r="C39">
        <v>51.482709999999997</v>
      </c>
      <c r="D39">
        <v>-0.41049150000000001</v>
      </c>
      <c r="F39">
        <v>1</v>
      </c>
      <c r="G39" t="str">
        <f>IFERROR(VLOOKUP(B39, Data!H:H, 1, FALSE), "")</f>
        <v/>
      </c>
    </row>
    <row r="40" spans="1:7" x14ac:dyDescent="0.25">
      <c r="A40" t="s">
        <v>1243</v>
      </c>
      <c r="B40" t="s">
        <v>2441</v>
      </c>
      <c r="C40">
        <v>51.482732499999997</v>
      </c>
      <c r="D40">
        <v>-0.41073029999999999</v>
      </c>
      <c r="F40">
        <v>1</v>
      </c>
      <c r="G40" t="str">
        <f>IFERROR(VLOOKUP(B40, Data!H:H, 1, FALSE), "")</f>
        <v/>
      </c>
    </row>
    <row r="41" spans="1:7" x14ac:dyDescent="0.25">
      <c r="A41" t="s">
        <v>1244</v>
      </c>
      <c r="B41" t="s">
        <v>2442</v>
      </c>
      <c r="C41">
        <v>51.498436099999999</v>
      </c>
      <c r="D41">
        <v>-0.1119033</v>
      </c>
      <c r="F41">
        <v>1</v>
      </c>
      <c r="G41" t="str">
        <f>IFERROR(VLOOKUP(B41, Data!H:H, 1, FALSE), "")</f>
        <v/>
      </c>
    </row>
    <row r="42" spans="1:7" x14ac:dyDescent="0.25">
      <c r="A42" t="s">
        <v>1245</v>
      </c>
      <c r="B42" t="s">
        <v>2443</v>
      </c>
      <c r="C42">
        <v>51.485663799999998</v>
      </c>
      <c r="D42">
        <v>-0.30719679999999999</v>
      </c>
      <c r="F42">
        <v>1</v>
      </c>
      <c r="G42" t="str">
        <f>IFERROR(VLOOKUP(B42, Data!H:H, 1, FALSE), "")</f>
        <v/>
      </c>
    </row>
    <row r="43" spans="1:7" x14ac:dyDescent="0.25">
      <c r="A43" t="s">
        <v>1246</v>
      </c>
      <c r="B43" t="s">
        <v>2444</v>
      </c>
      <c r="C43">
        <v>51.443218799999997</v>
      </c>
      <c r="D43">
        <v>-0.1671802</v>
      </c>
      <c r="E43" t="s">
        <v>1206</v>
      </c>
      <c r="F43">
        <v>1</v>
      </c>
      <c r="G43" t="str">
        <f>IFERROR(VLOOKUP(B43, Data!H:H, 1, FALSE), "")</f>
        <v/>
      </c>
    </row>
    <row r="44" spans="1:7" x14ac:dyDescent="0.25">
      <c r="A44" t="s">
        <v>1247</v>
      </c>
      <c r="B44" t="s">
        <v>2445</v>
      </c>
      <c r="C44">
        <v>51.380072300000002</v>
      </c>
      <c r="D44">
        <v>4.6150000000000002E-3</v>
      </c>
      <c r="F44">
        <v>1</v>
      </c>
      <c r="G44" t="str">
        <f>IFERROR(VLOOKUP(B44, Data!H:H, 1, FALSE), "")</f>
        <v/>
      </c>
    </row>
    <row r="45" spans="1:7" x14ac:dyDescent="0.25">
      <c r="A45" t="s">
        <v>1248</v>
      </c>
      <c r="B45" t="s">
        <v>2446</v>
      </c>
      <c r="C45">
        <v>51.361525100000001</v>
      </c>
      <c r="D45">
        <v>-0.13080900000000001</v>
      </c>
      <c r="F45">
        <v>1</v>
      </c>
      <c r="G45" t="str">
        <f>IFERROR(VLOOKUP(B45, Data!H:H, 1, FALSE), "")</f>
        <v/>
      </c>
    </row>
    <row r="46" spans="1:7" x14ac:dyDescent="0.25">
      <c r="A46" t="s">
        <v>1249</v>
      </c>
      <c r="B46" t="s">
        <v>2447</v>
      </c>
      <c r="C46">
        <v>51.360996999999998</v>
      </c>
      <c r="D46">
        <v>-0.1449879</v>
      </c>
      <c r="F46">
        <v>1</v>
      </c>
      <c r="G46" t="str">
        <f>IFERROR(VLOOKUP(B46, Data!H:H, 1, FALSE), "")</f>
        <v/>
      </c>
    </row>
    <row r="47" spans="1:7" x14ac:dyDescent="0.25">
      <c r="A47" t="s">
        <v>1250</v>
      </c>
      <c r="B47" t="s">
        <v>2448</v>
      </c>
      <c r="C47">
        <v>51.389218999999997</v>
      </c>
      <c r="D47">
        <v>-6.5240999999999993E-2</v>
      </c>
      <c r="F47">
        <v>1</v>
      </c>
      <c r="G47" t="str">
        <f>IFERROR(VLOOKUP(B47, Data!H:H, 1, FALSE), "")</f>
        <v/>
      </c>
    </row>
    <row r="48" spans="1:7" x14ac:dyDescent="0.25">
      <c r="A48" t="s">
        <v>1251</v>
      </c>
      <c r="B48" t="s">
        <v>2449</v>
      </c>
      <c r="C48">
        <v>51.616205399999998</v>
      </c>
      <c r="D48">
        <v>-0.3155039</v>
      </c>
      <c r="E48" t="s">
        <v>1206</v>
      </c>
      <c r="F48">
        <v>1</v>
      </c>
      <c r="G48" t="str">
        <f>IFERROR(VLOOKUP(B48, Data!H:H, 1, FALSE), "")</f>
        <v/>
      </c>
    </row>
    <row r="49" spans="1:7" x14ac:dyDescent="0.25">
      <c r="A49" t="s">
        <v>1252</v>
      </c>
      <c r="B49" t="s">
        <v>2450</v>
      </c>
      <c r="C49">
        <v>51.582469099999997</v>
      </c>
      <c r="D49">
        <v>-0.33182610000000001</v>
      </c>
      <c r="E49" t="s">
        <v>1206</v>
      </c>
      <c r="F49">
        <v>1</v>
      </c>
      <c r="G49" t="str">
        <f>IFERROR(VLOOKUP(B49, Data!H:H, 1, FALSE), "")</f>
        <v/>
      </c>
    </row>
    <row r="50" spans="1:7" x14ac:dyDescent="0.25">
      <c r="A50" t="s">
        <v>1253</v>
      </c>
      <c r="B50" t="s">
        <v>2451</v>
      </c>
      <c r="C50">
        <v>51.442084700000002</v>
      </c>
      <c r="D50">
        <v>-0.39050420000000002</v>
      </c>
      <c r="E50" t="s">
        <v>1206</v>
      </c>
      <c r="F50">
        <v>1</v>
      </c>
      <c r="G50" t="str">
        <f>IFERROR(VLOOKUP(B50, Data!H:H, 1, FALSE), "")</f>
        <v/>
      </c>
    </row>
    <row r="51" spans="1:7" x14ac:dyDescent="0.25">
      <c r="A51" t="s">
        <v>1254</v>
      </c>
      <c r="B51" t="s">
        <v>2452</v>
      </c>
      <c r="C51">
        <v>51.5945477</v>
      </c>
      <c r="D51">
        <v>-0.37909549999999997</v>
      </c>
      <c r="E51" t="s">
        <v>1206</v>
      </c>
      <c r="F51">
        <v>1</v>
      </c>
      <c r="G51" t="str">
        <f>IFERROR(VLOOKUP(B51, Data!H:H, 1, FALSE), "")</f>
        <v/>
      </c>
    </row>
    <row r="52" spans="1:7" x14ac:dyDescent="0.25">
      <c r="A52" t="s">
        <v>1255</v>
      </c>
      <c r="B52" t="s">
        <v>2453</v>
      </c>
      <c r="C52">
        <v>51.345231900000002</v>
      </c>
      <c r="D52">
        <v>-0.1303629</v>
      </c>
      <c r="E52" t="s">
        <v>1206</v>
      </c>
      <c r="F52">
        <v>1</v>
      </c>
      <c r="G52" t="str">
        <f>IFERROR(VLOOKUP(B52, Data!H:H, 1, FALSE), "")</f>
        <v/>
      </c>
    </row>
    <row r="53" spans="1:7" x14ac:dyDescent="0.25">
      <c r="A53" t="s">
        <v>1256</v>
      </c>
      <c r="B53" t="s">
        <v>2454</v>
      </c>
      <c r="C53">
        <v>51.4351232</v>
      </c>
      <c r="D53">
        <v>-0.39218979999999998</v>
      </c>
      <c r="F53">
        <v>1</v>
      </c>
      <c r="G53" t="str">
        <f>IFERROR(VLOOKUP(B53, Data!H:H, 1, FALSE), "")</f>
        <v/>
      </c>
    </row>
    <row r="54" spans="1:7" x14ac:dyDescent="0.25">
      <c r="A54" t="s">
        <v>1257</v>
      </c>
      <c r="B54" t="s">
        <v>2455</v>
      </c>
      <c r="C54">
        <v>51.475774800000003</v>
      </c>
      <c r="D54">
        <v>1.86634E-2</v>
      </c>
      <c r="F54">
        <v>1</v>
      </c>
      <c r="G54" t="str">
        <f>IFERROR(VLOOKUP(B54, Data!H:H, 1, FALSE), "")</f>
        <v/>
      </c>
    </row>
    <row r="55" spans="1:7" x14ac:dyDescent="0.25">
      <c r="A55" t="s">
        <v>1258</v>
      </c>
      <c r="B55" t="s">
        <v>2456</v>
      </c>
      <c r="C55">
        <v>51.476043599999997</v>
      </c>
      <c r="D55">
        <v>-1.31611E-2</v>
      </c>
      <c r="F55">
        <v>1</v>
      </c>
      <c r="G55" t="str">
        <f>IFERROR(VLOOKUP(B55, Data!H:H, 1, FALSE), "")</f>
        <v/>
      </c>
    </row>
    <row r="56" spans="1:7" x14ac:dyDescent="0.25">
      <c r="A56" t="s">
        <v>1259</v>
      </c>
      <c r="B56" t="s">
        <v>2457</v>
      </c>
      <c r="C56">
        <v>51.469904399999997</v>
      </c>
      <c r="D56">
        <v>3.7456099999999999E-2</v>
      </c>
      <c r="E56" t="s">
        <v>1206</v>
      </c>
      <c r="F56">
        <v>1</v>
      </c>
      <c r="G56" t="str">
        <f>IFERROR(VLOOKUP(B56, Data!H:H, 1, FALSE), "")</f>
        <v/>
      </c>
    </row>
    <row r="57" spans="1:7" x14ac:dyDescent="0.25">
      <c r="A57" t="s">
        <v>1260</v>
      </c>
      <c r="B57" t="s">
        <v>2458</v>
      </c>
      <c r="C57">
        <v>51.452745899999996</v>
      </c>
      <c r="D57">
        <v>8.1495000000000005E-3</v>
      </c>
      <c r="E57" t="s">
        <v>1206</v>
      </c>
      <c r="F57">
        <v>1</v>
      </c>
      <c r="G57" t="str">
        <f>IFERROR(VLOOKUP(B57, Data!H:H, 1, FALSE), "")</f>
        <v/>
      </c>
    </row>
    <row r="58" spans="1:7" x14ac:dyDescent="0.25">
      <c r="A58" t="s">
        <v>1261</v>
      </c>
      <c r="B58" t="s">
        <v>2459</v>
      </c>
      <c r="C58">
        <v>51.463163299999998</v>
      </c>
      <c r="D58">
        <v>-7.9359999999999999E-4</v>
      </c>
      <c r="F58">
        <v>1</v>
      </c>
      <c r="G58" t="str">
        <f>IFERROR(VLOOKUP(B58, Data!H:H, 1, FALSE), "")</f>
        <v/>
      </c>
    </row>
    <row r="59" spans="1:7" x14ac:dyDescent="0.25">
      <c r="A59" t="s">
        <v>1262</v>
      </c>
      <c r="B59" t="s">
        <v>2460</v>
      </c>
      <c r="C59">
        <v>51.459076600000003</v>
      </c>
      <c r="D59">
        <v>3.7253E-3</v>
      </c>
      <c r="F59">
        <v>1</v>
      </c>
      <c r="G59" t="str">
        <f>IFERROR(VLOOKUP(B59, Data!H:H, 1, FALSE), "")</f>
        <v/>
      </c>
    </row>
    <row r="60" spans="1:7" x14ac:dyDescent="0.25">
      <c r="A60" t="s">
        <v>1263</v>
      </c>
      <c r="B60" t="s">
        <v>2461</v>
      </c>
      <c r="C60">
        <v>51.670865599999999</v>
      </c>
      <c r="D60">
        <v>-6.3318700000000006E-2</v>
      </c>
      <c r="E60" t="s">
        <v>1206</v>
      </c>
      <c r="F60">
        <v>1</v>
      </c>
      <c r="G60" t="str">
        <f>IFERROR(VLOOKUP(B60, Data!H:H, 1, FALSE), "")</f>
        <v/>
      </c>
    </row>
    <row r="61" spans="1:7" x14ac:dyDescent="0.25">
      <c r="A61" t="s">
        <v>1264</v>
      </c>
      <c r="B61" t="s">
        <v>2462</v>
      </c>
      <c r="C61">
        <v>51.428261900000003</v>
      </c>
      <c r="D61">
        <v>-0.38772630000000002</v>
      </c>
      <c r="F61">
        <v>1</v>
      </c>
      <c r="G61" t="str">
        <f>IFERROR(VLOOKUP(B61, Data!H:H, 1, FALSE), "")</f>
        <v/>
      </c>
    </row>
    <row r="62" spans="1:7" x14ac:dyDescent="0.25">
      <c r="A62" t="s">
        <v>1265</v>
      </c>
      <c r="B62" t="s">
        <v>2463</v>
      </c>
      <c r="C62">
        <v>51.492508999999998</v>
      </c>
      <c r="D62">
        <v>-0.43408029999999997</v>
      </c>
      <c r="F62">
        <v>1</v>
      </c>
      <c r="G62" t="str">
        <f>IFERROR(VLOOKUP(B62, Data!H:H, 1, FALSE), "")</f>
        <v/>
      </c>
    </row>
    <row r="63" spans="1:7" x14ac:dyDescent="0.25">
      <c r="A63" t="s">
        <v>1266</v>
      </c>
      <c r="B63" t="s">
        <v>2464</v>
      </c>
      <c r="C63">
        <v>51.350734000000003</v>
      </c>
      <c r="D63">
        <v>-0.1517095</v>
      </c>
      <c r="E63" t="s">
        <v>1206</v>
      </c>
      <c r="F63">
        <v>1</v>
      </c>
      <c r="G63" t="str">
        <f>IFERROR(VLOOKUP(B63, Data!H:H, 1, FALSE), "")</f>
        <v/>
      </c>
    </row>
    <row r="64" spans="1:7" x14ac:dyDescent="0.25">
      <c r="A64" t="s">
        <v>1267</v>
      </c>
      <c r="B64" t="s">
        <v>2465</v>
      </c>
      <c r="C64">
        <v>51.647618000000001</v>
      </c>
      <c r="D64">
        <v>-0.17577390000000001</v>
      </c>
      <c r="E64" t="s">
        <v>1206</v>
      </c>
      <c r="F64">
        <v>1</v>
      </c>
      <c r="G64" t="str">
        <f>IFERROR(VLOOKUP(B64, Data!H:H, 1, FALSE), "")</f>
        <v/>
      </c>
    </row>
    <row r="65" spans="1:7" x14ac:dyDescent="0.25">
      <c r="A65" t="s">
        <v>1268</v>
      </c>
      <c r="B65" t="s">
        <v>2466</v>
      </c>
      <c r="C65">
        <v>51.382440099999997</v>
      </c>
      <c r="D65">
        <v>-0.2161682</v>
      </c>
      <c r="E65" t="s">
        <v>1206</v>
      </c>
      <c r="F65">
        <v>1</v>
      </c>
      <c r="G65" t="str">
        <f>IFERROR(VLOOKUP(B65, Data!H:H, 1, FALSE), "")</f>
        <v/>
      </c>
    </row>
    <row r="66" spans="1:7" x14ac:dyDescent="0.25">
      <c r="A66" t="s">
        <v>1269</v>
      </c>
      <c r="B66" t="s">
        <v>2467</v>
      </c>
      <c r="C66">
        <v>51.555737999999998</v>
      </c>
      <c r="D66">
        <v>-4.14886E-2</v>
      </c>
      <c r="E66" t="s">
        <v>1206</v>
      </c>
      <c r="F66">
        <v>1</v>
      </c>
      <c r="G66" t="str">
        <f>IFERROR(VLOOKUP(B66, Data!H:H, 1, FALSE), "")</f>
        <v/>
      </c>
    </row>
    <row r="67" spans="1:7" x14ac:dyDescent="0.25">
      <c r="A67" t="s">
        <v>1270</v>
      </c>
      <c r="B67" t="s">
        <v>2468</v>
      </c>
      <c r="C67">
        <v>51.518046599999998</v>
      </c>
      <c r="D67">
        <v>-0.1939043</v>
      </c>
      <c r="E67" t="s">
        <v>1206</v>
      </c>
      <c r="F67">
        <v>1</v>
      </c>
      <c r="G67" t="str">
        <f>IFERROR(VLOOKUP(B67, Data!H:H, 1, FALSE), "")</f>
        <v/>
      </c>
    </row>
    <row r="68" spans="1:7" x14ac:dyDescent="0.25">
      <c r="A68" t="s">
        <v>1271</v>
      </c>
      <c r="B68" t="s">
        <v>2469</v>
      </c>
      <c r="C68">
        <v>51.559727299999999</v>
      </c>
      <c r="D68">
        <v>-0.39407769999999998</v>
      </c>
      <c r="E68" t="s">
        <v>1206</v>
      </c>
      <c r="F68">
        <v>1</v>
      </c>
      <c r="G68" t="str">
        <f>IFERROR(VLOOKUP(B68, Data!H:H, 1, FALSE), "")</f>
        <v/>
      </c>
    </row>
    <row r="69" spans="1:7" x14ac:dyDescent="0.25">
      <c r="A69" t="s">
        <v>1272</v>
      </c>
      <c r="B69" t="s">
        <v>2470</v>
      </c>
      <c r="C69">
        <v>51.566209800000003</v>
      </c>
      <c r="D69">
        <v>-0.41041549999999999</v>
      </c>
      <c r="E69" t="s">
        <v>1206</v>
      </c>
      <c r="F69">
        <v>1</v>
      </c>
      <c r="G69" t="str">
        <f>IFERROR(VLOOKUP(B69, Data!H:H, 1, FALSE), "")</f>
        <v/>
      </c>
    </row>
    <row r="70" spans="1:7" x14ac:dyDescent="0.25">
      <c r="A70" t="s">
        <v>1273</v>
      </c>
      <c r="B70" t="s">
        <v>2471</v>
      </c>
      <c r="C70">
        <v>51.497070299999997</v>
      </c>
      <c r="D70">
        <v>-0.2344146</v>
      </c>
      <c r="F70">
        <v>1</v>
      </c>
      <c r="G70" t="str">
        <f>IFERROR(VLOOKUP(B70, Data!H:H, 1, FALSE), "")</f>
        <v/>
      </c>
    </row>
    <row r="71" spans="1:7" x14ac:dyDescent="0.25">
      <c r="A71" t="s">
        <v>1237</v>
      </c>
      <c r="B71" t="s">
        <v>2472</v>
      </c>
      <c r="C71">
        <v>51.484915899999997</v>
      </c>
      <c r="D71">
        <v>-0.30593429999999999</v>
      </c>
      <c r="E71" t="s">
        <v>1206</v>
      </c>
      <c r="F71">
        <v>1</v>
      </c>
      <c r="G71" t="str">
        <f>IFERROR(VLOOKUP(B71, Data!H:H, 1, FALSE), "")</f>
        <v/>
      </c>
    </row>
    <row r="72" spans="1:7" x14ac:dyDescent="0.25">
      <c r="A72" t="s">
        <v>1274</v>
      </c>
      <c r="B72" t="s">
        <v>2473</v>
      </c>
      <c r="C72">
        <v>51.470969699999998</v>
      </c>
      <c r="D72">
        <v>-0.12050139999999999</v>
      </c>
      <c r="F72">
        <v>1</v>
      </c>
      <c r="G72" t="str">
        <f>IFERROR(VLOOKUP(B72, Data!H:H, 1, FALSE), "")</f>
        <v/>
      </c>
    </row>
    <row r="73" spans="1:7" x14ac:dyDescent="0.25">
      <c r="A73" t="s">
        <v>1275</v>
      </c>
      <c r="B73" t="s">
        <v>2474</v>
      </c>
      <c r="C73">
        <v>51.528032600000003</v>
      </c>
      <c r="D73">
        <v>-5.1254500000000001E-2</v>
      </c>
      <c r="F73">
        <v>1</v>
      </c>
      <c r="G73" t="str">
        <f>IFERROR(VLOOKUP(B73, Data!H:H, 1, FALSE), "")</f>
        <v/>
      </c>
    </row>
    <row r="74" spans="1:7" x14ac:dyDescent="0.25">
      <c r="A74" t="s">
        <v>1276</v>
      </c>
      <c r="B74" t="s">
        <v>2475</v>
      </c>
      <c r="C74">
        <v>51.5698109</v>
      </c>
      <c r="D74">
        <v>-0.35939949999999998</v>
      </c>
      <c r="F74">
        <v>1</v>
      </c>
      <c r="G74" t="str">
        <f>IFERROR(VLOOKUP(B74, Data!H:H, 1, FALSE), "")</f>
        <v/>
      </c>
    </row>
    <row r="75" spans="1:7" x14ac:dyDescent="0.25">
      <c r="A75" t="s">
        <v>1277</v>
      </c>
      <c r="B75" t="s">
        <v>2476</v>
      </c>
      <c r="C75">
        <v>51.563242000000002</v>
      </c>
      <c r="D75">
        <v>3.2461700000000003E-2</v>
      </c>
      <c r="E75" t="s">
        <v>1206</v>
      </c>
      <c r="F75">
        <v>1</v>
      </c>
      <c r="G75" t="str">
        <f>IFERROR(VLOOKUP(B75, Data!H:H, 1, FALSE), "")</f>
        <v/>
      </c>
    </row>
    <row r="76" spans="1:7" x14ac:dyDescent="0.25">
      <c r="A76" t="s">
        <v>1278</v>
      </c>
      <c r="B76" t="s">
        <v>2477</v>
      </c>
      <c r="C76">
        <v>51.446966500000002</v>
      </c>
      <c r="D76">
        <v>-0.45829310000000001</v>
      </c>
      <c r="F76">
        <v>1</v>
      </c>
      <c r="G76" t="str">
        <f>IFERROR(VLOOKUP(B76, Data!H:H, 1, FALSE), "")</f>
        <v/>
      </c>
    </row>
    <row r="77" spans="1:7" x14ac:dyDescent="0.25">
      <c r="A77" t="s">
        <v>1279</v>
      </c>
      <c r="B77" t="s">
        <v>2478</v>
      </c>
      <c r="C77">
        <v>51.374681699999996</v>
      </c>
      <c r="D77">
        <v>-0.2160783</v>
      </c>
      <c r="E77" t="s">
        <v>1206</v>
      </c>
      <c r="F77">
        <v>1</v>
      </c>
      <c r="G77" t="str">
        <f>IFERROR(VLOOKUP(B77, Data!H:H, 1, FALSE), "")</f>
        <v/>
      </c>
    </row>
    <row r="78" spans="1:7" x14ac:dyDescent="0.25">
      <c r="A78" t="s">
        <v>1280</v>
      </c>
      <c r="B78" t="s">
        <v>2479</v>
      </c>
      <c r="C78">
        <v>51.366830100000001</v>
      </c>
      <c r="D78">
        <v>-0.1986038</v>
      </c>
      <c r="F78">
        <v>1</v>
      </c>
      <c r="G78" t="str">
        <f>IFERROR(VLOOKUP(B78, Data!H:H, 1, FALSE), "")</f>
        <v/>
      </c>
    </row>
    <row r="79" spans="1:7" x14ac:dyDescent="0.25">
      <c r="A79" t="s">
        <v>1281</v>
      </c>
      <c r="B79" t="s">
        <v>2480</v>
      </c>
      <c r="C79">
        <v>51.375447800000003</v>
      </c>
      <c r="D79">
        <v>-0.2355882</v>
      </c>
      <c r="F79">
        <v>1</v>
      </c>
      <c r="G79" t="str">
        <f>IFERROR(VLOOKUP(B79, Data!H:H, 1, FALSE), "")</f>
        <v/>
      </c>
    </row>
    <row r="80" spans="1:7" x14ac:dyDescent="0.25">
      <c r="A80" t="s">
        <v>1282</v>
      </c>
      <c r="B80" t="s">
        <v>2480</v>
      </c>
      <c r="C80">
        <v>51.376232000000002</v>
      </c>
      <c r="D80">
        <v>-0.2359782</v>
      </c>
      <c r="F80">
        <v>1</v>
      </c>
      <c r="G80" t="str">
        <f>IFERROR(VLOOKUP(B80, Data!H:H, 1, FALSE), "")</f>
        <v/>
      </c>
    </row>
    <row r="81" spans="1:7" x14ac:dyDescent="0.25">
      <c r="A81" t="s">
        <v>1283</v>
      </c>
      <c r="B81" t="s">
        <v>2481</v>
      </c>
      <c r="C81">
        <v>51.472167900000002</v>
      </c>
      <c r="D81">
        <v>-0.13207189999999999</v>
      </c>
      <c r="E81" t="s">
        <v>1206</v>
      </c>
      <c r="F81">
        <v>1</v>
      </c>
      <c r="G81" t="str">
        <f>IFERROR(VLOOKUP(B81, Data!H:H, 1, FALSE), "")</f>
        <v/>
      </c>
    </row>
    <row r="82" spans="1:7" x14ac:dyDescent="0.25">
      <c r="A82" t="s">
        <v>1284</v>
      </c>
      <c r="B82" t="s">
        <v>2482</v>
      </c>
      <c r="C82">
        <v>51.467354800000003</v>
      </c>
      <c r="D82">
        <v>-0.128909</v>
      </c>
      <c r="E82" t="s">
        <v>1206</v>
      </c>
      <c r="F82">
        <v>1</v>
      </c>
      <c r="G82" t="str">
        <f>IFERROR(VLOOKUP(B82, Data!H:H, 1, FALSE), "")</f>
        <v/>
      </c>
    </row>
    <row r="83" spans="1:7" x14ac:dyDescent="0.25">
      <c r="A83" t="s">
        <v>1285</v>
      </c>
      <c r="B83" t="s">
        <v>2483</v>
      </c>
      <c r="C83">
        <v>51.467764099999997</v>
      </c>
      <c r="D83">
        <v>-0.1212194</v>
      </c>
      <c r="E83" t="s">
        <v>1206</v>
      </c>
      <c r="F83">
        <v>1</v>
      </c>
      <c r="G83" t="str">
        <f>IFERROR(VLOOKUP(B83, Data!H:H, 1, FALSE), "")</f>
        <v/>
      </c>
    </row>
    <row r="84" spans="1:7" x14ac:dyDescent="0.25">
      <c r="A84" t="s">
        <v>1286</v>
      </c>
      <c r="B84" t="s">
        <v>2484</v>
      </c>
      <c r="C84">
        <v>51.529854700000001</v>
      </c>
      <c r="D84">
        <v>5.7285999999999997E-2</v>
      </c>
      <c r="F84">
        <v>1</v>
      </c>
      <c r="G84" t="str">
        <f>IFERROR(VLOOKUP(B84, Data!H:H, 1, FALSE), "")</f>
        <v/>
      </c>
    </row>
    <row r="85" spans="1:7" x14ac:dyDescent="0.25">
      <c r="A85" t="s">
        <v>1287</v>
      </c>
      <c r="B85" t="s">
        <v>2485</v>
      </c>
      <c r="C85">
        <v>51.537345799999997</v>
      </c>
      <c r="D85">
        <v>2.4188999999999999E-2</v>
      </c>
      <c r="F85">
        <v>1</v>
      </c>
      <c r="G85" t="str">
        <f>IFERROR(VLOOKUP(B85, Data!H:H, 1, FALSE), "")</f>
        <v/>
      </c>
    </row>
    <row r="86" spans="1:7" x14ac:dyDescent="0.25">
      <c r="A86" t="s">
        <v>1288</v>
      </c>
      <c r="B86" t="s">
        <v>2486</v>
      </c>
      <c r="C86">
        <v>51.509032400000002</v>
      </c>
      <c r="D86">
        <v>-0.32640970000000002</v>
      </c>
      <c r="E86" t="s">
        <v>1206</v>
      </c>
      <c r="F86">
        <v>1</v>
      </c>
      <c r="G86" t="str">
        <f>IFERROR(VLOOKUP(B86, Data!H:H, 1, FALSE), "")</f>
        <v/>
      </c>
    </row>
    <row r="87" spans="1:7" x14ac:dyDescent="0.25">
      <c r="A87" t="s">
        <v>1289</v>
      </c>
      <c r="B87" t="s">
        <v>2487</v>
      </c>
      <c r="C87">
        <v>51.3550209</v>
      </c>
      <c r="D87">
        <v>-0.18850230000000001</v>
      </c>
      <c r="E87" t="s">
        <v>1206</v>
      </c>
      <c r="F87">
        <v>1</v>
      </c>
      <c r="G87" t="str">
        <f>IFERROR(VLOOKUP(B87, Data!H:H, 1, FALSE), "")</f>
        <v/>
      </c>
    </row>
    <row r="88" spans="1:7" x14ac:dyDescent="0.25">
      <c r="A88" t="s">
        <v>1290</v>
      </c>
      <c r="B88" t="s">
        <v>2488</v>
      </c>
      <c r="C88">
        <v>51.494007099999997</v>
      </c>
      <c r="D88">
        <v>-6.0735200000000003E-2</v>
      </c>
      <c r="F88">
        <v>1</v>
      </c>
      <c r="G88" t="str">
        <f>IFERROR(VLOOKUP(B88, Data!H:H, 1, FALSE), "")</f>
        <v/>
      </c>
    </row>
    <row r="89" spans="1:7" x14ac:dyDescent="0.25">
      <c r="A89" t="s">
        <v>1291</v>
      </c>
      <c r="B89" t="s">
        <v>2489</v>
      </c>
      <c r="C89">
        <v>51.591517600000003</v>
      </c>
      <c r="D89">
        <v>-0.22764709999999999</v>
      </c>
      <c r="E89" t="s">
        <v>1206</v>
      </c>
      <c r="F89">
        <v>1</v>
      </c>
      <c r="G89" t="str">
        <f>IFERROR(VLOOKUP(B89, Data!H:H, 1, FALSE), "")</f>
        <v/>
      </c>
    </row>
    <row r="90" spans="1:7" x14ac:dyDescent="0.25">
      <c r="A90" t="s">
        <v>1292</v>
      </c>
      <c r="B90" t="s">
        <v>2490</v>
      </c>
      <c r="C90">
        <v>51.445048300000003</v>
      </c>
      <c r="D90">
        <v>-0.1092796</v>
      </c>
      <c r="E90" t="s">
        <v>1206</v>
      </c>
      <c r="F90">
        <v>1</v>
      </c>
      <c r="G90" t="str">
        <f>IFERROR(VLOOKUP(B90, Data!H:H, 1, FALSE), "")</f>
        <v/>
      </c>
    </row>
    <row r="91" spans="1:7" x14ac:dyDescent="0.25">
      <c r="A91" t="s">
        <v>1293</v>
      </c>
      <c r="B91" t="s">
        <v>2491</v>
      </c>
      <c r="C91">
        <v>51.554251899999997</v>
      </c>
      <c r="D91">
        <v>-0.1383259</v>
      </c>
      <c r="E91" t="s">
        <v>1206</v>
      </c>
      <c r="F91">
        <v>1</v>
      </c>
      <c r="G91" t="str">
        <f>IFERROR(VLOOKUP(B91, Data!H:H, 1, FALSE), "")</f>
        <v/>
      </c>
    </row>
    <row r="92" spans="1:7" x14ac:dyDescent="0.25">
      <c r="A92" t="s">
        <v>1294</v>
      </c>
      <c r="B92" t="s">
        <v>2492</v>
      </c>
      <c r="C92">
        <v>51.447777000000002</v>
      </c>
      <c r="D92">
        <v>-0.1489771</v>
      </c>
      <c r="F92">
        <v>1</v>
      </c>
      <c r="G92" t="str">
        <f>IFERROR(VLOOKUP(B92, Data!H:H, 1, FALSE), "")</f>
        <v/>
      </c>
    </row>
    <row r="93" spans="1:7" x14ac:dyDescent="0.25">
      <c r="A93" t="s">
        <v>1295</v>
      </c>
      <c r="B93" t="s">
        <v>2493</v>
      </c>
      <c r="C93">
        <v>51.465549799999998</v>
      </c>
      <c r="D93">
        <v>-5.4763100000000002E-2</v>
      </c>
      <c r="F93">
        <v>1</v>
      </c>
      <c r="G93" t="str">
        <f>IFERROR(VLOOKUP(B93, Data!H:H, 1, FALSE), "")</f>
        <v/>
      </c>
    </row>
    <row r="94" spans="1:7" x14ac:dyDescent="0.25">
      <c r="A94" t="s">
        <v>1296</v>
      </c>
      <c r="B94" t="s">
        <v>2494</v>
      </c>
      <c r="C94">
        <v>51.446717900000003</v>
      </c>
      <c r="D94">
        <v>-0.14787839999999999</v>
      </c>
      <c r="F94">
        <v>1</v>
      </c>
      <c r="G94" t="str">
        <f>IFERROR(VLOOKUP(B94, Data!H:H, 1, FALSE), "")</f>
        <v/>
      </c>
    </row>
    <row r="95" spans="1:7" x14ac:dyDescent="0.25">
      <c r="A95" t="s">
        <v>1297</v>
      </c>
      <c r="B95" t="s">
        <v>2495</v>
      </c>
      <c r="C95">
        <v>51.446533799999997</v>
      </c>
      <c r="D95">
        <v>-0.14916579999999999</v>
      </c>
      <c r="F95">
        <v>1</v>
      </c>
      <c r="G95" t="str">
        <f>IFERROR(VLOOKUP(B95, Data!H:H, 1, FALSE), "")</f>
        <v/>
      </c>
    </row>
    <row r="96" spans="1:7" x14ac:dyDescent="0.25">
      <c r="A96" t="s">
        <v>1298</v>
      </c>
      <c r="B96" t="s">
        <v>2496</v>
      </c>
      <c r="C96">
        <v>51.444410099999999</v>
      </c>
      <c r="D96">
        <v>-0.14525189999999999</v>
      </c>
      <c r="F96">
        <v>1</v>
      </c>
      <c r="G96" t="str">
        <f>IFERROR(VLOOKUP(B96, Data!H:H, 1, FALSE), "")</f>
        <v/>
      </c>
    </row>
    <row r="97" spans="1:7" x14ac:dyDescent="0.25">
      <c r="A97" t="s">
        <v>1299</v>
      </c>
      <c r="B97" t="s">
        <v>2497</v>
      </c>
      <c r="C97">
        <v>51.588065700000001</v>
      </c>
      <c r="D97">
        <v>-0.3495066</v>
      </c>
      <c r="E97" t="s">
        <v>1206</v>
      </c>
      <c r="F97">
        <v>1</v>
      </c>
      <c r="G97" t="str">
        <f>IFERROR(VLOOKUP(B97, Data!H:H, 1, FALSE), "")</f>
        <v/>
      </c>
    </row>
    <row r="98" spans="1:7" x14ac:dyDescent="0.25">
      <c r="A98" t="s">
        <v>1300</v>
      </c>
      <c r="B98" t="s">
        <v>2498</v>
      </c>
      <c r="C98">
        <v>51.510399399999997</v>
      </c>
      <c r="D98">
        <v>-0.2831033</v>
      </c>
      <c r="F98">
        <v>1</v>
      </c>
      <c r="G98" t="str">
        <f>IFERROR(VLOOKUP(B98, Data!H:H, 1, FALSE), "")</f>
        <v/>
      </c>
    </row>
    <row r="99" spans="1:7" x14ac:dyDescent="0.25">
      <c r="A99" t="s">
        <v>1301</v>
      </c>
      <c r="B99" t="s">
        <v>2499</v>
      </c>
      <c r="C99">
        <v>51.506674099999998</v>
      </c>
      <c r="D99">
        <v>-0.27014640000000001</v>
      </c>
      <c r="F99">
        <v>1</v>
      </c>
      <c r="G99" t="str">
        <f>IFERROR(VLOOKUP(B99, Data!H:H, 1, FALSE), "")</f>
        <v/>
      </c>
    </row>
    <row r="100" spans="1:7" x14ac:dyDescent="0.25">
      <c r="A100" t="s">
        <v>1302</v>
      </c>
      <c r="B100" t="s">
        <v>2500</v>
      </c>
      <c r="C100">
        <v>51.438454700000001</v>
      </c>
      <c r="D100">
        <v>-0.11963020000000001</v>
      </c>
      <c r="E100" t="s">
        <v>1206</v>
      </c>
      <c r="F100">
        <v>1</v>
      </c>
      <c r="G100" t="str">
        <f>IFERROR(VLOOKUP(B100, Data!H:H, 1, FALSE), "")</f>
        <v/>
      </c>
    </row>
    <row r="101" spans="1:7" x14ac:dyDescent="0.25">
      <c r="A101" t="s">
        <v>1303</v>
      </c>
      <c r="B101" t="s">
        <v>2501</v>
      </c>
      <c r="C101">
        <v>51.457734100000003</v>
      </c>
      <c r="D101">
        <v>-4.6688199999999999E-2</v>
      </c>
      <c r="E101" t="s">
        <v>1206</v>
      </c>
      <c r="F101">
        <v>1</v>
      </c>
      <c r="G101" t="str">
        <f>IFERROR(VLOOKUP(B101, Data!H:H, 1, FALSE), "")</f>
        <v/>
      </c>
    </row>
    <row r="102" spans="1:7" x14ac:dyDescent="0.25">
      <c r="A102" t="s">
        <v>1304</v>
      </c>
      <c r="B102" t="s">
        <v>2502</v>
      </c>
      <c r="C102">
        <v>51.4425545</v>
      </c>
      <c r="D102">
        <v>-0.15431839999999999</v>
      </c>
      <c r="E102" t="s">
        <v>1206</v>
      </c>
      <c r="F102">
        <v>1</v>
      </c>
      <c r="G102" t="str">
        <f>IFERROR(VLOOKUP(B102, Data!H:H, 1, FALSE), "")</f>
        <v/>
      </c>
    </row>
    <row r="103" spans="1:7" x14ac:dyDescent="0.25">
      <c r="A103" t="s">
        <v>1305</v>
      </c>
      <c r="B103" t="s">
        <v>2503</v>
      </c>
      <c r="C103">
        <v>51.380875400000001</v>
      </c>
      <c r="D103">
        <v>-0.1157681</v>
      </c>
      <c r="F103">
        <v>1</v>
      </c>
      <c r="G103" t="str">
        <f>IFERROR(VLOOKUP(B103, Data!H:H, 1, FALSE), "")</f>
        <v/>
      </c>
    </row>
    <row r="104" spans="1:7" x14ac:dyDescent="0.25">
      <c r="A104" t="s">
        <v>1306</v>
      </c>
      <c r="B104" t="s">
        <v>2504</v>
      </c>
      <c r="C104">
        <v>51.370333600000002</v>
      </c>
      <c r="D104">
        <v>-8.5829100000000005E-2</v>
      </c>
      <c r="F104">
        <v>1</v>
      </c>
      <c r="G104" t="str">
        <f>IFERROR(VLOOKUP(B104, Data!H:H, 1, FALSE), "")</f>
        <v/>
      </c>
    </row>
    <row r="105" spans="1:7" x14ac:dyDescent="0.25">
      <c r="A105" t="s">
        <v>1307</v>
      </c>
      <c r="B105" t="s">
        <v>2505</v>
      </c>
      <c r="C105">
        <v>51.435896200000002</v>
      </c>
      <c r="D105">
        <v>-0.31090889999999999</v>
      </c>
      <c r="F105">
        <v>1</v>
      </c>
      <c r="G105" t="str">
        <f>IFERROR(VLOOKUP(B105, Data!H:H, 1, FALSE), "")</f>
        <v/>
      </c>
    </row>
    <row r="106" spans="1:7" x14ac:dyDescent="0.25">
      <c r="A106" t="s">
        <v>1285</v>
      </c>
      <c r="B106" t="s">
        <v>2506</v>
      </c>
      <c r="C106">
        <v>51.431745100000001</v>
      </c>
      <c r="D106">
        <v>0.12684529999999999</v>
      </c>
      <c r="E106" t="s">
        <v>1206</v>
      </c>
      <c r="F106">
        <v>1</v>
      </c>
      <c r="G106" t="str">
        <f>IFERROR(VLOOKUP(B106, Data!H:H, 1, FALSE), "")</f>
        <v/>
      </c>
    </row>
    <row r="107" spans="1:7" x14ac:dyDescent="0.25">
      <c r="A107" t="s">
        <v>1308</v>
      </c>
      <c r="B107" t="s">
        <v>2507</v>
      </c>
      <c r="C107">
        <v>51.478725500000003</v>
      </c>
      <c r="D107">
        <v>-9.4404600000000005E-2</v>
      </c>
      <c r="F107">
        <v>1</v>
      </c>
      <c r="G107" t="str">
        <f>IFERROR(VLOOKUP(B107, Data!H:H, 1, FALSE), "")</f>
        <v/>
      </c>
    </row>
    <row r="108" spans="1:7" x14ac:dyDescent="0.25">
      <c r="A108" t="s">
        <v>1288</v>
      </c>
      <c r="B108" t="s">
        <v>2508</v>
      </c>
      <c r="C108">
        <v>51.589134799999997</v>
      </c>
      <c r="D108">
        <v>-0.14503969999999999</v>
      </c>
      <c r="F108">
        <v>1</v>
      </c>
      <c r="G108" t="str">
        <f>IFERROR(VLOOKUP(B108, Data!H:H, 1, FALSE), "")</f>
        <v/>
      </c>
    </row>
    <row r="109" spans="1:7" x14ac:dyDescent="0.25">
      <c r="A109" t="s">
        <v>1309</v>
      </c>
      <c r="B109" t="s">
        <v>2509</v>
      </c>
      <c r="C109">
        <v>51.420819899999998</v>
      </c>
      <c r="D109">
        <v>-0.14602760000000001</v>
      </c>
      <c r="E109" t="s">
        <v>1206</v>
      </c>
      <c r="F109">
        <v>1</v>
      </c>
      <c r="G109" t="str">
        <f>IFERROR(VLOOKUP(B109, Data!H:H, 1, FALSE), "")</f>
        <v/>
      </c>
    </row>
    <row r="110" spans="1:7" x14ac:dyDescent="0.25">
      <c r="A110" t="s">
        <v>1310</v>
      </c>
      <c r="B110" t="s">
        <v>2510</v>
      </c>
      <c r="C110">
        <v>51.527301999999999</v>
      </c>
      <c r="D110">
        <v>-0.13745189999999999</v>
      </c>
      <c r="F110">
        <v>1</v>
      </c>
      <c r="G110" t="str">
        <f>IFERROR(VLOOKUP(B110, Data!H:H, 1, FALSE), "")</f>
        <v/>
      </c>
    </row>
    <row r="111" spans="1:7" x14ac:dyDescent="0.25">
      <c r="A111" t="s">
        <v>1311</v>
      </c>
      <c r="B111" t="s">
        <v>2431</v>
      </c>
      <c r="C111">
        <v>51.435684100000003</v>
      </c>
      <c r="D111">
        <v>-0.15908839999999999</v>
      </c>
      <c r="F111">
        <v>1</v>
      </c>
      <c r="G111" t="str">
        <f>IFERROR(VLOOKUP(B111, Data!H:H, 1, FALSE), "")</f>
        <v/>
      </c>
    </row>
    <row r="112" spans="1:7" x14ac:dyDescent="0.25">
      <c r="A112" t="s">
        <v>1312</v>
      </c>
      <c r="B112" t="s">
        <v>2511</v>
      </c>
      <c r="C112">
        <v>51.465091299999997</v>
      </c>
      <c r="D112">
        <v>0.10695789999999999</v>
      </c>
      <c r="F112">
        <v>1</v>
      </c>
      <c r="G112" t="str">
        <f>IFERROR(VLOOKUP(B112, Data!H:H, 1, FALSE), "")</f>
        <v/>
      </c>
    </row>
    <row r="113" spans="1:7" x14ac:dyDescent="0.25">
      <c r="A113" t="s">
        <v>1313</v>
      </c>
      <c r="B113" t="s">
        <v>2512</v>
      </c>
      <c r="C113">
        <v>51.471966000000002</v>
      </c>
      <c r="D113">
        <v>0.11271399999999999</v>
      </c>
      <c r="E113" t="s">
        <v>1206</v>
      </c>
      <c r="F113">
        <v>1</v>
      </c>
      <c r="G113" t="str">
        <f>IFERROR(VLOOKUP(B113, Data!H:H, 1, FALSE), "")</f>
        <v/>
      </c>
    </row>
    <row r="114" spans="1:7" x14ac:dyDescent="0.25">
      <c r="A114" t="s">
        <v>1314</v>
      </c>
      <c r="B114" t="s">
        <v>2513</v>
      </c>
      <c r="C114">
        <v>51.486174099999999</v>
      </c>
      <c r="D114">
        <v>8.1140199999999996E-2</v>
      </c>
      <c r="F114">
        <v>1</v>
      </c>
      <c r="G114" t="str">
        <f>IFERROR(VLOOKUP(B114, Data!H:H, 1, FALSE), "")</f>
        <v/>
      </c>
    </row>
    <row r="115" spans="1:7" x14ac:dyDescent="0.25">
      <c r="A115" t="s">
        <v>1315</v>
      </c>
      <c r="B115" t="s">
        <v>2514</v>
      </c>
      <c r="C115">
        <v>51.4689385</v>
      </c>
      <c r="D115">
        <v>0.1347834</v>
      </c>
      <c r="E115" t="s">
        <v>1206</v>
      </c>
      <c r="F115">
        <v>1</v>
      </c>
      <c r="G115" t="str">
        <f>IFERROR(VLOOKUP(B115, Data!H:H, 1, FALSE), "")</f>
        <v/>
      </c>
    </row>
    <row r="116" spans="1:7" x14ac:dyDescent="0.25">
      <c r="A116" t="s">
        <v>1316</v>
      </c>
      <c r="B116" t="s">
        <v>2515</v>
      </c>
      <c r="C116">
        <v>51.460568799999997</v>
      </c>
      <c r="D116">
        <v>0.15900619999999999</v>
      </c>
      <c r="F116">
        <v>1</v>
      </c>
      <c r="G116" t="str">
        <f>IFERROR(VLOOKUP(B116, Data!H:H, 1, FALSE), "")</f>
        <v/>
      </c>
    </row>
    <row r="117" spans="1:7" x14ac:dyDescent="0.25">
      <c r="A117" t="s">
        <v>1317</v>
      </c>
      <c r="B117" t="s">
        <v>2516</v>
      </c>
      <c r="C117">
        <v>51.504242599999998</v>
      </c>
      <c r="D117">
        <v>-0.268953</v>
      </c>
      <c r="F117">
        <v>1</v>
      </c>
      <c r="G117" t="str">
        <f>IFERROR(VLOOKUP(B117, Data!H:H, 1, FALSE), "")</f>
        <v/>
      </c>
    </row>
    <row r="118" spans="1:7" x14ac:dyDescent="0.25">
      <c r="A118" t="s">
        <v>1318</v>
      </c>
      <c r="B118" t="s">
        <v>2517</v>
      </c>
      <c r="C118">
        <v>51.449429899999998</v>
      </c>
      <c r="D118">
        <v>-5.2012500000000003E-2</v>
      </c>
      <c r="F118">
        <v>1</v>
      </c>
      <c r="G118" t="str">
        <f>IFERROR(VLOOKUP(B118, Data!H:H, 1, FALSE), "")</f>
        <v/>
      </c>
    </row>
    <row r="119" spans="1:7" x14ac:dyDescent="0.25">
      <c r="A119" t="s">
        <v>1319</v>
      </c>
      <c r="B119" t="s">
        <v>2518</v>
      </c>
      <c r="C119">
        <v>51.541157499999997</v>
      </c>
      <c r="D119">
        <v>-0.25920179999999998</v>
      </c>
      <c r="E119" t="s">
        <v>1206</v>
      </c>
      <c r="F119">
        <v>1</v>
      </c>
      <c r="G119" t="str">
        <f>IFERROR(VLOOKUP(B119, Data!H:H, 1, FALSE), "")</f>
        <v/>
      </c>
    </row>
    <row r="120" spans="1:7" x14ac:dyDescent="0.25">
      <c r="A120" t="s">
        <v>1320</v>
      </c>
      <c r="B120" t="s">
        <v>2519</v>
      </c>
      <c r="C120">
        <v>51.544544799999997</v>
      </c>
      <c r="D120">
        <v>-0.25531860000000001</v>
      </c>
      <c r="F120">
        <v>1</v>
      </c>
      <c r="G120" t="str">
        <f>IFERROR(VLOOKUP(B120, Data!H:H, 1, FALSE), "")</f>
        <v/>
      </c>
    </row>
    <row r="121" spans="1:7" x14ac:dyDescent="0.25">
      <c r="A121" t="s">
        <v>1321</v>
      </c>
      <c r="B121" t="s">
        <v>2520</v>
      </c>
      <c r="C121">
        <v>51.666892500000003</v>
      </c>
      <c r="D121">
        <v>-0.17086899999999999</v>
      </c>
      <c r="E121" t="s">
        <v>1206</v>
      </c>
      <c r="F121">
        <v>1</v>
      </c>
      <c r="G121" t="str">
        <f>IFERROR(VLOOKUP(B121, Data!H:H, 1, FALSE), "")</f>
        <v/>
      </c>
    </row>
    <row r="122" spans="1:7" x14ac:dyDescent="0.25">
      <c r="A122" t="s">
        <v>1322</v>
      </c>
      <c r="B122" t="s">
        <v>2521</v>
      </c>
      <c r="C122">
        <v>51.553469200000002</v>
      </c>
      <c r="D122">
        <v>-0.2622023</v>
      </c>
      <c r="F122">
        <v>1</v>
      </c>
      <c r="G122" t="str">
        <f>IFERROR(VLOOKUP(B122, Data!H:H, 1, FALSE), "")</f>
        <v/>
      </c>
    </row>
    <row r="123" spans="1:7" x14ac:dyDescent="0.25">
      <c r="A123" t="s">
        <v>1323</v>
      </c>
      <c r="B123" t="s">
        <v>2522</v>
      </c>
      <c r="C123">
        <v>51.432213099999998</v>
      </c>
      <c r="D123">
        <v>-7.8620899999999994E-2</v>
      </c>
      <c r="E123" t="s">
        <v>1206</v>
      </c>
      <c r="F123">
        <v>1</v>
      </c>
      <c r="G123" t="str">
        <f>IFERROR(VLOOKUP(B123, Data!H:H, 1, FALSE), "")</f>
        <v/>
      </c>
    </row>
    <row r="124" spans="1:7" x14ac:dyDescent="0.25">
      <c r="A124" t="s">
        <v>1324</v>
      </c>
      <c r="B124" t="s">
        <v>2523</v>
      </c>
      <c r="C124">
        <v>51.4678386</v>
      </c>
      <c r="D124">
        <v>-4.7450100000000002E-2</v>
      </c>
      <c r="F124">
        <v>1</v>
      </c>
      <c r="G124" t="str">
        <f>IFERROR(VLOOKUP(B124, Data!H:H, 1, FALSE), "")</f>
        <v/>
      </c>
    </row>
    <row r="125" spans="1:7" x14ac:dyDescent="0.25">
      <c r="A125" t="s">
        <v>1325</v>
      </c>
      <c r="B125" t="s">
        <v>2524</v>
      </c>
      <c r="C125">
        <v>51.544187600000001</v>
      </c>
      <c r="D125">
        <v>3.1995099999999999E-2</v>
      </c>
      <c r="F125">
        <v>1</v>
      </c>
      <c r="G125" t="str">
        <f>IFERROR(VLOOKUP(B125, Data!H:H, 1, FALSE), "")</f>
        <v/>
      </c>
    </row>
    <row r="126" spans="1:7" x14ac:dyDescent="0.25">
      <c r="A126" t="s">
        <v>1326</v>
      </c>
      <c r="B126" t="s">
        <v>2525</v>
      </c>
      <c r="C126">
        <v>51.399795699999999</v>
      </c>
      <c r="D126">
        <v>-4.3915999999999997E-2</v>
      </c>
      <c r="F126">
        <v>1</v>
      </c>
      <c r="G126" t="str">
        <f>IFERROR(VLOOKUP(B126, Data!H:H, 1, FALSE), "")</f>
        <v/>
      </c>
    </row>
    <row r="127" spans="1:7" x14ac:dyDescent="0.25">
      <c r="A127" t="s">
        <v>1327</v>
      </c>
      <c r="B127" t="s">
        <v>2526</v>
      </c>
      <c r="C127">
        <v>51.408110700000002</v>
      </c>
      <c r="D127">
        <v>-5.0594100000000003E-2</v>
      </c>
      <c r="F127">
        <v>1</v>
      </c>
      <c r="G127" t="str">
        <f>IFERROR(VLOOKUP(B127, Data!H:H, 1, FALSE), "")</f>
        <v/>
      </c>
    </row>
    <row r="128" spans="1:7" x14ac:dyDescent="0.25">
      <c r="A128" t="s">
        <v>1328</v>
      </c>
      <c r="B128" t="s">
        <v>2527</v>
      </c>
      <c r="C128">
        <v>51.407842500000001</v>
      </c>
      <c r="D128">
        <v>-5.1979299999999999E-2</v>
      </c>
      <c r="F128">
        <v>1</v>
      </c>
      <c r="G128" t="str">
        <f>IFERROR(VLOOKUP(B128, Data!H:H, 1, FALSE), "")</f>
        <v/>
      </c>
    </row>
    <row r="129" spans="1:7" x14ac:dyDescent="0.25">
      <c r="A129" t="s">
        <v>1329</v>
      </c>
      <c r="B129" t="s">
        <v>2528</v>
      </c>
      <c r="C129">
        <v>51.432836799999997</v>
      </c>
      <c r="D129">
        <v>-0.30317870000000002</v>
      </c>
      <c r="E129" t="s">
        <v>1206</v>
      </c>
      <c r="F129">
        <v>1</v>
      </c>
      <c r="G129" t="str">
        <f>IFERROR(VLOOKUP(B129, Data!H:H, 1, FALSE), "")</f>
        <v/>
      </c>
    </row>
    <row r="130" spans="1:7" x14ac:dyDescent="0.25">
      <c r="A130" t="s">
        <v>1330</v>
      </c>
      <c r="B130" t="s">
        <v>2529</v>
      </c>
      <c r="C130">
        <v>51.566858699999997</v>
      </c>
      <c r="D130">
        <v>-1.33797E-2</v>
      </c>
      <c r="F130">
        <v>1</v>
      </c>
      <c r="G130" t="str">
        <f>IFERROR(VLOOKUP(B130, Data!H:H, 1, FALSE), "")</f>
        <v/>
      </c>
    </row>
    <row r="131" spans="1:7" x14ac:dyDescent="0.25">
      <c r="A131" t="s">
        <v>1331</v>
      </c>
      <c r="B131" t="s">
        <v>2529</v>
      </c>
      <c r="C131">
        <v>51.564560700000001</v>
      </c>
      <c r="D131">
        <v>-1.2851E-2</v>
      </c>
      <c r="F131">
        <v>1</v>
      </c>
      <c r="G131" t="str">
        <f>IFERROR(VLOOKUP(B131, Data!H:H, 1, FALSE), "")</f>
        <v/>
      </c>
    </row>
    <row r="132" spans="1:7" x14ac:dyDescent="0.25">
      <c r="A132" t="s">
        <v>1332</v>
      </c>
      <c r="B132" t="s">
        <v>2529</v>
      </c>
      <c r="C132">
        <v>51.5654471</v>
      </c>
      <c r="D132">
        <v>-1.4664099999999999E-2</v>
      </c>
      <c r="F132">
        <v>1</v>
      </c>
      <c r="G132" t="str">
        <f>IFERROR(VLOOKUP(B132, Data!H:H, 1, FALSE), "")</f>
        <v/>
      </c>
    </row>
    <row r="133" spans="1:7" x14ac:dyDescent="0.25">
      <c r="A133" t="s">
        <v>1333</v>
      </c>
      <c r="B133" t="s">
        <v>2529</v>
      </c>
      <c r="C133">
        <v>51.561133499999997</v>
      </c>
      <c r="D133">
        <v>-9.8294999999999997E-3</v>
      </c>
      <c r="F133">
        <v>1</v>
      </c>
      <c r="G133" t="str">
        <f>IFERROR(VLOOKUP(B133, Data!H:H, 1, FALSE), "")</f>
        <v/>
      </c>
    </row>
    <row r="134" spans="1:7" x14ac:dyDescent="0.25">
      <c r="A134" t="s">
        <v>1334</v>
      </c>
      <c r="B134" t="s">
        <v>2530</v>
      </c>
      <c r="C134">
        <v>51.552709499999999</v>
      </c>
      <c r="D134">
        <v>2.1686500000000001E-2</v>
      </c>
      <c r="F134">
        <v>1</v>
      </c>
      <c r="G134" t="str">
        <f>IFERROR(VLOOKUP(B134, Data!H:H, 1, FALSE), "")</f>
        <v/>
      </c>
    </row>
    <row r="135" spans="1:7" x14ac:dyDescent="0.25">
      <c r="A135" t="s">
        <v>1335</v>
      </c>
      <c r="B135" t="s">
        <v>2531</v>
      </c>
      <c r="C135">
        <v>51.558165799999998</v>
      </c>
      <c r="D135">
        <v>-0.1943426</v>
      </c>
      <c r="F135">
        <v>1</v>
      </c>
      <c r="G135" t="str">
        <f>IFERROR(VLOOKUP(B135, Data!H:H, 1, FALSE), "")</f>
        <v/>
      </c>
    </row>
    <row r="136" spans="1:7" x14ac:dyDescent="0.25">
      <c r="A136" t="s">
        <v>1336</v>
      </c>
      <c r="B136" t="s">
        <v>2532</v>
      </c>
      <c r="C136">
        <v>51.547863700000001</v>
      </c>
      <c r="D136">
        <v>5.6619200000000001E-2</v>
      </c>
      <c r="F136">
        <v>1</v>
      </c>
      <c r="G136" t="str">
        <f>IFERROR(VLOOKUP(B136, Data!H:H, 1, FALSE), "")</f>
        <v/>
      </c>
    </row>
    <row r="137" spans="1:7" x14ac:dyDescent="0.25">
      <c r="A137" t="s">
        <v>1211</v>
      </c>
      <c r="B137" t="s">
        <v>2533</v>
      </c>
      <c r="C137">
        <v>51.322530200000003</v>
      </c>
      <c r="D137">
        <v>-0.14066680000000001</v>
      </c>
      <c r="F137">
        <v>1</v>
      </c>
      <c r="G137" t="str">
        <f>IFERROR(VLOOKUP(B137, Data!H:H, 1, FALSE), "")</f>
        <v/>
      </c>
    </row>
    <row r="138" spans="1:7" x14ac:dyDescent="0.25">
      <c r="A138" t="s">
        <v>1337</v>
      </c>
      <c r="B138" t="s">
        <v>2534</v>
      </c>
      <c r="C138">
        <v>51.641738400000001</v>
      </c>
      <c r="D138">
        <v>-7.8426200000000001E-2</v>
      </c>
      <c r="E138" t="s">
        <v>1206</v>
      </c>
      <c r="F138">
        <v>1</v>
      </c>
      <c r="G138" t="str">
        <f>IFERROR(VLOOKUP(B138, Data!H:H, 1, FALSE), "")</f>
        <v/>
      </c>
    </row>
    <row r="139" spans="1:7" x14ac:dyDescent="0.25">
      <c r="A139" t="s">
        <v>1338</v>
      </c>
      <c r="B139" t="s">
        <v>2535</v>
      </c>
      <c r="C139">
        <v>51.645167200000003</v>
      </c>
      <c r="D139">
        <v>-0.12663869999999999</v>
      </c>
      <c r="E139" t="s">
        <v>1206</v>
      </c>
      <c r="F139">
        <v>1</v>
      </c>
      <c r="G139" t="str">
        <f>IFERROR(VLOOKUP(B139, Data!H:H, 1, FALSE), "")</f>
        <v/>
      </c>
    </row>
    <row r="140" spans="1:7" x14ac:dyDescent="0.25">
      <c r="A140" t="s">
        <v>1339</v>
      </c>
      <c r="B140" t="s">
        <v>2536</v>
      </c>
      <c r="C140">
        <v>51.5438525</v>
      </c>
      <c r="D140">
        <v>5.5946299999999997E-2</v>
      </c>
      <c r="F140">
        <v>1</v>
      </c>
      <c r="G140" t="str">
        <f>IFERROR(VLOOKUP(B140, Data!H:H, 1, FALSE), "")</f>
        <v/>
      </c>
    </row>
    <row r="141" spans="1:7" x14ac:dyDescent="0.25">
      <c r="A141" t="s">
        <v>1340</v>
      </c>
      <c r="B141" t="s">
        <v>2537</v>
      </c>
      <c r="C141">
        <v>51.550224900000003</v>
      </c>
      <c r="D141">
        <v>-0.1005795</v>
      </c>
      <c r="F141">
        <v>1</v>
      </c>
      <c r="G141" t="str">
        <f>IFERROR(VLOOKUP(B141, Data!H:H, 1, FALSE), "")</f>
        <v/>
      </c>
    </row>
    <row r="142" spans="1:7" x14ac:dyDescent="0.25">
      <c r="A142" t="s">
        <v>1341</v>
      </c>
      <c r="B142" t="s">
        <v>2538</v>
      </c>
      <c r="C142">
        <v>51.576760200000002</v>
      </c>
      <c r="D142">
        <v>-0.42622189999999999</v>
      </c>
      <c r="E142" t="s">
        <v>1206</v>
      </c>
      <c r="F142">
        <v>1</v>
      </c>
      <c r="G142" t="str">
        <f>IFERROR(VLOOKUP(B142, Data!H:H, 1, FALSE), "")</f>
        <v/>
      </c>
    </row>
    <row r="143" spans="1:7" x14ac:dyDescent="0.25">
      <c r="A143" t="s">
        <v>1342</v>
      </c>
      <c r="B143" t="s">
        <v>2539</v>
      </c>
      <c r="C143">
        <v>51.539563299999998</v>
      </c>
      <c r="D143">
        <v>6.2949900000000003E-2</v>
      </c>
      <c r="F143">
        <v>1</v>
      </c>
      <c r="G143" t="str">
        <f>IFERROR(VLOOKUP(B143, Data!H:H, 1, FALSE), "")</f>
        <v/>
      </c>
    </row>
    <row r="144" spans="1:7" x14ac:dyDescent="0.25">
      <c r="A144" t="s">
        <v>1343</v>
      </c>
      <c r="B144" t="s">
        <v>2540</v>
      </c>
      <c r="C144">
        <v>51.490371699999997</v>
      </c>
      <c r="D144">
        <v>8.2588999999999996E-2</v>
      </c>
      <c r="F144">
        <v>1</v>
      </c>
      <c r="G144" t="str">
        <f>IFERROR(VLOOKUP(B144, Data!H:H, 1, FALSE), "")</f>
        <v/>
      </c>
    </row>
    <row r="145" spans="1:7" x14ac:dyDescent="0.25">
      <c r="A145" t="s">
        <v>1344</v>
      </c>
      <c r="B145" t="s">
        <v>2541</v>
      </c>
      <c r="C145">
        <v>51.617376899999996</v>
      </c>
      <c r="D145">
        <v>6.4409999999999999E-4</v>
      </c>
      <c r="E145" t="s">
        <v>1206</v>
      </c>
      <c r="F145">
        <v>1</v>
      </c>
      <c r="G145" t="str">
        <f>IFERROR(VLOOKUP(B145, Data!H:H, 1, FALSE), "")</f>
        <v/>
      </c>
    </row>
    <row r="146" spans="1:7" x14ac:dyDescent="0.25">
      <c r="A146" t="s">
        <v>1345</v>
      </c>
      <c r="B146" t="s">
        <v>2542</v>
      </c>
      <c r="C146">
        <v>51.622518800000002</v>
      </c>
      <c r="D146">
        <v>-1.6976499999999999E-2</v>
      </c>
      <c r="E146" t="s">
        <v>1206</v>
      </c>
      <c r="F146">
        <v>1</v>
      </c>
      <c r="G146" t="str">
        <f>IFERROR(VLOOKUP(B146, Data!H:H, 1, FALSE), "")</f>
        <v/>
      </c>
    </row>
    <row r="147" spans="1:7" x14ac:dyDescent="0.25">
      <c r="A147" t="s">
        <v>1346</v>
      </c>
      <c r="B147" t="s">
        <v>2543</v>
      </c>
      <c r="C147">
        <v>51.431629999999998</v>
      </c>
      <c r="D147">
        <v>0.1669609</v>
      </c>
      <c r="E147" t="s">
        <v>1206</v>
      </c>
      <c r="F147">
        <v>1</v>
      </c>
      <c r="G147" t="str">
        <f>IFERROR(VLOOKUP(B147, Data!H:H, 1, FALSE), "")</f>
        <v/>
      </c>
    </row>
    <row r="148" spans="1:7" x14ac:dyDescent="0.25">
      <c r="A148" t="s">
        <v>1347</v>
      </c>
      <c r="B148" t="s">
        <v>2544</v>
      </c>
      <c r="C148">
        <v>51.523054899999998</v>
      </c>
      <c r="D148">
        <v>2.4057499999999999E-2</v>
      </c>
      <c r="F148">
        <v>1</v>
      </c>
      <c r="G148" t="str">
        <f>IFERROR(VLOOKUP(B148, Data!H:H, 1, FALSE), "")</f>
        <v/>
      </c>
    </row>
    <row r="149" spans="1:7" x14ac:dyDescent="0.25">
      <c r="A149" t="s">
        <v>1348</v>
      </c>
      <c r="B149" t="s">
        <v>2545</v>
      </c>
      <c r="C149">
        <v>51.549417699999999</v>
      </c>
      <c r="D149">
        <v>-0.1077444</v>
      </c>
      <c r="F149">
        <v>1</v>
      </c>
      <c r="G149" t="str">
        <f>IFERROR(VLOOKUP(B149, Data!H:H, 1, FALSE), "")</f>
        <v/>
      </c>
    </row>
    <row r="150" spans="1:7" x14ac:dyDescent="0.25">
      <c r="A150" t="s">
        <v>718</v>
      </c>
      <c r="B150" t="s">
        <v>2546</v>
      </c>
      <c r="C150">
        <v>51.485137399999999</v>
      </c>
      <c r="D150">
        <v>-0.17871770000000001</v>
      </c>
      <c r="F150">
        <v>1</v>
      </c>
      <c r="G150" t="str">
        <f>IFERROR(VLOOKUP(B150, Data!H:H, 1, FALSE), "")</f>
        <v/>
      </c>
    </row>
    <row r="151" spans="1:7" x14ac:dyDescent="0.25">
      <c r="A151" t="s">
        <v>1349</v>
      </c>
      <c r="B151" t="s">
        <v>2547</v>
      </c>
      <c r="C151">
        <v>51.548214000000002</v>
      </c>
      <c r="D151">
        <v>-0.1018394</v>
      </c>
      <c r="F151">
        <v>1</v>
      </c>
      <c r="G151" t="str">
        <f>IFERROR(VLOOKUP(B151, Data!H:H, 1, FALSE), "")</f>
        <v/>
      </c>
    </row>
    <row r="152" spans="1:7" x14ac:dyDescent="0.25">
      <c r="A152" t="s">
        <v>1350</v>
      </c>
      <c r="B152" t="s">
        <v>2548</v>
      </c>
      <c r="C152">
        <v>51.4784656</v>
      </c>
      <c r="D152">
        <v>6.7507899999999996E-2</v>
      </c>
      <c r="E152" t="s">
        <v>1206</v>
      </c>
      <c r="F152">
        <v>1</v>
      </c>
      <c r="G152" t="str">
        <f>IFERROR(VLOOKUP(B152, Data!H:H, 1, FALSE), "")</f>
        <v/>
      </c>
    </row>
    <row r="153" spans="1:7" x14ac:dyDescent="0.25">
      <c r="A153" t="s">
        <v>1351</v>
      </c>
      <c r="B153" t="s">
        <v>2549</v>
      </c>
      <c r="C153">
        <v>51.587357400000002</v>
      </c>
      <c r="D153">
        <v>-0.1156108</v>
      </c>
      <c r="F153">
        <v>1</v>
      </c>
      <c r="G153" t="str">
        <f>IFERROR(VLOOKUP(B153, Data!H:H, 1, FALSE), "")</f>
        <v/>
      </c>
    </row>
    <row r="154" spans="1:7" x14ac:dyDescent="0.25">
      <c r="A154" t="s">
        <v>1352</v>
      </c>
      <c r="B154" t="s">
        <v>2550</v>
      </c>
      <c r="C154">
        <v>51.587505999999998</v>
      </c>
      <c r="D154">
        <v>-0.131498</v>
      </c>
      <c r="F154">
        <v>1</v>
      </c>
      <c r="G154" t="str">
        <f>IFERROR(VLOOKUP(B154, Data!H:H, 1, FALSE), "")</f>
        <v/>
      </c>
    </row>
    <row r="155" spans="1:7" x14ac:dyDescent="0.25">
      <c r="A155" t="s">
        <v>1353</v>
      </c>
      <c r="B155" t="s">
        <v>2551</v>
      </c>
      <c r="C155">
        <v>51.367983099999996</v>
      </c>
      <c r="D155">
        <v>-0.2066819</v>
      </c>
      <c r="F155">
        <v>1</v>
      </c>
      <c r="G155" t="str">
        <f>IFERROR(VLOOKUP(B155, Data!H:H, 1, FALSE), "")</f>
        <v/>
      </c>
    </row>
    <row r="156" spans="1:7" x14ac:dyDescent="0.25">
      <c r="A156" t="s">
        <v>1354</v>
      </c>
      <c r="B156" t="s">
        <v>2552</v>
      </c>
      <c r="C156">
        <v>51.443630900000002</v>
      </c>
      <c r="D156">
        <v>-0.35115849999999998</v>
      </c>
      <c r="F156">
        <v>1</v>
      </c>
      <c r="G156" t="str">
        <f>IFERROR(VLOOKUP(B156, Data!H:H, 1, FALSE), "")</f>
        <v/>
      </c>
    </row>
    <row r="157" spans="1:7" x14ac:dyDescent="0.25">
      <c r="A157" t="s">
        <v>1355</v>
      </c>
      <c r="B157" t="s">
        <v>2553</v>
      </c>
      <c r="C157">
        <v>51.401195100000002</v>
      </c>
      <c r="D157">
        <v>-0.28845159999999997</v>
      </c>
      <c r="F157">
        <v>1</v>
      </c>
      <c r="G157" t="str">
        <f>IFERROR(VLOOKUP(B157, Data!H:H, 1, FALSE), "")</f>
        <v/>
      </c>
    </row>
    <row r="158" spans="1:7" x14ac:dyDescent="0.25">
      <c r="A158" t="s">
        <v>1356</v>
      </c>
      <c r="B158" t="s">
        <v>2554</v>
      </c>
      <c r="C158">
        <v>51.609774799999997</v>
      </c>
      <c r="D158">
        <v>-0.3708379</v>
      </c>
      <c r="E158" t="s">
        <v>1206</v>
      </c>
      <c r="F158">
        <v>1</v>
      </c>
      <c r="G158" t="str">
        <f>IFERROR(VLOOKUP(B158, Data!H:H, 1, FALSE), "")</f>
        <v/>
      </c>
    </row>
    <row r="159" spans="1:7" x14ac:dyDescent="0.25">
      <c r="A159" t="s">
        <v>1257</v>
      </c>
      <c r="B159" t="s">
        <v>215</v>
      </c>
      <c r="C159">
        <v>51.565551499999998</v>
      </c>
      <c r="D159">
        <v>-0.1005926</v>
      </c>
      <c r="E159" t="s">
        <v>1206</v>
      </c>
      <c r="F159">
        <v>1</v>
      </c>
    </row>
    <row r="160" spans="1:7" x14ac:dyDescent="0.25">
      <c r="A160" t="s">
        <v>1357</v>
      </c>
      <c r="B160" t="s">
        <v>2555</v>
      </c>
      <c r="C160">
        <v>51.506657699999998</v>
      </c>
      <c r="D160">
        <v>-0.2399028</v>
      </c>
      <c r="E160" t="s">
        <v>1206</v>
      </c>
      <c r="F160">
        <v>1</v>
      </c>
      <c r="G160" t="str">
        <f>IFERROR(VLOOKUP(B160, Data!H:H, 1, FALSE), "")</f>
        <v/>
      </c>
    </row>
    <row r="161" spans="1:7" x14ac:dyDescent="0.25">
      <c r="A161" t="s">
        <v>1358</v>
      </c>
      <c r="B161" t="s">
        <v>2556</v>
      </c>
      <c r="C161">
        <v>51.490502599999999</v>
      </c>
      <c r="D161">
        <v>0.16104109999999999</v>
      </c>
      <c r="F161">
        <v>1</v>
      </c>
      <c r="G161" t="str">
        <f>IFERROR(VLOOKUP(B161, Data!H:H, 1, FALSE), "")</f>
        <v/>
      </c>
    </row>
    <row r="162" spans="1:7" x14ac:dyDescent="0.25">
      <c r="A162" t="s">
        <v>1359</v>
      </c>
      <c r="B162" t="s">
        <v>2557</v>
      </c>
      <c r="C162">
        <v>51.415705000000003</v>
      </c>
      <c r="D162">
        <v>-0.29787219999999998</v>
      </c>
      <c r="F162">
        <v>1</v>
      </c>
      <c r="G162" t="str">
        <f>IFERROR(VLOOKUP(B162, Data!H:H, 1, FALSE), "")</f>
        <v/>
      </c>
    </row>
    <row r="163" spans="1:7" x14ac:dyDescent="0.25">
      <c r="A163" t="s">
        <v>1360</v>
      </c>
      <c r="B163" t="s">
        <v>2558</v>
      </c>
      <c r="C163">
        <v>51.4479878</v>
      </c>
      <c r="D163">
        <v>3.66019E-2</v>
      </c>
      <c r="E163" t="s">
        <v>1206</v>
      </c>
      <c r="F163">
        <v>1</v>
      </c>
      <c r="G163" t="str">
        <f>IFERROR(VLOOKUP(B163, Data!H:H, 1, FALSE), "")</f>
        <v/>
      </c>
    </row>
    <row r="164" spans="1:7" x14ac:dyDescent="0.25">
      <c r="A164" t="s">
        <v>1361</v>
      </c>
      <c r="B164" t="s">
        <v>2559</v>
      </c>
      <c r="C164">
        <v>51.608170999999999</v>
      </c>
      <c r="D164">
        <v>-0.2893676</v>
      </c>
      <c r="E164" t="s">
        <v>1206</v>
      </c>
      <c r="F164">
        <v>1</v>
      </c>
      <c r="G164" t="str">
        <f>IFERROR(VLOOKUP(B164, Data!H:H, 1, FALSE), "")</f>
        <v/>
      </c>
    </row>
    <row r="165" spans="1:7" x14ac:dyDescent="0.25">
      <c r="A165" t="s">
        <v>1362</v>
      </c>
      <c r="B165" t="s">
        <v>2560</v>
      </c>
      <c r="C165">
        <v>51.4240572</v>
      </c>
      <c r="D165">
        <v>0.1049456</v>
      </c>
      <c r="F165">
        <v>1</v>
      </c>
      <c r="G165" t="str">
        <f>IFERROR(VLOOKUP(B165, Data!H:H, 1, FALSE), "")</f>
        <v/>
      </c>
    </row>
    <row r="166" spans="1:7" x14ac:dyDescent="0.25">
      <c r="A166" t="s">
        <v>1363</v>
      </c>
      <c r="B166" t="s">
        <v>2561</v>
      </c>
      <c r="C166">
        <v>51.4913752</v>
      </c>
      <c r="D166">
        <v>-0.24183499999999999</v>
      </c>
      <c r="E166" t="s">
        <v>1206</v>
      </c>
      <c r="F166">
        <v>1</v>
      </c>
      <c r="G166" t="str">
        <f>IFERROR(VLOOKUP(B166, Data!H:H, 1, FALSE), "")</f>
        <v/>
      </c>
    </row>
    <row r="167" spans="1:7" x14ac:dyDescent="0.25">
      <c r="A167" t="s">
        <v>1364</v>
      </c>
      <c r="B167" t="s">
        <v>2562</v>
      </c>
      <c r="C167">
        <v>51.426935700000001</v>
      </c>
      <c r="D167">
        <v>0.10531989999999999</v>
      </c>
      <c r="F167">
        <v>1</v>
      </c>
      <c r="G167" t="str">
        <f>IFERROR(VLOOKUP(B167, Data!H:H, 1, FALSE), "")</f>
        <v/>
      </c>
    </row>
    <row r="168" spans="1:7" x14ac:dyDescent="0.25">
      <c r="A168" t="s">
        <v>1365</v>
      </c>
      <c r="B168" t="s">
        <v>2563</v>
      </c>
      <c r="C168">
        <v>51.402104100000003</v>
      </c>
      <c r="D168">
        <v>4.97615E-2</v>
      </c>
      <c r="E168" t="s">
        <v>1206</v>
      </c>
      <c r="F168">
        <v>1</v>
      </c>
      <c r="G168" t="str">
        <f>IFERROR(VLOOKUP(B168, Data!H:H, 1, FALSE), "")</f>
        <v/>
      </c>
    </row>
    <row r="169" spans="1:7" x14ac:dyDescent="0.25">
      <c r="A169" t="s">
        <v>1366</v>
      </c>
      <c r="B169" t="s">
        <v>2564</v>
      </c>
      <c r="C169">
        <v>51.395942699999999</v>
      </c>
      <c r="D169">
        <v>3.7777600000000001E-2</v>
      </c>
      <c r="F169">
        <v>1</v>
      </c>
      <c r="G169" t="str">
        <f>IFERROR(VLOOKUP(B169, Data!H:H, 1, FALSE), "")</f>
        <v/>
      </c>
    </row>
    <row r="170" spans="1:7" x14ac:dyDescent="0.25">
      <c r="A170" t="s">
        <v>1367</v>
      </c>
      <c r="B170" t="s">
        <v>2565</v>
      </c>
      <c r="C170">
        <v>51.388771800000001</v>
      </c>
      <c r="D170">
        <v>5.1679000000000003E-2</v>
      </c>
      <c r="F170">
        <v>1</v>
      </c>
      <c r="G170" t="str">
        <f>IFERROR(VLOOKUP(B170, Data!H:H, 1, FALSE), "")</f>
        <v/>
      </c>
    </row>
    <row r="171" spans="1:7" x14ac:dyDescent="0.25">
      <c r="A171" t="s">
        <v>1368</v>
      </c>
      <c r="B171" t="s">
        <v>2566</v>
      </c>
      <c r="C171">
        <v>51.427616899999997</v>
      </c>
      <c r="D171">
        <v>4.1979900000000001E-2</v>
      </c>
      <c r="F171">
        <v>1</v>
      </c>
      <c r="G171" t="str">
        <f>IFERROR(VLOOKUP(B171, Data!H:H, 1, FALSE), "")</f>
        <v/>
      </c>
    </row>
    <row r="172" spans="1:7" x14ac:dyDescent="0.25">
      <c r="A172" t="s">
        <v>1369</v>
      </c>
      <c r="B172" t="s">
        <v>2567</v>
      </c>
      <c r="C172">
        <v>51.478152999999999</v>
      </c>
      <c r="D172">
        <v>-0.1211752</v>
      </c>
      <c r="E172" t="s">
        <v>1206</v>
      </c>
      <c r="F172">
        <v>1</v>
      </c>
      <c r="G172" t="str">
        <f>IFERROR(VLOOKUP(B172, Data!H:H, 1, FALSE), "")</f>
        <v/>
      </c>
    </row>
    <row r="173" spans="1:7" x14ac:dyDescent="0.25">
      <c r="A173" t="s">
        <v>1353</v>
      </c>
      <c r="B173" t="s">
        <v>2568</v>
      </c>
      <c r="C173">
        <v>51.429096800000003</v>
      </c>
      <c r="D173">
        <v>5.6647000000000003E-2</v>
      </c>
      <c r="E173" t="s">
        <v>1206</v>
      </c>
      <c r="F173">
        <v>1</v>
      </c>
      <c r="G173" t="str">
        <f>IFERROR(VLOOKUP(B173, Data!H:H, 1, FALSE), "")</f>
        <v/>
      </c>
    </row>
    <row r="174" spans="1:7" x14ac:dyDescent="0.25">
      <c r="A174" t="s">
        <v>1370</v>
      </c>
      <c r="B174" t="s">
        <v>2569</v>
      </c>
      <c r="C174">
        <v>51.419161600000002</v>
      </c>
      <c r="D174">
        <v>6.7282599999999998E-2</v>
      </c>
      <c r="E174" t="s">
        <v>1206</v>
      </c>
      <c r="F174">
        <v>1</v>
      </c>
      <c r="G174" t="str">
        <f>IFERROR(VLOOKUP(B174, Data!H:H, 1, FALSE), "")</f>
        <v/>
      </c>
    </row>
    <row r="175" spans="1:7" x14ac:dyDescent="0.25">
      <c r="A175" t="s">
        <v>1371</v>
      </c>
      <c r="B175" t="s">
        <v>2570</v>
      </c>
      <c r="C175">
        <v>51.403639400000003</v>
      </c>
      <c r="D175">
        <v>0.1038659</v>
      </c>
      <c r="F175">
        <v>1</v>
      </c>
      <c r="G175" t="str">
        <f>IFERROR(VLOOKUP(B175, Data!H:H, 1, FALSE), "")</f>
        <v/>
      </c>
    </row>
    <row r="176" spans="1:7" x14ac:dyDescent="0.25">
      <c r="A176" t="s">
        <v>1372</v>
      </c>
      <c r="B176" t="s">
        <v>2571</v>
      </c>
      <c r="C176">
        <v>51.395972800000003</v>
      </c>
      <c r="D176">
        <v>0.10761560000000001</v>
      </c>
      <c r="F176">
        <v>1</v>
      </c>
      <c r="G176" t="str">
        <f>IFERROR(VLOOKUP(B176, Data!H:H, 1, FALSE), "")</f>
        <v/>
      </c>
    </row>
    <row r="177" spans="1:7" x14ac:dyDescent="0.25">
      <c r="A177" t="s">
        <v>1373</v>
      </c>
      <c r="B177" t="s">
        <v>2572</v>
      </c>
      <c r="C177">
        <v>51.488140600000001</v>
      </c>
      <c r="D177">
        <v>-0.1627719</v>
      </c>
      <c r="F177">
        <v>1</v>
      </c>
      <c r="G177" t="str">
        <f>IFERROR(VLOOKUP(B177, Data!H:H, 1, FALSE), "")</f>
        <v/>
      </c>
    </row>
    <row r="178" spans="1:7" x14ac:dyDescent="0.25">
      <c r="A178" t="s">
        <v>1374</v>
      </c>
      <c r="B178" t="s">
        <v>2573</v>
      </c>
      <c r="C178">
        <v>51.452447399999997</v>
      </c>
      <c r="D178">
        <v>-7.0273999999999996E-3</v>
      </c>
      <c r="E178" t="s">
        <v>1206</v>
      </c>
      <c r="F178">
        <v>1</v>
      </c>
      <c r="G178" t="str">
        <f>IFERROR(VLOOKUP(B178, Data!H:H, 1, FALSE), "")</f>
        <v/>
      </c>
    </row>
    <row r="179" spans="1:7" x14ac:dyDescent="0.25">
      <c r="A179" t="s">
        <v>1375</v>
      </c>
      <c r="B179" t="s">
        <v>2574</v>
      </c>
      <c r="C179">
        <v>51.474116299999999</v>
      </c>
      <c r="D179">
        <v>-2.5534000000000001E-2</v>
      </c>
      <c r="F179">
        <v>1</v>
      </c>
      <c r="G179" t="str">
        <f>IFERROR(VLOOKUP(B179, Data!H:H, 1, FALSE), "")</f>
        <v/>
      </c>
    </row>
    <row r="180" spans="1:7" x14ac:dyDescent="0.25">
      <c r="A180" t="s">
        <v>1216</v>
      </c>
      <c r="B180" t="s">
        <v>2575</v>
      </c>
      <c r="C180">
        <v>51.428314200000003</v>
      </c>
      <c r="D180">
        <v>-1.12187E-2</v>
      </c>
      <c r="E180" t="s">
        <v>1206</v>
      </c>
      <c r="F180">
        <v>1</v>
      </c>
      <c r="G180" t="str">
        <f>IFERROR(VLOOKUP(B180, Data!H:H, 1, FALSE), "")</f>
        <v/>
      </c>
    </row>
    <row r="181" spans="1:7" x14ac:dyDescent="0.25">
      <c r="A181" t="s">
        <v>1376</v>
      </c>
      <c r="B181" t="s">
        <v>2576</v>
      </c>
      <c r="C181">
        <v>51.412995199999997</v>
      </c>
      <c r="D181">
        <v>1.50215E-2</v>
      </c>
      <c r="E181" t="s">
        <v>1206</v>
      </c>
      <c r="F181">
        <v>1</v>
      </c>
      <c r="G181" t="str">
        <f>IFERROR(VLOOKUP(B181, Data!H:H, 1, FALSE), "")</f>
        <v/>
      </c>
    </row>
    <row r="182" spans="1:7" x14ac:dyDescent="0.25">
      <c r="A182" t="s">
        <v>1377</v>
      </c>
      <c r="B182" t="s">
        <v>2577</v>
      </c>
      <c r="C182">
        <v>51.4576183</v>
      </c>
      <c r="D182">
        <v>8.1726000000000004E-3</v>
      </c>
      <c r="F182">
        <v>1</v>
      </c>
      <c r="G182" t="str">
        <f>IFERROR(VLOOKUP(B182, Data!H:H, 1, FALSE), "")</f>
        <v/>
      </c>
    </row>
    <row r="183" spans="1:7" x14ac:dyDescent="0.25">
      <c r="A183" t="s">
        <v>1378</v>
      </c>
      <c r="B183" t="s">
        <v>2578</v>
      </c>
      <c r="C183">
        <v>51.456693100000003</v>
      </c>
      <c r="D183">
        <v>7.8808000000000003E-3</v>
      </c>
      <c r="F183">
        <v>1</v>
      </c>
      <c r="G183" t="str">
        <f>IFERROR(VLOOKUP(B183, Data!H:H, 1, FALSE), "")</f>
        <v/>
      </c>
    </row>
    <row r="184" spans="1:7" x14ac:dyDescent="0.25">
      <c r="A184" t="s">
        <v>1379</v>
      </c>
      <c r="B184" t="s">
        <v>2579</v>
      </c>
      <c r="C184">
        <v>51.494510900000002</v>
      </c>
      <c r="D184">
        <v>-8.0201599999999998E-2</v>
      </c>
      <c r="F184">
        <v>1</v>
      </c>
      <c r="G184" t="str">
        <f>IFERROR(VLOOKUP(B184, Data!H:H, 1, FALSE), "")</f>
        <v/>
      </c>
    </row>
    <row r="185" spans="1:7" x14ac:dyDescent="0.25">
      <c r="A185" t="s">
        <v>1209</v>
      </c>
      <c r="B185" t="s">
        <v>2580</v>
      </c>
      <c r="C185">
        <v>51.418745800000003</v>
      </c>
      <c r="D185">
        <v>-4.8704999999999998E-2</v>
      </c>
      <c r="E185" t="s">
        <v>1206</v>
      </c>
      <c r="F185">
        <v>1</v>
      </c>
      <c r="G185" t="str">
        <f>IFERROR(VLOOKUP(B185, Data!H:H, 1, FALSE), "")</f>
        <v/>
      </c>
    </row>
    <row r="186" spans="1:7" x14ac:dyDescent="0.25">
      <c r="A186" t="s">
        <v>1283</v>
      </c>
      <c r="B186" t="s">
        <v>2581</v>
      </c>
      <c r="C186">
        <v>51.409589799999999</v>
      </c>
      <c r="D186">
        <v>-6.1474300000000003E-2</v>
      </c>
      <c r="E186" t="s">
        <v>1206</v>
      </c>
      <c r="F186">
        <v>1</v>
      </c>
      <c r="G186" t="str">
        <f>IFERROR(VLOOKUP(B186, Data!H:H, 1, FALSE), "")</f>
        <v/>
      </c>
    </row>
    <row r="187" spans="1:7" x14ac:dyDescent="0.25">
      <c r="A187" t="s">
        <v>1380</v>
      </c>
      <c r="B187" t="s">
        <v>2582</v>
      </c>
      <c r="C187">
        <v>51.5028285</v>
      </c>
      <c r="D187">
        <v>-0.22267870000000001</v>
      </c>
      <c r="F187">
        <v>1</v>
      </c>
      <c r="G187" t="str">
        <f>IFERROR(VLOOKUP(B187, Data!H:H, 1, FALSE), "")</f>
        <v/>
      </c>
    </row>
    <row r="188" spans="1:7" x14ac:dyDescent="0.25">
      <c r="A188" t="s">
        <v>1381</v>
      </c>
      <c r="B188" t="s">
        <v>2583</v>
      </c>
      <c r="C188">
        <v>51.515810700000003</v>
      </c>
      <c r="D188">
        <v>-0.41947459999999998</v>
      </c>
      <c r="F188">
        <v>1</v>
      </c>
      <c r="G188" t="str">
        <f>IFERROR(VLOOKUP(B188, Data!H:H, 1, FALSE), "")</f>
        <v/>
      </c>
    </row>
    <row r="189" spans="1:7" x14ac:dyDescent="0.25">
      <c r="A189" t="s">
        <v>1382</v>
      </c>
      <c r="B189" t="s">
        <v>2584</v>
      </c>
      <c r="C189">
        <v>51.6013284</v>
      </c>
      <c r="D189">
        <v>-0.1125483</v>
      </c>
      <c r="F189">
        <v>1</v>
      </c>
      <c r="G189" t="str">
        <f>IFERROR(VLOOKUP(B189, Data!H:H, 1, FALSE), "")</f>
        <v/>
      </c>
    </row>
    <row r="190" spans="1:7" x14ac:dyDescent="0.25">
      <c r="A190" t="s">
        <v>1383</v>
      </c>
      <c r="B190" t="s">
        <v>2585</v>
      </c>
      <c r="C190">
        <v>51.340753800000002</v>
      </c>
      <c r="D190">
        <v>-8.1547000000000008E-3</v>
      </c>
      <c r="F190">
        <v>1</v>
      </c>
      <c r="G190" t="str">
        <f>IFERROR(VLOOKUP(B190, Data!H:H, 1, FALSE), "")</f>
        <v/>
      </c>
    </row>
    <row r="191" spans="1:7" x14ac:dyDescent="0.25">
      <c r="A191" t="s">
        <v>1384</v>
      </c>
      <c r="B191" t="s">
        <v>2586</v>
      </c>
      <c r="C191">
        <v>51.339785900000003</v>
      </c>
      <c r="D191">
        <v>-9.3814999999999992E-3</v>
      </c>
      <c r="F191">
        <v>1</v>
      </c>
      <c r="G191" t="str">
        <f>IFERROR(VLOOKUP(B191, Data!H:H, 1, FALSE), "")</f>
        <v/>
      </c>
    </row>
    <row r="192" spans="1:7" x14ac:dyDescent="0.25">
      <c r="A192" t="s">
        <v>1385</v>
      </c>
      <c r="B192" t="s">
        <v>2587</v>
      </c>
      <c r="C192">
        <v>51.3442522</v>
      </c>
      <c r="D192">
        <v>-5.4333000000000003E-3</v>
      </c>
      <c r="F192">
        <v>1</v>
      </c>
      <c r="G192" t="str">
        <f>IFERROR(VLOOKUP(B192, Data!H:H, 1, FALSE), "")</f>
        <v/>
      </c>
    </row>
    <row r="193" spans="1:7" x14ac:dyDescent="0.25">
      <c r="A193" t="s">
        <v>1386</v>
      </c>
      <c r="B193" t="s">
        <v>2588</v>
      </c>
      <c r="C193">
        <v>51.354204899999999</v>
      </c>
      <c r="D193">
        <v>-1.8597599999999999E-2</v>
      </c>
      <c r="F193">
        <v>1</v>
      </c>
      <c r="G193" t="str">
        <f>IFERROR(VLOOKUP(B193, Data!H:H, 1, FALSE), "")</f>
        <v/>
      </c>
    </row>
    <row r="194" spans="1:7" x14ac:dyDescent="0.25">
      <c r="A194" t="s">
        <v>1387</v>
      </c>
      <c r="B194" t="s">
        <v>2544</v>
      </c>
      <c r="C194">
        <v>51.520500300000002</v>
      </c>
      <c r="D194">
        <v>1.8378700000000001E-2</v>
      </c>
      <c r="F194">
        <v>1</v>
      </c>
      <c r="G194" t="str">
        <f>IFERROR(VLOOKUP(B194, Data!H:H, 1, FALSE), "")</f>
        <v/>
      </c>
    </row>
    <row r="195" spans="1:7" x14ac:dyDescent="0.25">
      <c r="A195" t="s">
        <v>1388</v>
      </c>
      <c r="B195" t="s">
        <v>2589</v>
      </c>
      <c r="C195">
        <v>51.520398800000002</v>
      </c>
      <c r="D195">
        <v>1.8078299999999999E-2</v>
      </c>
      <c r="F195">
        <v>1</v>
      </c>
      <c r="G195" t="str">
        <f>IFERROR(VLOOKUP(B195, Data!H:H, 1, FALSE), "")</f>
        <v/>
      </c>
    </row>
    <row r="196" spans="1:7" x14ac:dyDescent="0.25">
      <c r="A196" t="s">
        <v>1389</v>
      </c>
      <c r="B196" t="s">
        <v>2590</v>
      </c>
      <c r="C196">
        <v>51.593272499999998</v>
      </c>
      <c r="D196">
        <v>-6.91359E-2</v>
      </c>
      <c r="F196">
        <v>1</v>
      </c>
      <c r="G196" t="str">
        <f>IFERROR(VLOOKUP(B196, Data!H:H, 1, FALSE), "")</f>
        <v/>
      </c>
    </row>
    <row r="197" spans="1:7" x14ac:dyDescent="0.25">
      <c r="A197" t="s">
        <v>1390</v>
      </c>
      <c r="B197" t="s">
        <v>2591</v>
      </c>
      <c r="C197">
        <v>51.528205</v>
      </c>
      <c r="D197">
        <v>-0.1212167</v>
      </c>
      <c r="F197">
        <v>1</v>
      </c>
      <c r="G197" t="str">
        <f>IFERROR(VLOOKUP(B197, Data!H:H, 1, FALSE), "")</f>
        <v/>
      </c>
    </row>
    <row r="198" spans="1:7" x14ac:dyDescent="0.25">
      <c r="A198" t="s">
        <v>1391</v>
      </c>
      <c r="B198" t="s">
        <v>2592</v>
      </c>
      <c r="C198">
        <v>51.465545900000002</v>
      </c>
      <c r="D198">
        <v>-0.3636412</v>
      </c>
      <c r="F198">
        <v>1</v>
      </c>
      <c r="G198" t="str">
        <f>IFERROR(VLOOKUP(B198, Data!H:H, 1, FALSE), "")</f>
        <v/>
      </c>
    </row>
    <row r="199" spans="1:7" x14ac:dyDescent="0.25">
      <c r="A199" t="s">
        <v>1392</v>
      </c>
      <c r="B199" t="s">
        <v>2593</v>
      </c>
      <c r="C199">
        <v>51.426443399999997</v>
      </c>
      <c r="D199">
        <v>0.13621240000000001</v>
      </c>
      <c r="F199">
        <v>1</v>
      </c>
      <c r="G199" t="str">
        <f>IFERROR(VLOOKUP(B199, Data!H:H, 1, FALSE), "")</f>
        <v/>
      </c>
    </row>
    <row r="200" spans="1:7" x14ac:dyDescent="0.25">
      <c r="A200" t="s">
        <v>1393</v>
      </c>
      <c r="B200" t="s">
        <v>2594</v>
      </c>
      <c r="C200">
        <v>51.425356999999998</v>
      </c>
      <c r="D200">
        <v>0.13319110000000001</v>
      </c>
      <c r="E200" t="s">
        <v>1206</v>
      </c>
      <c r="F200">
        <v>1</v>
      </c>
      <c r="G200" t="str">
        <f>IFERROR(VLOOKUP(B200, Data!H:H, 1, FALSE), "")</f>
        <v/>
      </c>
    </row>
    <row r="201" spans="1:7" x14ac:dyDescent="0.25">
      <c r="A201" t="s">
        <v>1394</v>
      </c>
      <c r="B201" t="s">
        <v>2529</v>
      </c>
      <c r="C201">
        <v>51.563367800000002</v>
      </c>
      <c r="D201">
        <v>-1.69541E-2</v>
      </c>
      <c r="F201">
        <v>1</v>
      </c>
      <c r="G201" t="str">
        <f>IFERROR(VLOOKUP(B201, Data!H:H, 1, FALSE), "")</f>
        <v/>
      </c>
    </row>
    <row r="202" spans="1:7" x14ac:dyDescent="0.25">
      <c r="A202" t="s">
        <v>1395</v>
      </c>
      <c r="B202" t="s">
        <v>2595</v>
      </c>
      <c r="C202">
        <v>51.424810000000001</v>
      </c>
      <c r="D202">
        <v>-0.1426946</v>
      </c>
      <c r="F202">
        <v>1</v>
      </c>
      <c r="G202" t="str">
        <f>IFERROR(VLOOKUP(B202, Data!H:H, 1, FALSE), "")</f>
        <v/>
      </c>
    </row>
    <row r="203" spans="1:7" x14ac:dyDescent="0.25">
      <c r="A203" t="s">
        <v>1396</v>
      </c>
      <c r="B203" t="s">
        <v>2596</v>
      </c>
      <c r="C203">
        <v>51.596823700000002</v>
      </c>
      <c r="D203">
        <v>-0.11538130000000001</v>
      </c>
      <c r="F203">
        <v>1</v>
      </c>
      <c r="G203" t="str">
        <f>IFERROR(VLOOKUP(B203, Data!H:H, 1, FALSE), "")</f>
        <v/>
      </c>
    </row>
    <row r="204" spans="1:7" x14ac:dyDescent="0.25">
      <c r="A204" t="s">
        <v>1397</v>
      </c>
      <c r="B204" t="s">
        <v>2597</v>
      </c>
      <c r="C204">
        <v>51.436769699999999</v>
      </c>
      <c r="D204">
        <v>-0.1054281</v>
      </c>
      <c r="F204">
        <v>1</v>
      </c>
      <c r="G204" t="str">
        <f>IFERROR(VLOOKUP(B204, Data!H:H, 1, FALSE), "")</f>
        <v/>
      </c>
    </row>
    <row r="205" spans="1:7" x14ac:dyDescent="0.25">
      <c r="A205" t="s">
        <v>1398</v>
      </c>
      <c r="B205" t="s">
        <v>2598</v>
      </c>
      <c r="C205">
        <v>51.592119099999998</v>
      </c>
      <c r="D205">
        <v>-7.0055699999999999E-2</v>
      </c>
      <c r="F205">
        <v>1</v>
      </c>
      <c r="G205" t="str">
        <f>IFERROR(VLOOKUP(B205, Data!H:H, 1, FALSE), "")</f>
        <v/>
      </c>
    </row>
    <row r="206" spans="1:7" x14ac:dyDescent="0.25">
      <c r="A206" t="s">
        <v>1257</v>
      </c>
      <c r="B206" t="s">
        <v>2599</v>
      </c>
      <c r="C206">
        <v>51.6161575</v>
      </c>
      <c r="D206">
        <v>0.1822685</v>
      </c>
      <c r="E206" t="s">
        <v>1206</v>
      </c>
      <c r="F206">
        <v>1</v>
      </c>
      <c r="G206" t="str">
        <f>IFERROR(VLOOKUP(B206, Data!H:H, 1, FALSE), "")</f>
        <v/>
      </c>
    </row>
    <row r="207" spans="1:7" x14ac:dyDescent="0.25">
      <c r="A207" t="s">
        <v>1399</v>
      </c>
      <c r="B207" t="s">
        <v>2600</v>
      </c>
      <c r="C207">
        <v>51.548077900000003</v>
      </c>
      <c r="D207">
        <v>-0.4486851</v>
      </c>
      <c r="E207" t="s">
        <v>1206</v>
      </c>
      <c r="F207">
        <v>1</v>
      </c>
      <c r="G207" t="str">
        <f>IFERROR(VLOOKUP(B207, Data!H:H, 1, FALSE), "")</f>
        <v/>
      </c>
    </row>
    <row r="208" spans="1:7" x14ac:dyDescent="0.25">
      <c r="A208" t="s">
        <v>1400</v>
      </c>
      <c r="B208" t="s">
        <v>2601</v>
      </c>
      <c r="C208">
        <v>51.582155899999997</v>
      </c>
      <c r="D208">
        <v>-0.30613760000000001</v>
      </c>
      <c r="F208">
        <v>1</v>
      </c>
      <c r="G208" t="str">
        <f>IFERROR(VLOOKUP(B208, Data!H:H, 1, FALSE), "")</f>
        <v/>
      </c>
    </row>
    <row r="209" spans="1:7" x14ac:dyDescent="0.25">
      <c r="A209" t="s">
        <v>1401</v>
      </c>
      <c r="B209" t="s">
        <v>2602</v>
      </c>
      <c r="C209">
        <v>51.408772599999999</v>
      </c>
      <c r="D209">
        <v>2.3087400000000001E-2</v>
      </c>
      <c r="E209" t="s">
        <v>1206</v>
      </c>
      <c r="F209">
        <v>1</v>
      </c>
      <c r="G209" t="str">
        <f>IFERROR(VLOOKUP(B209, Data!H:H, 1, FALSE), "")</f>
        <v/>
      </c>
    </row>
    <row r="210" spans="1:7" x14ac:dyDescent="0.25">
      <c r="A210" t="s">
        <v>1402</v>
      </c>
      <c r="B210" t="s">
        <v>2603</v>
      </c>
      <c r="C210">
        <v>51.463582799999998</v>
      </c>
      <c r="D210">
        <v>5.02634E-2</v>
      </c>
      <c r="F210">
        <v>1</v>
      </c>
      <c r="G210" t="str">
        <f>IFERROR(VLOOKUP(B210, Data!H:H, 1, FALSE), "")</f>
        <v/>
      </c>
    </row>
    <row r="211" spans="1:7" x14ac:dyDescent="0.25">
      <c r="A211" t="s">
        <v>1403</v>
      </c>
      <c r="B211" t="s">
        <v>2604</v>
      </c>
      <c r="C211">
        <v>51.556009500000002</v>
      </c>
      <c r="D211">
        <v>0.14010909999999999</v>
      </c>
      <c r="E211" t="s">
        <v>1206</v>
      </c>
      <c r="F211">
        <v>1</v>
      </c>
      <c r="G211" t="str">
        <f>IFERROR(VLOOKUP(B211, Data!H:H, 1, FALSE), "")</f>
        <v/>
      </c>
    </row>
    <row r="212" spans="1:7" x14ac:dyDescent="0.25">
      <c r="A212" t="s">
        <v>1404</v>
      </c>
      <c r="B212" t="s">
        <v>2605</v>
      </c>
      <c r="C212">
        <v>51.546063799999999</v>
      </c>
      <c r="D212">
        <v>0.15191299999999999</v>
      </c>
      <c r="E212" t="s">
        <v>1206</v>
      </c>
      <c r="F212">
        <v>1</v>
      </c>
      <c r="G212" t="str">
        <f>IFERROR(VLOOKUP(B212, Data!H:H, 1, FALSE), "")</f>
        <v/>
      </c>
    </row>
    <row r="213" spans="1:7" x14ac:dyDescent="0.25">
      <c r="A213" t="s">
        <v>1405</v>
      </c>
      <c r="B213" t="s">
        <v>2606</v>
      </c>
      <c r="C213">
        <v>51.528385200000002</v>
      </c>
      <c r="D213">
        <v>9.9631700000000004E-2</v>
      </c>
      <c r="E213" t="s">
        <v>1206</v>
      </c>
      <c r="F213">
        <v>1</v>
      </c>
      <c r="G213" t="str">
        <f>IFERROR(VLOOKUP(B213, Data!H:H, 1, FALSE), "")</f>
        <v/>
      </c>
    </row>
    <row r="214" spans="1:7" x14ac:dyDescent="0.25">
      <c r="A214" t="s">
        <v>1406</v>
      </c>
      <c r="B214" t="s">
        <v>2607</v>
      </c>
      <c r="C214">
        <v>51.543437599999997</v>
      </c>
      <c r="D214">
        <v>9.4500700000000007E-2</v>
      </c>
      <c r="E214" t="s">
        <v>1206</v>
      </c>
      <c r="F214">
        <v>1</v>
      </c>
      <c r="G214" t="str">
        <f>IFERROR(VLOOKUP(B214, Data!H:H, 1, FALSE), "")</f>
        <v/>
      </c>
    </row>
    <row r="215" spans="1:7" x14ac:dyDescent="0.25">
      <c r="A215" t="s">
        <v>1407</v>
      </c>
      <c r="B215" t="s">
        <v>2608</v>
      </c>
      <c r="C215">
        <v>51.585601699999998</v>
      </c>
      <c r="D215">
        <v>0.1348615</v>
      </c>
      <c r="E215" t="s">
        <v>1206</v>
      </c>
      <c r="F215">
        <v>1</v>
      </c>
      <c r="G215" t="str">
        <f>IFERROR(VLOOKUP(B215, Data!H:H, 1, FALSE), "")</f>
        <v/>
      </c>
    </row>
    <row r="216" spans="1:7" x14ac:dyDescent="0.25">
      <c r="A216" t="s">
        <v>1408</v>
      </c>
      <c r="B216" t="s">
        <v>2609</v>
      </c>
      <c r="C216">
        <v>51.617616599999998</v>
      </c>
      <c r="D216">
        <v>-0.18449160000000001</v>
      </c>
      <c r="F216">
        <v>1</v>
      </c>
      <c r="G216" t="str">
        <f>IFERROR(VLOOKUP(B216, Data!H:H, 1, FALSE), "")</f>
        <v/>
      </c>
    </row>
    <row r="217" spans="1:7" x14ac:dyDescent="0.25">
      <c r="A217" t="s">
        <v>1409</v>
      </c>
      <c r="B217" t="s">
        <v>2610</v>
      </c>
      <c r="C217">
        <v>51.585900100000003</v>
      </c>
      <c r="D217">
        <v>0.2005007</v>
      </c>
      <c r="F217">
        <v>1</v>
      </c>
      <c r="G217" t="str">
        <f>IFERROR(VLOOKUP(B217, Data!H:H, 1, FALSE), "")</f>
        <v/>
      </c>
    </row>
    <row r="218" spans="1:7" x14ac:dyDescent="0.25">
      <c r="A218" t="s">
        <v>1207</v>
      </c>
      <c r="B218" t="s">
        <v>2611</v>
      </c>
      <c r="C218">
        <v>51.625810100000002</v>
      </c>
      <c r="D218">
        <v>-6.5769900000000006E-2</v>
      </c>
      <c r="E218" t="s">
        <v>1206</v>
      </c>
      <c r="F218">
        <v>1</v>
      </c>
      <c r="G218" t="str">
        <f>IFERROR(VLOOKUP(B218, Data!H:H, 1, FALSE), "")</f>
        <v/>
      </c>
    </row>
    <row r="219" spans="1:7" x14ac:dyDescent="0.25">
      <c r="A219" t="s">
        <v>1410</v>
      </c>
      <c r="B219" t="s">
        <v>2612</v>
      </c>
      <c r="C219">
        <v>51.429344700000001</v>
      </c>
      <c r="D219">
        <v>-4.1886199999999998E-2</v>
      </c>
      <c r="E219" t="s">
        <v>1206</v>
      </c>
      <c r="F219">
        <v>1</v>
      </c>
      <c r="G219" t="str">
        <f>IFERROR(VLOOKUP(B219, Data!H:H, 1, FALSE), "")</f>
        <v/>
      </c>
    </row>
    <row r="220" spans="1:7" x14ac:dyDescent="0.25">
      <c r="A220" t="s">
        <v>1335</v>
      </c>
      <c r="B220" t="s">
        <v>2613</v>
      </c>
      <c r="C220">
        <v>51.513473699999999</v>
      </c>
      <c r="D220">
        <v>1.38113E-2</v>
      </c>
      <c r="E220" t="s">
        <v>1206</v>
      </c>
      <c r="F220">
        <v>1</v>
      </c>
      <c r="G220" t="str">
        <f>IFERROR(VLOOKUP(B220, Data!H:H, 1, FALSE), "")</f>
        <v/>
      </c>
    </row>
    <row r="221" spans="1:7" x14ac:dyDescent="0.25">
      <c r="A221" t="s">
        <v>1411</v>
      </c>
      <c r="B221" t="s">
        <v>2614</v>
      </c>
      <c r="C221">
        <v>51.615290399999999</v>
      </c>
      <c r="D221">
        <v>-0.10467369999999999</v>
      </c>
      <c r="F221">
        <v>1</v>
      </c>
      <c r="G221" t="str">
        <f>IFERROR(VLOOKUP(B221, Data!H:H, 1, FALSE), "")</f>
        <v/>
      </c>
    </row>
    <row r="222" spans="1:7" x14ac:dyDescent="0.25">
      <c r="A222" t="s">
        <v>1412</v>
      </c>
      <c r="B222" t="s">
        <v>2615</v>
      </c>
      <c r="C222">
        <v>51.570397200000002</v>
      </c>
      <c r="D222">
        <v>-4.06445E-2</v>
      </c>
      <c r="F222">
        <v>1</v>
      </c>
      <c r="G222" t="str">
        <f>IFERROR(VLOOKUP(B222, Data!H:H, 1, FALSE), "")</f>
        <v/>
      </c>
    </row>
    <row r="223" spans="1:7" x14ac:dyDescent="0.25">
      <c r="A223" t="s">
        <v>1413</v>
      </c>
      <c r="B223" t="s">
        <v>2615</v>
      </c>
      <c r="C223">
        <v>51.570422100000002</v>
      </c>
      <c r="D223">
        <v>-4.0751599999999999E-2</v>
      </c>
      <c r="F223">
        <v>1</v>
      </c>
      <c r="G223" t="str">
        <f>IFERROR(VLOOKUP(B223, Data!H:H, 1, FALSE), "")</f>
        <v/>
      </c>
    </row>
    <row r="224" spans="1:7" x14ac:dyDescent="0.25">
      <c r="A224" t="s">
        <v>1414</v>
      </c>
      <c r="B224" t="s">
        <v>2529</v>
      </c>
      <c r="C224">
        <v>51.569702599999999</v>
      </c>
      <c r="D224">
        <v>-4.1206800000000002E-2</v>
      </c>
      <c r="F224">
        <v>1</v>
      </c>
      <c r="G224" t="str">
        <f>IFERROR(VLOOKUP(B224, Data!H:H, 1, FALSE), "")</f>
        <v/>
      </c>
    </row>
    <row r="225" spans="1:7" x14ac:dyDescent="0.25">
      <c r="A225" t="s">
        <v>1375</v>
      </c>
      <c r="B225" t="s">
        <v>2529</v>
      </c>
      <c r="C225">
        <v>51.569514900000001</v>
      </c>
      <c r="D225">
        <v>-4.1424299999999997E-2</v>
      </c>
      <c r="F225">
        <v>1</v>
      </c>
      <c r="G225" t="str">
        <f>IFERROR(VLOOKUP(B225, Data!H:H, 1, FALSE), "")</f>
        <v/>
      </c>
    </row>
    <row r="226" spans="1:7" x14ac:dyDescent="0.25">
      <c r="A226" t="s">
        <v>1415</v>
      </c>
      <c r="B226" t="s">
        <v>2529</v>
      </c>
      <c r="C226">
        <v>51.570419200000003</v>
      </c>
      <c r="D226">
        <v>-4.1917700000000002E-2</v>
      </c>
      <c r="F226">
        <v>1</v>
      </c>
      <c r="G226" t="str">
        <f>IFERROR(VLOOKUP(B226, Data!H:H, 1, FALSE), "")</f>
        <v/>
      </c>
    </row>
    <row r="227" spans="1:7" x14ac:dyDescent="0.25">
      <c r="A227" t="s">
        <v>1416</v>
      </c>
      <c r="B227" t="s">
        <v>2615</v>
      </c>
      <c r="C227">
        <v>51.570695200000003</v>
      </c>
      <c r="D227">
        <v>-4.1105900000000001E-2</v>
      </c>
      <c r="F227">
        <v>1</v>
      </c>
      <c r="G227" t="str">
        <f>IFERROR(VLOOKUP(B227, Data!H:H, 1, FALSE), "")</f>
        <v/>
      </c>
    </row>
    <row r="228" spans="1:7" x14ac:dyDescent="0.25">
      <c r="A228" t="s">
        <v>1417</v>
      </c>
      <c r="B228" t="s">
        <v>2616</v>
      </c>
      <c r="C228">
        <v>51.328498799999998</v>
      </c>
      <c r="D228">
        <v>-0.11683789999999999</v>
      </c>
      <c r="E228" t="s">
        <v>1206</v>
      </c>
      <c r="F228">
        <v>1</v>
      </c>
      <c r="G228" t="str">
        <f>IFERROR(VLOOKUP(B228, Data!H:H, 1, FALSE), "")</f>
        <v/>
      </c>
    </row>
    <row r="229" spans="1:7" x14ac:dyDescent="0.25">
      <c r="A229" t="s">
        <v>1418</v>
      </c>
      <c r="B229" t="s">
        <v>2617</v>
      </c>
      <c r="C229">
        <v>51.470707500000003</v>
      </c>
      <c r="D229">
        <v>-1.6797900000000001E-2</v>
      </c>
      <c r="E229" t="s">
        <v>1206</v>
      </c>
      <c r="F229">
        <v>1</v>
      </c>
      <c r="G229" t="str">
        <f>IFERROR(VLOOKUP(B229, Data!H:H, 1, FALSE), "")</f>
        <v/>
      </c>
    </row>
    <row r="230" spans="1:7" x14ac:dyDescent="0.25">
      <c r="A230" t="s">
        <v>1419</v>
      </c>
      <c r="B230" t="s">
        <v>2618</v>
      </c>
      <c r="C230">
        <v>51.430903299999997</v>
      </c>
      <c r="D230">
        <v>1.1557400000000001E-2</v>
      </c>
      <c r="E230" t="s">
        <v>1206</v>
      </c>
      <c r="F230">
        <v>1</v>
      </c>
      <c r="G230" t="str">
        <f>IFERROR(VLOOKUP(B230, Data!H:H, 1, FALSE), "")</f>
        <v/>
      </c>
    </row>
    <row r="231" spans="1:7" x14ac:dyDescent="0.25">
      <c r="A231" t="s">
        <v>1420</v>
      </c>
      <c r="B231" t="s">
        <v>2619</v>
      </c>
      <c r="C231">
        <v>51.4201525</v>
      </c>
      <c r="D231">
        <v>2.04353E-2</v>
      </c>
      <c r="E231" t="s">
        <v>1206</v>
      </c>
      <c r="F231">
        <v>1</v>
      </c>
      <c r="G231" t="str">
        <f>IFERROR(VLOOKUP(B231, Data!H:H, 1, FALSE), "")</f>
        <v/>
      </c>
    </row>
    <row r="232" spans="1:7" x14ac:dyDescent="0.25">
      <c r="A232" t="s">
        <v>1421</v>
      </c>
      <c r="B232" t="s">
        <v>2620</v>
      </c>
      <c r="C232">
        <v>51.565423500000001</v>
      </c>
      <c r="D232">
        <v>0.17157220000000001</v>
      </c>
      <c r="F232">
        <v>1</v>
      </c>
      <c r="G232" t="str">
        <f>IFERROR(VLOOKUP(B232, Data!H:H, 1, FALSE), "")</f>
        <v/>
      </c>
    </row>
    <row r="233" spans="1:7" x14ac:dyDescent="0.25">
      <c r="A233" t="s">
        <v>1422</v>
      </c>
      <c r="B233" t="s">
        <v>2621</v>
      </c>
      <c r="C233">
        <v>51.455112800000002</v>
      </c>
      <c r="D233">
        <v>-0.22902459999999999</v>
      </c>
      <c r="F233">
        <v>1</v>
      </c>
      <c r="G233" t="str">
        <f>IFERROR(VLOOKUP(B233, Data!H:H, 1, FALSE), "")</f>
        <v/>
      </c>
    </row>
    <row r="234" spans="1:7" x14ac:dyDescent="0.25">
      <c r="A234" t="s">
        <v>1423</v>
      </c>
      <c r="B234" t="s">
        <v>2622</v>
      </c>
      <c r="C234">
        <v>51.517900300000001</v>
      </c>
      <c r="D234">
        <v>-0.42015069999999999</v>
      </c>
      <c r="E234" t="s">
        <v>1206</v>
      </c>
      <c r="F234">
        <v>1</v>
      </c>
      <c r="G234" t="str">
        <f>IFERROR(VLOOKUP(B234, Data!H:H, 1, FALSE), "")</f>
        <v/>
      </c>
    </row>
    <row r="235" spans="1:7" x14ac:dyDescent="0.25">
      <c r="A235" t="s">
        <v>1424</v>
      </c>
      <c r="B235" t="s">
        <v>2623</v>
      </c>
      <c r="C235">
        <v>51.470257099999998</v>
      </c>
      <c r="D235">
        <v>-0.2158253</v>
      </c>
      <c r="E235" t="s">
        <v>1206</v>
      </c>
      <c r="F235">
        <v>1</v>
      </c>
      <c r="G235" t="str">
        <f>IFERROR(VLOOKUP(B235, Data!H:H, 1, FALSE), "")</f>
        <v/>
      </c>
    </row>
    <row r="236" spans="1:7" x14ac:dyDescent="0.25">
      <c r="A236" t="s">
        <v>1425</v>
      </c>
      <c r="B236" t="s">
        <v>2624</v>
      </c>
      <c r="C236">
        <v>51.493000899999998</v>
      </c>
      <c r="D236">
        <v>-0.21858520000000001</v>
      </c>
      <c r="F236">
        <v>1</v>
      </c>
      <c r="G236" t="str">
        <f>IFERROR(VLOOKUP(B236, Data!H:H, 1, FALSE), "")</f>
        <v/>
      </c>
    </row>
    <row r="237" spans="1:7" x14ac:dyDescent="0.25">
      <c r="A237" t="s">
        <v>1426</v>
      </c>
      <c r="B237" t="s">
        <v>2625</v>
      </c>
      <c r="C237">
        <v>51.496486099999998</v>
      </c>
      <c r="D237">
        <v>-0.21897739999999999</v>
      </c>
      <c r="F237">
        <v>1</v>
      </c>
      <c r="G237" t="str">
        <f>IFERROR(VLOOKUP(B237, Data!H:H, 1, FALSE), "")</f>
        <v/>
      </c>
    </row>
    <row r="238" spans="1:7" x14ac:dyDescent="0.25">
      <c r="A238" t="s">
        <v>1427</v>
      </c>
      <c r="B238" t="s">
        <v>2626</v>
      </c>
      <c r="C238">
        <v>51.482422700000001</v>
      </c>
      <c r="D238">
        <v>-0.2189796</v>
      </c>
      <c r="E238" t="s">
        <v>1206</v>
      </c>
      <c r="F238">
        <v>1</v>
      </c>
      <c r="G238" t="str">
        <f>IFERROR(VLOOKUP(B238, Data!H:H, 1, FALSE), "")</f>
        <v/>
      </c>
    </row>
    <row r="239" spans="1:7" x14ac:dyDescent="0.25">
      <c r="A239" t="s">
        <v>1428</v>
      </c>
      <c r="B239" t="s">
        <v>2627</v>
      </c>
      <c r="C239">
        <v>51.539997300000003</v>
      </c>
      <c r="D239">
        <v>7.5329599999999997E-2</v>
      </c>
      <c r="F239">
        <v>1</v>
      </c>
      <c r="G239" t="str">
        <f>IFERROR(VLOOKUP(B239, Data!H:H, 1, FALSE), "")</f>
        <v/>
      </c>
    </row>
    <row r="240" spans="1:7" x14ac:dyDescent="0.25">
      <c r="A240" t="s">
        <v>1429</v>
      </c>
      <c r="B240" t="s">
        <v>2628</v>
      </c>
      <c r="C240">
        <v>51.5391063</v>
      </c>
      <c r="D240">
        <v>7.8738000000000002E-2</v>
      </c>
      <c r="F240">
        <v>1</v>
      </c>
      <c r="G240" t="str">
        <f>IFERROR(VLOOKUP(B240, Data!H:H, 1, FALSE), "")</f>
        <v/>
      </c>
    </row>
    <row r="241" spans="1:7" x14ac:dyDescent="0.25">
      <c r="A241" t="s">
        <v>1430</v>
      </c>
      <c r="B241" t="s">
        <v>2629</v>
      </c>
      <c r="C241">
        <v>51.5442362</v>
      </c>
      <c r="D241">
        <v>7.7584100000000003E-2</v>
      </c>
      <c r="F241">
        <v>1</v>
      </c>
      <c r="G241" t="str">
        <f>IFERROR(VLOOKUP(B241, Data!H:H, 1, FALSE), "")</f>
        <v/>
      </c>
    </row>
    <row r="242" spans="1:7" x14ac:dyDescent="0.25">
      <c r="A242" t="s">
        <v>1431</v>
      </c>
      <c r="B242" t="s">
        <v>2630</v>
      </c>
      <c r="C242">
        <v>51.548875600000002</v>
      </c>
      <c r="D242">
        <v>7.1787100000000006E-2</v>
      </c>
      <c r="E242" t="s">
        <v>1206</v>
      </c>
      <c r="F242">
        <v>1</v>
      </c>
      <c r="G242" t="str">
        <f>IFERROR(VLOOKUP(B242, Data!H:H, 1, FALSE), "")</f>
        <v/>
      </c>
    </row>
    <row r="243" spans="1:7" x14ac:dyDescent="0.25">
      <c r="A243" t="s">
        <v>1432</v>
      </c>
      <c r="B243" t="s">
        <v>2631</v>
      </c>
      <c r="C243">
        <v>51.5480631</v>
      </c>
      <c r="D243">
        <v>7.5706899999999994E-2</v>
      </c>
      <c r="F243">
        <v>1</v>
      </c>
      <c r="G243" t="str">
        <f>IFERROR(VLOOKUP(B243, Data!H:H, 1, FALSE), "")</f>
        <v/>
      </c>
    </row>
    <row r="244" spans="1:7" x14ac:dyDescent="0.25">
      <c r="A244" t="s">
        <v>1433</v>
      </c>
      <c r="B244" t="s">
        <v>2632</v>
      </c>
      <c r="C244">
        <v>51.553140300000003</v>
      </c>
      <c r="D244">
        <v>7.3040800000000003E-2</v>
      </c>
      <c r="F244">
        <v>1</v>
      </c>
      <c r="G244" t="str">
        <f>IFERROR(VLOOKUP(B244, Data!H:H, 1, FALSE), "")</f>
        <v/>
      </c>
    </row>
    <row r="245" spans="1:7" x14ac:dyDescent="0.25">
      <c r="A245" t="s">
        <v>1434</v>
      </c>
      <c r="B245" t="s">
        <v>2633</v>
      </c>
      <c r="C245">
        <v>51.5521052</v>
      </c>
      <c r="D245">
        <v>7.4347399999999994E-2</v>
      </c>
      <c r="F245">
        <v>1</v>
      </c>
      <c r="G245" t="str">
        <f>IFERROR(VLOOKUP(B245, Data!H:H, 1, FALSE), "")</f>
        <v/>
      </c>
    </row>
    <row r="246" spans="1:7" x14ac:dyDescent="0.25">
      <c r="A246" t="s">
        <v>1435</v>
      </c>
      <c r="B246" t="s">
        <v>2634</v>
      </c>
      <c r="C246">
        <v>51.555427199999997</v>
      </c>
      <c r="D246">
        <v>7.1263599999999996E-2</v>
      </c>
      <c r="F246">
        <v>1</v>
      </c>
      <c r="G246" t="str">
        <f>IFERROR(VLOOKUP(B246, Data!H:H, 1, FALSE), "")</f>
        <v/>
      </c>
    </row>
    <row r="247" spans="1:7" x14ac:dyDescent="0.25">
      <c r="A247" t="s">
        <v>1436</v>
      </c>
      <c r="B247" t="s">
        <v>2635</v>
      </c>
      <c r="C247">
        <v>51.556290699999998</v>
      </c>
      <c r="D247">
        <v>7.0636000000000004E-2</v>
      </c>
      <c r="F247">
        <v>1</v>
      </c>
      <c r="G247" t="str">
        <f>IFERROR(VLOOKUP(B247, Data!H:H, 1, FALSE), "")</f>
        <v/>
      </c>
    </row>
    <row r="248" spans="1:7" x14ac:dyDescent="0.25">
      <c r="A248" t="s">
        <v>1437</v>
      </c>
      <c r="B248" t="s">
        <v>2636</v>
      </c>
      <c r="C248">
        <v>51.556348300000003</v>
      </c>
      <c r="D248">
        <v>7.4909799999999999E-2</v>
      </c>
      <c r="F248">
        <v>1</v>
      </c>
      <c r="G248" t="str">
        <f>IFERROR(VLOOKUP(B248, Data!H:H, 1, FALSE), "")</f>
        <v/>
      </c>
    </row>
    <row r="249" spans="1:7" x14ac:dyDescent="0.25">
      <c r="A249" t="s">
        <v>1438</v>
      </c>
      <c r="B249" t="s">
        <v>2637</v>
      </c>
      <c r="C249">
        <v>51.561653800000002</v>
      </c>
      <c r="D249">
        <v>7.0162699999999995E-2</v>
      </c>
      <c r="F249">
        <v>1</v>
      </c>
      <c r="G249" t="str">
        <f>IFERROR(VLOOKUP(B249, Data!H:H, 1, FALSE), "")</f>
        <v/>
      </c>
    </row>
    <row r="250" spans="1:7" x14ac:dyDescent="0.25">
      <c r="A250" t="s">
        <v>1439</v>
      </c>
      <c r="B250" t="s">
        <v>2638</v>
      </c>
      <c r="C250">
        <v>51.563169600000002</v>
      </c>
      <c r="D250">
        <v>7.0152400000000004E-2</v>
      </c>
      <c r="F250">
        <v>1</v>
      </c>
      <c r="G250" t="str">
        <f>IFERROR(VLOOKUP(B250, Data!H:H, 1, FALSE), "")</f>
        <v/>
      </c>
    </row>
    <row r="251" spans="1:7" x14ac:dyDescent="0.25">
      <c r="A251" t="s">
        <v>1440</v>
      </c>
      <c r="B251" t="s">
        <v>2639</v>
      </c>
      <c r="C251">
        <v>51.559272999999997</v>
      </c>
      <c r="D251">
        <v>7.7284699999999998E-2</v>
      </c>
      <c r="F251">
        <v>1</v>
      </c>
      <c r="G251" t="str">
        <f>IFERROR(VLOOKUP(B251, Data!H:H, 1, FALSE), "")</f>
        <v/>
      </c>
    </row>
    <row r="252" spans="1:7" x14ac:dyDescent="0.25">
      <c r="A252" t="s">
        <v>1441</v>
      </c>
      <c r="B252" t="s">
        <v>2640</v>
      </c>
      <c r="C252">
        <v>51.5597523</v>
      </c>
      <c r="D252">
        <v>8.4934899999999994E-2</v>
      </c>
      <c r="F252">
        <v>1</v>
      </c>
      <c r="G252" t="str">
        <f>IFERROR(VLOOKUP(B252, Data!H:H, 1, FALSE), "")</f>
        <v/>
      </c>
    </row>
    <row r="253" spans="1:7" x14ac:dyDescent="0.25">
      <c r="A253" t="s">
        <v>1442</v>
      </c>
      <c r="B253" t="s">
        <v>2641</v>
      </c>
      <c r="C253">
        <v>51.560918899999997</v>
      </c>
      <c r="D253">
        <v>8.4202399999999997E-2</v>
      </c>
      <c r="F253">
        <v>1</v>
      </c>
      <c r="G253" t="str">
        <f>IFERROR(VLOOKUP(B253, Data!H:H, 1, FALSE), "")</f>
        <v/>
      </c>
    </row>
    <row r="254" spans="1:7" x14ac:dyDescent="0.25">
      <c r="A254" t="s">
        <v>1443</v>
      </c>
      <c r="B254" t="s">
        <v>2642</v>
      </c>
      <c r="C254">
        <v>51.534000900000002</v>
      </c>
      <c r="D254">
        <v>8.5659200000000005E-2</v>
      </c>
      <c r="F254">
        <v>1</v>
      </c>
      <c r="G254" t="str">
        <f>IFERROR(VLOOKUP(B254, Data!H:H, 1, FALSE), "")</f>
        <v/>
      </c>
    </row>
    <row r="255" spans="1:7" x14ac:dyDescent="0.25">
      <c r="A255" t="s">
        <v>1444</v>
      </c>
      <c r="B255" t="s">
        <v>2643</v>
      </c>
      <c r="C255">
        <v>51.5343406</v>
      </c>
      <c r="D255">
        <v>8.7216600000000005E-2</v>
      </c>
      <c r="F255">
        <v>1</v>
      </c>
      <c r="G255" t="str">
        <f>IFERROR(VLOOKUP(B255, Data!H:H, 1, FALSE), "")</f>
        <v/>
      </c>
    </row>
    <row r="256" spans="1:7" x14ac:dyDescent="0.25">
      <c r="A256" t="s">
        <v>1445</v>
      </c>
      <c r="B256" t="s">
        <v>2644</v>
      </c>
      <c r="C256">
        <v>51.549116699999999</v>
      </c>
      <c r="D256">
        <v>5.9360000000000003E-2</v>
      </c>
      <c r="F256">
        <v>1</v>
      </c>
      <c r="G256" t="str">
        <f>IFERROR(VLOOKUP(B256, Data!H:H, 1, FALSE), "")</f>
        <v/>
      </c>
    </row>
    <row r="257" spans="1:7" x14ac:dyDescent="0.25">
      <c r="A257" t="s">
        <v>1207</v>
      </c>
      <c r="B257" t="s">
        <v>2645</v>
      </c>
      <c r="C257">
        <v>51.436021500000003</v>
      </c>
      <c r="D257">
        <v>7.2019299999999994E-2</v>
      </c>
      <c r="E257" t="s">
        <v>1206</v>
      </c>
      <c r="F257">
        <v>1</v>
      </c>
      <c r="G257" t="str">
        <f>IFERROR(VLOOKUP(B257, Data!H:H, 1, FALSE), "")</f>
        <v/>
      </c>
    </row>
    <row r="258" spans="1:7" x14ac:dyDescent="0.25">
      <c r="A258" t="s">
        <v>1446</v>
      </c>
      <c r="B258" t="s">
        <v>2646</v>
      </c>
      <c r="C258">
        <v>51.551656399999999</v>
      </c>
      <c r="D258">
        <v>0.1591774</v>
      </c>
      <c r="F258">
        <v>1</v>
      </c>
      <c r="G258" t="str">
        <f>IFERROR(VLOOKUP(B258, Data!H:H, 1, FALSE), "")</f>
        <v/>
      </c>
    </row>
    <row r="259" spans="1:7" x14ac:dyDescent="0.25">
      <c r="A259" t="s">
        <v>1447</v>
      </c>
      <c r="B259" t="s">
        <v>2647</v>
      </c>
      <c r="C259">
        <v>51.572997000000001</v>
      </c>
      <c r="D259">
        <v>0.14495820000000001</v>
      </c>
      <c r="F259">
        <v>1</v>
      </c>
      <c r="G259" t="str">
        <f>IFERROR(VLOOKUP(B259, Data!H:H, 1, FALSE), "")</f>
        <v/>
      </c>
    </row>
    <row r="260" spans="1:7" x14ac:dyDescent="0.25">
      <c r="A260" t="s">
        <v>1448</v>
      </c>
      <c r="B260" t="s">
        <v>2648</v>
      </c>
      <c r="C260">
        <v>51.420020200000003</v>
      </c>
      <c r="D260">
        <v>8.9157899999999998E-2</v>
      </c>
      <c r="F260">
        <v>1</v>
      </c>
      <c r="G260" t="str">
        <f>IFERROR(VLOOKUP(B260, Data!H:H, 1, FALSE), "")</f>
        <v/>
      </c>
    </row>
    <row r="261" spans="1:7" x14ac:dyDescent="0.25">
      <c r="A261" t="s">
        <v>1449</v>
      </c>
      <c r="B261" t="s">
        <v>2649</v>
      </c>
      <c r="C261">
        <v>51.614433699999999</v>
      </c>
      <c r="D261">
        <v>-0.1398208</v>
      </c>
      <c r="F261">
        <v>1</v>
      </c>
      <c r="G261" t="str">
        <f>IFERROR(VLOOKUP(B261, Data!H:H, 1, FALSE), "")</f>
        <v/>
      </c>
    </row>
    <row r="262" spans="1:7" x14ac:dyDescent="0.25">
      <c r="A262" t="s">
        <v>1450</v>
      </c>
      <c r="B262" t="s">
        <v>2650</v>
      </c>
      <c r="C262">
        <v>51.615372999999998</v>
      </c>
      <c r="D262">
        <v>-0.14145160000000001</v>
      </c>
      <c r="E262" t="s">
        <v>1206</v>
      </c>
      <c r="F262">
        <v>1</v>
      </c>
      <c r="G262" t="str">
        <f>IFERROR(VLOOKUP(B262, Data!H:H, 1, FALSE), "")</f>
        <v/>
      </c>
    </row>
    <row r="263" spans="1:7" x14ac:dyDescent="0.25">
      <c r="A263" t="s">
        <v>1451</v>
      </c>
      <c r="B263" t="s">
        <v>2651</v>
      </c>
      <c r="C263">
        <v>51.528451599999997</v>
      </c>
      <c r="D263">
        <v>0.17598369999999999</v>
      </c>
      <c r="F263">
        <v>1</v>
      </c>
      <c r="G263" t="str">
        <f>IFERROR(VLOOKUP(B263, Data!H:H, 1, FALSE), "")</f>
        <v/>
      </c>
    </row>
    <row r="264" spans="1:7" x14ac:dyDescent="0.25">
      <c r="A264" t="s">
        <v>1452</v>
      </c>
      <c r="B264" t="s">
        <v>2652</v>
      </c>
      <c r="C264">
        <v>51.5530282</v>
      </c>
      <c r="D264">
        <v>0.2320035</v>
      </c>
      <c r="F264">
        <v>1</v>
      </c>
      <c r="G264" t="str">
        <f>IFERROR(VLOOKUP(B264, Data!H:H, 1, FALSE), "")</f>
        <v/>
      </c>
    </row>
    <row r="265" spans="1:7" x14ac:dyDescent="0.25">
      <c r="A265" t="s">
        <v>1453</v>
      </c>
      <c r="B265" t="s">
        <v>2653</v>
      </c>
      <c r="C265">
        <v>51.569381300000003</v>
      </c>
      <c r="D265">
        <v>0.21933540000000001</v>
      </c>
      <c r="F265">
        <v>1</v>
      </c>
      <c r="G265" t="str">
        <f>IFERROR(VLOOKUP(B265, Data!H:H, 1, FALSE), "")</f>
        <v/>
      </c>
    </row>
    <row r="266" spans="1:7" x14ac:dyDescent="0.25">
      <c r="A266" t="s">
        <v>1454</v>
      </c>
      <c r="B266" t="s">
        <v>2654</v>
      </c>
      <c r="C266">
        <v>51.572090500000002</v>
      </c>
      <c r="D266">
        <v>0.22443640000000001</v>
      </c>
      <c r="F266">
        <v>1</v>
      </c>
      <c r="G266" t="str">
        <f>IFERROR(VLOOKUP(B266, Data!H:H, 1, FALSE), "")</f>
        <v/>
      </c>
    </row>
    <row r="267" spans="1:7" x14ac:dyDescent="0.25">
      <c r="A267" t="s">
        <v>1455</v>
      </c>
      <c r="B267" t="s">
        <v>2655</v>
      </c>
      <c r="C267">
        <v>51.563282600000001</v>
      </c>
      <c r="D267">
        <v>0.21442120000000001</v>
      </c>
      <c r="F267">
        <v>1</v>
      </c>
      <c r="G267" t="str">
        <f>IFERROR(VLOOKUP(B267, Data!H:H, 1, FALSE), "")</f>
        <v/>
      </c>
    </row>
    <row r="268" spans="1:7" x14ac:dyDescent="0.25">
      <c r="A268" t="s">
        <v>1456</v>
      </c>
      <c r="B268" t="s">
        <v>2656</v>
      </c>
      <c r="C268">
        <v>51.575755000000001</v>
      </c>
      <c r="D268">
        <v>0.19483420000000001</v>
      </c>
      <c r="F268">
        <v>1</v>
      </c>
      <c r="G268" t="str">
        <f>IFERROR(VLOOKUP(B268, Data!H:H, 1, FALSE), "")</f>
        <v/>
      </c>
    </row>
    <row r="269" spans="1:7" x14ac:dyDescent="0.25">
      <c r="A269" t="s">
        <v>1457</v>
      </c>
      <c r="B269" t="s">
        <v>2657</v>
      </c>
      <c r="C269">
        <v>51.574145199999997</v>
      </c>
      <c r="D269">
        <v>0.19388810000000001</v>
      </c>
      <c r="F269">
        <v>1</v>
      </c>
      <c r="G269" t="str">
        <f>IFERROR(VLOOKUP(B269, Data!H:H, 1, FALSE), "")</f>
        <v/>
      </c>
    </row>
    <row r="270" spans="1:7" x14ac:dyDescent="0.25">
      <c r="A270" t="s">
        <v>1458</v>
      </c>
      <c r="B270" t="s">
        <v>2658</v>
      </c>
      <c r="C270">
        <v>51.573191999999999</v>
      </c>
      <c r="D270">
        <v>0.193906</v>
      </c>
      <c r="F270">
        <v>1</v>
      </c>
      <c r="G270" t="str">
        <f>IFERROR(VLOOKUP(B270, Data!H:H, 1, FALSE), "")</f>
        <v/>
      </c>
    </row>
    <row r="271" spans="1:7" x14ac:dyDescent="0.25">
      <c r="A271" t="s">
        <v>1459</v>
      </c>
      <c r="B271" t="s">
        <v>2659</v>
      </c>
      <c r="C271">
        <v>51.5771072</v>
      </c>
      <c r="D271">
        <v>0.19585179999999999</v>
      </c>
      <c r="F271">
        <v>1</v>
      </c>
      <c r="G271" t="str">
        <f>IFERROR(VLOOKUP(B271, Data!H:H, 1, FALSE), "")</f>
        <v/>
      </c>
    </row>
    <row r="272" spans="1:7" x14ac:dyDescent="0.25">
      <c r="A272" t="s">
        <v>1460</v>
      </c>
      <c r="B272" t="s">
        <v>2660</v>
      </c>
      <c r="C272">
        <v>51.576309500000001</v>
      </c>
      <c r="D272">
        <v>0.18591099999999999</v>
      </c>
      <c r="F272">
        <v>1</v>
      </c>
      <c r="G272" t="str">
        <f>IFERROR(VLOOKUP(B272, Data!H:H, 1, FALSE), "")</f>
        <v/>
      </c>
    </row>
    <row r="273" spans="1:7" x14ac:dyDescent="0.25">
      <c r="A273" t="s">
        <v>1461</v>
      </c>
      <c r="B273" t="s">
        <v>2661</v>
      </c>
      <c r="C273">
        <v>51.578322</v>
      </c>
      <c r="D273">
        <v>0.17765449999999999</v>
      </c>
      <c r="F273">
        <v>1</v>
      </c>
      <c r="G273" t="str">
        <f>IFERROR(VLOOKUP(B273, Data!H:H, 1, FALSE), "")</f>
        <v/>
      </c>
    </row>
    <row r="274" spans="1:7" x14ac:dyDescent="0.25">
      <c r="A274" t="s">
        <v>1462</v>
      </c>
      <c r="B274" t="s">
        <v>2662</v>
      </c>
      <c r="C274">
        <v>51.5809803</v>
      </c>
      <c r="D274">
        <v>0.18222240000000001</v>
      </c>
      <c r="F274">
        <v>1</v>
      </c>
      <c r="G274" t="str">
        <f>IFERROR(VLOOKUP(B274, Data!H:H, 1, FALSE), "")</f>
        <v/>
      </c>
    </row>
    <row r="275" spans="1:7" x14ac:dyDescent="0.25">
      <c r="A275" t="s">
        <v>1463</v>
      </c>
      <c r="B275" t="s">
        <v>2663</v>
      </c>
      <c r="C275">
        <v>51.590501799999998</v>
      </c>
      <c r="D275">
        <v>0.16613220000000001</v>
      </c>
      <c r="F275">
        <v>1</v>
      </c>
      <c r="G275" t="str">
        <f>IFERROR(VLOOKUP(B275, Data!H:H, 1, FALSE), "")</f>
        <v/>
      </c>
    </row>
    <row r="276" spans="1:7" x14ac:dyDescent="0.25">
      <c r="A276" t="s">
        <v>1464</v>
      </c>
      <c r="B276" t="s">
        <v>2664</v>
      </c>
      <c r="C276">
        <v>51.595678700000001</v>
      </c>
      <c r="D276">
        <v>0.17652999999999999</v>
      </c>
      <c r="F276">
        <v>1</v>
      </c>
      <c r="G276" t="str">
        <f>IFERROR(VLOOKUP(B276, Data!H:H, 1, FALSE), "")</f>
        <v/>
      </c>
    </row>
    <row r="277" spans="1:7" x14ac:dyDescent="0.25">
      <c r="A277" t="s">
        <v>1465</v>
      </c>
      <c r="B277" t="s">
        <v>2665</v>
      </c>
      <c r="C277">
        <v>51.576986699999999</v>
      </c>
      <c r="D277">
        <v>9.4854800000000003E-2</v>
      </c>
      <c r="F277">
        <v>1</v>
      </c>
      <c r="G277" t="str">
        <f>IFERROR(VLOOKUP(B277, Data!H:H, 1, FALSE), "")</f>
        <v/>
      </c>
    </row>
    <row r="278" spans="1:7" x14ac:dyDescent="0.25">
      <c r="A278" t="s">
        <v>1466</v>
      </c>
      <c r="B278" t="s">
        <v>2666</v>
      </c>
      <c r="C278">
        <v>51.575238200000001</v>
      </c>
      <c r="D278">
        <v>9.7988599999999995E-2</v>
      </c>
      <c r="F278">
        <v>1</v>
      </c>
      <c r="G278" t="str">
        <f>IFERROR(VLOOKUP(B278, Data!H:H, 1, FALSE), "")</f>
        <v/>
      </c>
    </row>
    <row r="279" spans="1:7" x14ac:dyDescent="0.25">
      <c r="A279" t="s">
        <v>1467</v>
      </c>
      <c r="B279" t="s">
        <v>2667</v>
      </c>
      <c r="C279">
        <v>51.570833499999999</v>
      </c>
      <c r="D279">
        <v>9.7314300000000006E-2</v>
      </c>
      <c r="F279">
        <v>1</v>
      </c>
      <c r="G279" t="str">
        <f>IFERROR(VLOOKUP(B279, Data!H:H, 1, FALSE), "")</f>
        <v/>
      </c>
    </row>
    <row r="280" spans="1:7" x14ac:dyDescent="0.25">
      <c r="A280" t="s">
        <v>1216</v>
      </c>
      <c r="B280" t="s">
        <v>2668</v>
      </c>
      <c r="C280">
        <v>51.535050300000002</v>
      </c>
      <c r="D280">
        <v>-0.45987610000000001</v>
      </c>
      <c r="E280" t="s">
        <v>1206</v>
      </c>
      <c r="F280">
        <v>1</v>
      </c>
      <c r="G280" t="str">
        <f>IFERROR(VLOOKUP(B280, Data!H:H, 1, FALSE), "")</f>
        <v/>
      </c>
    </row>
    <row r="281" spans="1:7" x14ac:dyDescent="0.25">
      <c r="A281" t="s">
        <v>1468</v>
      </c>
      <c r="B281" t="s">
        <v>2669</v>
      </c>
      <c r="C281">
        <v>51.505255499999997</v>
      </c>
      <c r="D281">
        <v>-0.41959839999999998</v>
      </c>
      <c r="F281">
        <v>1</v>
      </c>
      <c r="G281" t="str">
        <f>IFERROR(VLOOKUP(B281, Data!H:H, 1, FALSE), "")</f>
        <v/>
      </c>
    </row>
    <row r="282" spans="1:7" x14ac:dyDescent="0.25">
      <c r="A282" t="s">
        <v>1469</v>
      </c>
      <c r="B282" t="s">
        <v>2670</v>
      </c>
      <c r="C282">
        <v>51.624644500000002</v>
      </c>
      <c r="D282">
        <v>-0.127997</v>
      </c>
      <c r="E282" t="s">
        <v>1206</v>
      </c>
      <c r="F282">
        <v>1</v>
      </c>
      <c r="G282" t="str">
        <f>IFERROR(VLOOKUP(B282, Data!H:H, 1, FALSE), "")</f>
        <v/>
      </c>
    </row>
    <row r="283" spans="1:7" x14ac:dyDescent="0.25">
      <c r="A283" t="s">
        <v>1470</v>
      </c>
      <c r="B283" t="s">
        <v>2671</v>
      </c>
      <c r="C283">
        <v>51.586523300000003</v>
      </c>
      <c r="D283">
        <v>-0.13439499999999999</v>
      </c>
      <c r="E283" t="s">
        <v>1206</v>
      </c>
      <c r="F283">
        <v>1</v>
      </c>
      <c r="G283" t="str">
        <f>IFERROR(VLOOKUP(B283, Data!H:H, 1, FALSE), "")</f>
        <v/>
      </c>
    </row>
    <row r="284" spans="1:7" x14ac:dyDescent="0.25">
      <c r="A284" t="s">
        <v>1471</v>
      </c>
      <c r="B284" t="s">
        <v>2672</v>
      </c>
      <c r="C284">
        <v>51.557006700000002</v>
      </c>
      <c r="D284">
        <v>4.4000000000000003E-3</v>
      </c>
      <c r="E284" t="s">
        <v>1206</v>
      </c>
      <c r="F284">
        <v>1</v>
      </c>
      <c r="G284" t="str">
        <f>IFERROR(VLOOKUP(B284, Data!H:H, 1, FALSE), "")</f>
        <v/>
      </c>
    </row>
    <row r="285" spans="1:7" x14ac:dyDescent="0.25">
      <c r="A285" t="s">
        <v>1472</v>
      </c>
      <c r="B285" t="s">
        <v>2673</v>
      </c>
      <c r="C285">
        <v>51.5250755</v>
      </c>
      <c r="D285">
        <v>-5.27433E-2</v>
      </c>
      <c r="F285">
        <v>1</v>
      </c>
      <c r="G285" t="str">
        <f>IFERROR(VLOOKUP(B285, Data!H:H, 1, FALSE), "")</f>
        <v/>
      </c>
    </row>
    <row r="286" spans="1:7" x14ac:dyDescent="0.25">
      <c r="A286" t="s">
        <v>1473</v>
      </c>
      <c r="B286" t="s">
        <v>2674</v>
      </c>
      <c r="C286">
        <v>51.597626699999999</v>
      </c>
      <c r="D286">
        <v>-0.15129500000000001</v>
      </c>
      <c r="F286">
        <v>1</v>
      </c>
      <c r="G286" t="str">
        <f>IFERROR(VLOOKUP(B286, Data!H:H, 1, FALSE), "")</f>
        <v/>
      </c>
    </row>
    <row r="287" spans="1:7" x14ac:dyDescent="0.25">
      <c r="A287" t="s">
        <v>1474</v>
      </c>
      <c r="B287" t="s">
        <v>2675</v>
      </c>
      <c r="C287">
        <v>51.546635999999999</v>
      </c>
      <c r="D287">
        <v>-0.15243300000000001</v>
      </c>
      <c r="E287" t="s">
        <v>1206</v>
      </c>
      <c r="F287">
        <v>1</v>
      </c>
      <c r="G287" t="str">
        <f>IFERROR(VLOOKUP(B287, Data!H:H, 1, FALSE), "")</f>
        <v/>
      </c>
    </row>
    <row r="288" spans="1:7" x14ac:dyDescent="0.25">
      <c r="A288" t="s">
        <v>1475</v>
      </c>
      <c r="B288" t="s">
        <v>2676</v>
      </c>
      <c r="C288">
        <v>51.611006799999998</v>
      </c>
      <c r="D288">
        <v>-1.7826999999999999E-2</v>
      </c>
      <c r="F288">
        <v>1</v>
      </c>
      <c r="G288" t="str">
        <f>IFERROR(VLOOKUP(B288, Data!H:H, 1, FALSE), "")</f>
        <v/>
      </c>
    </row>
    <row r="289" spans="1:7" x14ac:dyDescent="0.25">
      <c r="A289" t="s">
        <v>1476</v>
      </c>
      <c r="B289" t="s">
        <v>2677</v>
      </c>
      <c r="C289">
        <v>51.529601900000003</v>
      </c>
      <c r="D289">
        <v>-0.13069069999999999</v>
      </c>
      <c r="F289">
        <v>1</v>
      </c>
      <c r="G289" t="str">
        <f>IFERROR(VLOOKUP(B289, Data!H:H, 1, FALSE), "")</f>
        <v/>
      </c>
    </row>
    <row r="290" spans="1:7" x14ac:dyDescent="0.25">
      <c r="A290" t="s">
        <v>1477</v>
      </c>
      <c r="B290" t="s">
        <v>2678</v>
      </c>
      <c r="C290">
        <v>51.536090899999998</v>
      </c>
      <c r="D290">
        <v>-0.2461729</v>
      </c>
      <c r="F290">
        <v>1</v>
      </c>
      <c r="G290" t="str">
        <f>IFERROR(VLOOKUP(B290, Data!H:H, 1, FALSE), "")</f>
        <v/>
      </c>
    </row>
    <row r="291" spans="1:7" x14ac:dyDescent="0.25">
      <c r="A291" t="s">
        <v>1478</v>
      </c>
      <c r="B291" t="s">
        <v>2679</v>
      </c>
      <c r="C291">
        <v>51.422567700000002</v>
      </c>
      <c r="D291">
        <v>-9.6581E-2</v>
      </c>
      <c r="F291">
        <v>1</v>
      </c>
      <c r="G291" t="str">
        <f>IFERROR(VLOOKUP(B291, Data!H:H, 1, FALSE), "")</f>
        <v/>
      </c>
    </row>
    <row r="292" spans="1:7" x14ac:dyDescent="0.25">
      <c r="A292" t="s">
        <v>1479</v>
      </c>
      <c r="B292" t="s">
        <v>2680</v>
      </c>
      <c r="C292">
        <v>51.489912799999999</v>
      </c>
      <c r="D292">
        <v>-5.0281300000000001E-2</v>
      </c>
      <c r="E292" t="s">
        <v>1206</v>
      </c>
      <c r="F292">
        <v>1</v>
      </c>
      <c r="G292" t="str">
        <f>IFERROR(VLOOKUP(B292, Data!H:H, 1, FALSE), "")</f>
        <v/>
      </c>
    </row>
    <row r="293" spans="1:7" x14ac:dyDescent="0.25">
      <c r="A293" t="s">
        <v>1480</v>
      </c>
      <c r="B293" t="s">
        <v>2681</v>
      </c>
      <c r="C293">
        <v>51.487073700000003</v>
      </c>
      <c r="D293">
        <v>8.1243999999999997E-2</v>
      </c>
      <c r="E293" t="s">
        <v>1206</v>
      </c>
      <c r="F293">
        <v>1</v>
      </c>
      <c r="G293" t="str">
        <f>IFERROR(VLOOKUP(B293, Data!H:H, 1, FALSE), "")</f>
        <v/>
      </c>
    </row>
    <row r="294" spans="1:7" x14ac:dyDescent="0.25">
      <c r="A294" t="s">
        <v>1481</v>
      </c>
      <c r="B294" t="s">
        <v>2682</v>
      </c>
      <c r="C294">
        <v>51.477122999999999</v>
      </c>
      <c r="D294">
        <v>6.4705499999999999E-2</v>
      </c>
      <c r="F294">
        <v>1</v>
      </c>
      <c r="G294" t="str">
        <f>IFERROR(VLOOKUP(B294, Data!H:H, 1, FALSE), "")</f>
        <v/>
      </c>
    </row>
    <row r="295" spans="1:7" x14ac:dyDescent="0.25">
      <c r="A295" t="s">
        <v>1482</v>
      </c>
      <c r="B295" t="s">
        <v>2683</v>
      </c>
      <c r="C295">
        <v>51.476465300000001</v>
      </c>
      <c r="D295">
        <v>9.0506199999999995E-2</v>
      </c>
      <c r="F295">
        <v>1</v>
      </c>
      <c r="G295" t="str">
        <f>IFERROR(VLOOKUP(B295, Data!H:H, 1, FALSE), "")</f>
        <v/>
      </c>
    </row>
    <row r="296" spans="1:7" x14ac:dyDescent="0.25">
      <c r="A296" t="s">
        <v>1483</v>
      </c>
      <c r="B296" t="s">
        <v>2684</v>
      </c>
      <c r="C296">
        <v>51.486921600000002</v>
      </c>
      <c r="D296">
        <v>2.7009999999999999E-2</v>
      </c>
      <c r="F296">
        <v>1</v>
      </c>
      <c r="G296" t="str">
        <f>IFERROR(VLOOKUP(B296, Data!H:H, 1, FALSE), "")</f>
        <v/>
      </c>
    </row>
    <row r="297" spans="1:7" x14ac:dyDescent="0.25">
      <c r="A297" t="s">
        <v>1319</v>
      </c>
      <c r="B297" t="s">
        <v>2685</v>
      </c>
      <c r="C297">
        <v>51.489725800000002</v>
      </c>
      <c r="D297">
        <v>0.1181352</v>
      </c>
      <c r="F297">
        <v>1</v>
      </c>
      <c r="G297" t="str">
        <f>IFERROR(VLOOKUP(B297, Data!H:H, 1, FALSE), "")</f>
        <v/>
      </c>
    </row>
    <row r="298" spans="1:7" x14ac:dyDescent="0.25">
      <c r="A298" t="s">
        <v>1484</v>
      </c>
      <c r="B298" t="s">
        <v>2686</v>
      </c>
      <c r="C298">
        <v>51.4910602</v>
      </c>
      <c r="D298">
        <v>0.14536979999999999</v>
      </c>
      <c r="E298" t="s">
        <v>1206</v>
      </c>
      <c r="F298">
        <v>1</v>
      </c>
      <c r="G298" t="str">
        <f>IFERROR(VLOOKUP(B298, Data!H:H, 1, FALSE), "")</f>
        <v/>
      </c>
    </row>
    <row r="299" spans="1:7" x14ac:dyDescent="0.25">
      <c r="A299" t="s">
        <v>1485</v>
      </c>
      <c r="B299" t="s">
        <v>2687</v>
      </c>
      <c r="C299">
        <v>51.4863505</v>
      </c>
      <c r="D299">
        <v>0.14895910000000001</v>
      </c>
      <c r="F299">
        <v>1</v>
      </c>
      <c r="G299" t="str">
        <f>IFERROR(VLOOKUP(B299, Data!H:H, 1, FALSE), "")</f>
        <v/>
      </c>
    </row>
    <row r="300" spans="1:7" x14ac:dyDescent="0.25">
      <c r="A300" t="s">
        <v>1486</v>
      </c>
      <c r="B300" t="s">
        <v>2688</v>
      </c>
      <c r="C300">
        <v>51.514035</v>
      </c>
      <c r="D300">
        <v>-0.24982370000000001</v>
      </c>
      <c r="F300">
        <v>1</v>
      </c>
      <c r="G300" t="str">
        <f>IFERROR(VLOOKUP(B300, Data!H:H, 1, FALSE), "")</f>
        <v/>
      </c>
    </row>
    <row r="301" spans="1:7" x14ac:dyDescent="0.25">
      <c r="A301" t="s">
        <v>1487</v>
      </c>
      <c r="B301" t="s">
        <v>2689</v>
      </c>
      <c r="C301">
        <v>51.528470900000002</v>
      </c>
      <c r="D301">
        <v>-4.98609E-2</v>
      </c>
      <c r="F301">
        <v>1</v>
      </c>
      <c r="G301" t="str">
        <f>IFERROR(VLOOKUP(B301, Data!H:H, 1, FALSE), "")</f>
        <v/>
      </c>
    </row>
    <row r="302" spans="1:7" x14ac:dyDescent="0.25">
      <c r="A302" t="s">
        <v>1488</v>
      </c>
      <c r="B302" t="s">
        <v>2690</v>
      </c>
      <c r="C302">
        <v>51.565326399999996</v>
      </c>
      <c r="D302">
        <v>-5.4583100000000002E-2</v>
      </c>
      <c r="E302" t="s">
        <v>1206</v>
      </c>
      <c r="F302">
        <v>1</v>
      </c>
      <c r="G302" t="str">
        <f>IFERROR(VLOOKUP(B302, Data!H:H, 1, FALSE), "")</f>
        <v/>
      </c>
    </row>
    <row r="303" spans="1:7" x14ac:dyDescent="0.25">
      <c r="A303" t="s">
        <v>1489</v>
      </c>
      <c r="B303" t="s">
        <v>2691</v>
      </c>
      <c r="C303">
        <v>51.492366599999997</v>
      </c>
      <c r="D303">
        <v>-0.18759120000000001</v>
      </c>
      <c r="F303">
        <v>1</v>
      </c>
      <c r="G303" t="str">
        <f>IFERROR(VLOOKUP(B303, Data!H:H, 1, FALSE), "")</f>
        <v/>
      </c>
    </row>
    <row r="304" spans="1:7" x14ac:dyDescent="0.25">
      <c r="A304" t="s">
        <v>1490</v>
      </c>
      <c r="B304" t="s">
        <v>2692</v>
      </c>
      <c r="C304">
        <v>51.542003999999999</v>
      </c>
      <c r="D304">
        <v>-0.15732070000000001</v>
      </c>
      <c r="F304">
        <v>1</v>
      </c>
      <c r="G304" t="str">
        <f>IFERROR(VLOOKUP(B304, Data!H:H, 1, FALSE), "")</f>
        <v/>
      </c>
    </row>
    <row r="305" spans="1:7" x14ac:dyDescent="0.25">
      <c r="A305" t="s">
        <v>1491</v>
      </c>
      <c r="B305" t="s">
        <v>2693</v>
      </c>
      <c r="C305">
        <v>51.431700200000002</v>
      </c>
      <c r="D305">
        <v>-0.16265279999999999</v>
      </c>
      <c r="F305">
        <v>1</v>
      </c>
      <c r="G305" t="str">
        <f>IFERROR(VLOOKUP(B305, Data!H:H, 1, FALSE), "")</f>
        <v/>
      </c>
    </row>
    <row r="306" spans="1:7" x14ac:dyDescent="0.25">
      <c r="A306" t="s">
        <v>1492</v>
      </c>
      <c r="B306" t="s">
        <v>2694</v>
      </c>
      <c r="C306">
        <v>51.591745899999999</v>
      </c>
      <c r="D306">
        <v>-0.3808724</v>
      </c>
      <c r="F306">
        <v>1</v>
      </c>
      <c r="G306" t="str">
        <f>IFERROR(VLOOKUP(B306, Data!H:H, 1, FALSE), "")</f>
        <v/>
      </c>
    </row>
    <row r="307" spans="1:7" x14ac:dyDescent="0.25">
      <c r="A307" t="s">
        <v>1493</v>
      </c>
      <c r="B307" t="s">
        <v>2695</v>
      </c>
      <c r="C307">
        <v>51.643930500000003</v>
      </c>
      <c r="D307">
        <v>-0.13193189999999999</v>
      </c>
      <c r="F307">
        <v>1</v>
      </c>
      <c r="G307" t="str">
        <f>IFERROR(VLOOKUP(B307, Data!H:H, 1, FALSE), "")</f>
        <v/>
      </c>
    </row>
    <row r="308" spans="1:7" x14ac:dyDescent="0.25">
      <c r="A308" t="s">
        <v>1494</v>
      </c>
      <c r="B308" t="s">
        <v>2696</v>
      </c>
      <c r="C308">
        <v>51.455252100000003</v>
      </c>
      <c r="D308">
        <v>1.8615799999999998E-2</v>
      </c>
      <c r="E308" t="s">
        <v>1206</v>
      </c>
      <c r="F308">
        <v>1</v>
      </c>
      <c r="G308" t="str">
        <f>IFERROR(VLOOKUP(B308, Data!H:H, 1, FALSE), "")</f>
        <v/>
      </c>
    </row>
    <row r="309" spans="1:7" x14ac:dyDescent="0.25">
      <c r="A309" t="s">
        <v>1209</v>
      </c>
      <c r="B309" t="s">
        <v>2697</v>
      </c>
      <c r="C309">
        <v>51.500488099999998</v>
      </c>
      <c r="D309">
        <v>-3.4695900000000002E-2</v>
      </c>
      <c r="E309" t="s">
        <v>1206</v>
      </c>
      <c r="F309">
        <v>1</v>
      </c>
      <c r="G309" t="str">
        <f>IFERROR(VLOOKUP(B309, Data!H:H, 1, FALSE), "")</f>
        <v/>
      </c>
    </row>
    <row r="310" spans="1:7" x14ac:dyDescent="0.25">
      <c r="A310" t="s">
        <v>1495</v>
      </c>
      <c r="B310" t="s">
        <v>2698</v>
      </c>
      <c r="C310">
        <v>51.5005101</v>
      </c>
      <c r="D310">
        <v>-0.21496129999999999</v>
      </c>
      <c r="E310" t="s">
        <v>1206</v>
      </c>
      <c r="F310">
        <v>1</v>
      </c>
      <c r="G310" t="str">
        <f>IFERROR(VLOOKUP(B310, Data!H:H, 1, FALSE), "")</f>
        <v/>
      </c>
    </row>
    <row r="311" spans="1:7" x14ac:dyDescent="0.25">
      <c r="A311" t="s">
        <v>1496</v>
      </c>
      <c r="B311" t="s">
        <v>2699</v>
      </c>
      <c r="C311">
        <v>51.4743651</v>
      </c>
      <c r="D311">
        <v>-3.5660400000000002E-2</v>
      </c>
      <c r="F311">
        <v>1</v>
      </c>
      <c r="G311" t="str">
        <f>IFERROR(VLOOKUP(B311, Data!H:H, 1, FALSE), "")</f>
        <v/>
      </c>
    </row>
    <row r="312" spans="1:7" x14ac:dyDescent="0.25">
      <c r="A312" t="s">
        <v>1497</v>
      </c>
      <c r="B312" t="s">
        <v>2699</v>
      </c>
      <c r="C312">
        <v>51.474893399999999</v>
      </c>
      <c r="D312">
        <v>-3.5600399999999997E-2</v>
      </c>
      <c r="F312">
        <v>1</v>
      </c>
      <c r="G312" t="str">
        <f>IFERROR(VLOOKUP(B312, Data!H:H, 1, FALSE), "")</f>
        <v/>
      </c>
    </row>
    <row r="313" spans="1:7" x14ac:dyDescent="0.25">
      <c r="A313" t="s">
        <v>1498</v>
      </c>
      <c r="B313" t="s">
        <v>2700</v>
      </c>
      <c r="C313">
        <v>51.473939399999999</v>
      </c>
      <c r="D313">
        <v>-3.5399800000000002E-2</v>
      </c>
      <c r="F313">
        <v>1</v>
      </c>
      <c r="G313" t="str">
        <f>IFERROR(VLOOKUP(B313, Data!H:H, 1, FALSE), "")</f>
        <v/>
      </c>
    </row>
    <row r="314" spans="1:7" x14ac:dyDescent="0.25">
      <c r="A314" t="s">
        <v>1499</v>
      </c>
      <c r="B314" t="s">
        <v>2701</v>
      </c>
      <c r="C314">
        <v>51.645970699999999</v>
      </c>
      <c r="D314">
        <v>-4.7033100000000001E-2</v>
      </c>
      <c r="F314">
        <v>1</v>
      </c>
      <c r="G314" t="str">
        <f>IFERROR(VLOOKUP(B314, Data!H:H, 1, FALSE), "")</f>
        <v/>
      </c>
    </row>
    <row r="315" spans="1:7" x14ac:dyDescent="0.25">
      <c r="A315" t="s">
        <v>1413</v>
      </c>
      <c r="B315" t="s">
        <v>2702</v>
      </c>
      <c r="C315">
        <v>51.479317999999999</v>
      </c>
      <c r="D315">
        <v>-9.3923900000000005E-2</v>
      </c>
      <c r="F315">
        <v>1</v>
      </c>
      <c r="G315" t="str">
        <f>IFERROR(VLOOKUP(B315, Data!H:H, 1, FALSE), "")</f>
        <v/>
      </c>
    </row>
    <row r="316" spans="1:7" x14ac:dyDescent="0.25">
      <c r="A316" t="s">
        <v>1500</v>
      </c>
      <c r="B316" t="s">
        <v>2703</v>
      </c>
      <c r="C316">
        <v>51.591990299999999</v>
      </c>
      <c r="D316">
        <v>-0.33213819999999999</v>
      </c>
      <c r="F316">
        <v>1</v>
      </c>
      <c r="G316" t="str">
        <f>IFERROR(VLOOKUP(B316, Data!H:H, 1, FALSE), "")</f>
        <v/>
      </c>
    </row>
    <row r="317" spans="1:7" x14ac:dyDescent="0.25">
      <c r="A317" t="s">
        <v>1501</v>
      </c>
      <c r="B317" t="s">
        <v>2704</v>
      </c>
      <c r="C317">
        <v>51.584905300000003</v>
      </c>
      <c r="D317">
        <v>-0.33253110000000002</v>
      </c>
      <c r="F317">
        <v>1</v>
      </c>
      <c r="G317" t="str">
        <f>IFERROR(VLOOKUP(B317, Data!H:H, 1, FALSE), "")</f>
        <v/>
      </c>
    </row>
    <row r="318" spans="1:7" x14ac:dyDescent="0.25">
      <c r="A318" t="s">
        <v>1410</v>
      </c>
      <c r="B318" t="s">
        <v>2705</v>
      </c>
      <c r="C318">
        <v>51.661098899999999</v>
      </c>
      <c r="D318">
        <v>-8.7324299999999994E-2</v>
      </c>
      <c r="E318" t="s">
        <v>1206</v>
      </c>
      <c r="F318">
        <v>1</v>
      </c>
      <c r="G318" t="str">
        <f>IFERROR(VLOOKUP(B318, Data!H:H, 1, FALSE), "")</f>
        <v/>
      </c>
    </row>
    <row r="319" spans="1:7" x14ac:dyDescent="0.25">
      <c r="A319" t="s">
        <v>1502</v>
      </c>
      <c r="B319" t="s">
        <v>2706</v>
      </c>
      <c r="C319">
        <v>51.498433200000001</v>
      </c>
      <c r="D319">
        <v>-1.00917E-2</v>
      </c>
      <c r="F319">
        <v>1</v>
      </c>
      <c r="G319" t="str">
        <f>IFERROR(VLOOKUP(B319, Data!H:H, 1, FALSE), "")</f>
        <v/>
      </c>
    </row>
    <row r="320" spans="1:7" x14ac:dyDescent="0.25">
      <c r="A320" t="s">
        <v>1503</v>
      </c>
      <c r="B320" t="s">
        <v>2707</v>
      </c>
      <c r="C320">
        <v>51.5101394</v>
      </c>
      <c r="D320">
        <v>-2.8361299999999999E-2</v>
      </c>
      <c r="F320">
        <v>1</v>
      </c>
      <c r="G320" t="str">
        <f>IFERROR(VLOOKUP(B320, Data!H:H, 1, FALSE), "")</f>
        <v/>
      </c>
    </row>
    <row r="321" spans="1:7" x14ac:dyDescent="0.25">
      <c r="A321" t="s">
        <v>1504</v>
      </c>
      <c r="B321" t="s">
        <v>2708</v>
      </c>
      <c r="C321">
        <v>51.5274395</v>
      </c>
      <c r="D321">
        <v>-2.12824E-2</v>
      </c>
      <c r="F321">
        <v>1</v>
      </c>
      <c r="G321" t="str">
        <f>IFERROR(VLOOKUP(B321, Data!H:H, 1, FALSE), "")</f>
        <v/>
      </c>
    </row>
    <row r="322" spans="1:7" x14ac:dyDescent="0.25">
      <c r="A322" t="s">
        <v>1505</v>
      </c>
      <c r="B322" t="s">
        <v>2709</v>
      </c>
      <c r="C322">
        <v>51.565406500000002</v>
      </c>
      <c r="D322">
        <v>-0.37339660000000002</v>
      </c>
      <c r="E322" t="s">
        <v>1206</v>
      </c>
      <c r="F322">
        <v>1</v>
      </c>
      <c r="G322" t="str">
        <f>IFERROR(VLOOKUP(B322, Data!H:H, 1, FALSE), "")</f>
        <v/>
      </c>
    </row>
    <row r="323" spans="1:7" x14ac:dyDescent="0.25">
      <c r="A323" t="s">
        <v>1506</v>
      </c>
      <c r="B323" t="s">
        <v>2710</v>
      </c>
      <c r="C323">
        <v>51.550422900000001</v>
      </c>
      <c r="D323">
        <v>-0.33109050000000001</v>
      </c>
      <c r="F323">
        <v>1</v>
      </c>
      <c r="G323" t="str">
        <f>IFERROR(VLOOKUP(B323, Data!H:H, 1, FALSE), "")</f>
        <v/>
      </c>
    </row>
    <row r="324" spans="1:7" x14ac:dyDescent="0.25">
      <c r="A324" t="s">
        <v>1507</v>
      </c>
      <c r="B324" t="s">
        <v>2711</v>
      </c>
      <c r="C324">
        <v>51.578124299999999</v>
      </c>
      <c r="D324">
        <v>8.8236200000000001E-2</v>
      </c>
      <c r="F324">
        <v>1</v>
      </c>
      <c r="G324" t="str">
        <f>IFERROR(VLOOKUP(B324, Data!H:H, 1, FALSE), "")</f>
        <v/>
      </c>
    </row>
    <row r="325" spans="1:7" x14ac:dyDescent="0.25">
      <c r="A325" t="s">
        <v>1508</v>
      </c>
      <c r="B325" t="s">
        <v>2712</v>
      </c>
      <c r="C325">
        <v>51.568516700000004</v>
      </c>
      <c r="D325">
        <v>8.1824599999999997E-2</v>
      </c>
      <c r="E325" t="s">
        <v>1206</v>
      </c>
      <c r="F325">
        <v>1</v>
      </c>
      <c r="G325" t="str">
        <f>IFERROR(VLOOKUP(B325, Data!H:H, 1, FALSE), "")</f>
        <v/>
      </c>
    </row>
    <row r="326" spans="1:7" x14ac:dyDescent="0.25">
      <c r="A326" t="s">
        <v>1509</v>
      </c>
      <c r="B326" t="s">
        <v>2713</v>
      </c>
      <c r="C326">
        <v>51.389512199999999</v>
      </c>
      <c r="D326">
        <v>8.2408099999999998E-2</v>
      </c>
      <c r="E326" t="s">
        <v>1206</v>
      </c>
      <c r="F326">
        <v>1</v>
      </c>
      <c r="G326" t="str">
        <f>IFERROR(VLOOKUP(B326, Data!H:H, 1, FALSE), "")</f>
        <v/>
      </c>
    </row>
    <row r="327" spans="1:7" x14ac:dyDescent="0.25">
      <c r="A327" t="s">
        <v>1510</v>
      </c>
      <c r="B327" t="s">
        <v>2714</v>
      </c>
      <c r="C327">
        <v>51.481183999999999</v>
      </c>
      <c r="D327">
        <v>1.8990400000000001E-2</v>
      </c>
      <c r="E327" t="s">
        <v>1206</v>
      </c>
      <c r="F327">
        <v>1</v>
      </c>
      <c r="G327" t="str">
        <f>IFERROR(VLOOKUP(B327, Data!H:H, 1, FALSE), "")</f>
        <v/>
      </c>
    </row>
    <row r="328" spans="1:7" x14ac:dyDescent="0.25">
      <c r="A328" t="s">
        <v>1511</v>
      </c>
      <c r="B328" t="s">
        <v>2715</v>
      </c>
      <c r="C328">
        <v>51.579932300000003</v>
      </c>
      <c r="D328">
        <v>-0.31613609999999998</v>
      </c>
      <c r="F328">
        <v>1</v>
      </c>
      <c r="G328" t="str">
        <f>IFERROR(VLOOKUP(B328, Data!H:H, 1, FALSE), "")</f>
        <v/>
      </c>
    </row>
    <row r="329" spans="1:7" x14ac:dyDescent="0.25">
      <c r="A329" t="s">
        <v>1512</v>
      </c>
      <c r="B329" t="s">
        <v>2716</v>
      </c>
      <c r="C329">
        <v>51.448746700000001</v>
      </c>
      <c r="D329">
        <v>-0.1240323</v>
      </c>
      <c r="F329">
        <v>1</v>
      </c>
      <c r="G329" t="str">
        <f>IFERROR(VLOOKUP(B329, Data!H:H, 1, FALSE), "")</f>
        <v/>
      </c>
    </row>
    <row r="330" spans="1:7" x14ac:dyDescent="0.25">
      <c r="A330" t="s">
        <v>1513</v>
      </c>
      <c r="B330" t="s">
        <v>2717</v>
      </c>
      <c r="C330">
        <v>51.525939100000002</v>
      </c>
      <c r="D330">
        <v>4.8611000000000001E-2</v>
      </c>
      <c r="E330" t="s">
        <v>1206</v>
      </c>
      <c r="F330">
        <v>1</v>
      </c>
      <c r="G330" t="str">
        <f>IFERROR(VLOOKUP(B330, Data!H:H, 1, FALSE), "")</f>
        <v/>
      </c>
    </row>
    <row r="331" spans="1:7" x14ac:dyDescent="0.25">
      <c r="A331" t="s">
        <v>1514</v>
      </c>
      <c r="B331" t="s">
        <v>2718</v>
      </c>
      <c r="C331">
        <v>51.378366100000001</v>
      </c>
      <c r="D331">
        <v>1.8082999999999998E-2</v>
      </c>
      <c r="E331" t="s">
        <v>1206</v>
      </c>
      <c r="F331">
        <v>1</v>
      </c>
      <c r="G331" t="str">
        <f>IFERROR(VLOOKUP(B331, Data!H:H, 1, FALSE), "")</f>
        <v/>
      </c>
    </row>
    <row r="332" spans="1:7" x14ac:dyDescent="0.25">
      <c r="A332" t="s">
        <v>1515</v>
      </c>
      <c r="B332" t="s">
        <v>2719</v>
      </c>
      <c r="C332">
        <v>51.473754100000001</v>
      </c>
      <c r="D332">
        <v>-6.7741200000000001E-2</v>
      </c>
      <c r="F332">
        <v>1</v>
      </c>
      <c r="G332" t="str">
        <f>IFERROR(VLOOKUP(B332, Data!H:H, 1, FALSE), "")</f>
        <v/>
      </c>
    </row>
    <row r="333" spans="1:7" x14ac:dyDescent="0.25">
      <c r="A333" t="s">
        <v>1516</v>
      </c>
      <c r="B333" t="s">
        <v>2720</v>
      </c>
      <c r="C333">
        <v>51.551539699999999</v>
      </c>
      <c r="D333">
        <v>-5.5517499999999997E-2</v>
      </c>
      <c r="F333">
        <v>1</v>
      </c>
      <c r="G333" t="str">
        <f>IFERROR(VLOOKUP(B333, Data!H:H, 1, FALSE), "")</f>
        <v/>
      </c>
    </row>
    <row r="334" spans="1:7" x14ac:dyDescent="0.25">
      <c r="A334" t="s">
        <v>1517</v>
      </c>
      <c r="B334" t="s">
        <v>2721</v>
      </c>
      <c r="C334">
        <v>51.473967399999999</v>
      </c>
      <c r="D334">
        <v>-0.11304210000000001</v>
      </c>
      <c r="F334">
        <v>1</v>
      </c>
      <c r="G334" t="str">
        <f>IFERROR(VLOOKUP(B334, Data!H:H, 1, FALSE), "")</f>
        <v/>
      </c>
    </row>
    <row r="335" spans="1:7" x14ac:dyDescent="0.25">
      <c r="A335" t="s">
        <v>1518</v>
      </c>
      <c r="B335" t="s">
        <v>2722</v>
      </c>
      <c r="C335">
        <v>51.658282499999999</v>
      </c>
      <c r="D335">
        <v>-0.2012285</v>
      </c>
      <c r="F335">
        <v>1</v>
      </c>
      <c r="G335" t="str">
        <f>IFERROR(VLOOKUP(B335, Data!H:H, 1, FALSE), "")</f>
        <v/>
      </c>
    </row>
    <row r="336" spans="1:7" x14ac:dyDescent="0.25">
      <c r="A336" t="s">
        <v>1519</v>
      </c>
      <c r="B336" t="s">
        <v>2723</v>
      </c>
      <c r="C336">
        <v>51.522870300000001</v>
      </c>
      <c r="D336">
        <v>-1.46564E-2</v>
      </c>
      <c r="F336">
        <v>1</v>
      </c>
      <c r="G336" t="str">
        <f>IFERROR(VLOOKUP(B336, Data!H:H, 1, FALSE), "")</f>
        <v/>
      </c>
    </row>
    <row r="337" spans="1:7" x14ac:dyDescent="0.25">
      <c r="A337" t="s">
        <v>1520</v>
      </c>
      <c r="B337" t="s">
        <v>2724</v>
      </c>
      <c r="C337">
        <v>51.536668200000001</v>
      </c>
      <c r="D337">
        <v>7.8259400000000007E-2</v>
      </c>
      <c r="F337">
        <v>1</v>
      </c>
      <c r="G337" t="str">
        <f>IFERROR(VLOOKUP(B337, Data!H:H, 1, FALSE), "")</f>
        <v/>
      </c>
    </row>
    <row r="338" spans="1:7" x14ac:dyDescent="0.25">
      <c r="A338" t="s">
        <v>1521</v>
      </c>
      <c r="B338" t="s">
        <v>2725</v>
      </c>
      <c r="C338">
        <v>51.5404774</v>
      </c>
      <c r="D338">
        <v>8.3118399999999995E-2</v>
      </c>
      <c r="F338">
        <v>1</v>
      </c>
      <c r="G338" t="str">
        <f>IFERROR(VLOOKUP(B338, Data!H:H, 1, FALSE), "")</f>
        <v/>
      </c>
    </row>
    <row r="339" spans="1:7" x14ac:dyDescent="0.25">
      <c r="A339" t="s">
        <v>1522</v>
      </c>
      <c r="B339" t="s">
        <v>2726</v>
      </c>
      <c r="C339">
        <v>51.520919399999997</v>
      </c>
      <c r="D339">
        <v>-0.3779111</v>
      </c>
      <c r="F339">
        <v>1</v>
      </c>
      <c r="G339" t="str">
        <f>IFERROR(VLOOKUP(B339, Data!H:H, 1, FALSE), "")</f>
        <v/>
      </c>
    </row>
    <row r="340" spans="1:7" x14ac:dyDescent="0.25">
      <c r="A340" t="s">
        <v>1523</v>
      </c>
      <c r="B340" t="s">
        <v>2727</v>
      </c>
      <c r="C340">
        <v>51.588704999999997</v>
      </c>
      <c r="D340">
        <v>-8.3006999999999997E-2</v>
      </c>
      <c r="F340">
        <v>1</v>
      </c>
      <c r="G340" t="str">
        <f>IFERROR(VLOOKUP(B340, Data!H:H, 1, FALSE), "")</f>
        <v/>
      </c>
    </row>
    <row r="341" spans="1:7" x14ac:dyDescent="0.25">
      <c r="A341" t="s">
        <v>1524</v>
      </c>
      <c r="B341" t="s">
        <v>2728</v>
      </c>
      <c r="C341">
        <v>51.423364800000002</v>
      </c>
      <c r="D341">
        <v>-0.1891293</v>
      </c>
      <c r="F341">
        <v>1</v>
      </c>
      <c r="G341" t="str">
        <f>IFERROR(VLOOKUP(B341, Data!H:H, 1, FALSE), "")</f>
        <v/>
      </c>
    </row>
    <row r="342" spans="1:7" x14ac:dyDescent="0.25">
      <c r="A342" t="s">
        <v>1525</v>
      </c>
      <c r="B342" t="s">
        <v>2729</v>
      </c>
      <c r="C342">
        <v>51.533859700000001</v>
      </c>
      <c r="D342">
        <v>2.4635500000000001E-2</v>
      </c>
      <c r="F342">
        <v>1</v>
      </c>
      <c r="G342" t="str">
        <f>IFERROR(VLOOKUP(B342, Data!H:H, 1, FALSE), "")</f>
        <v/>
      </c>
    </row>
    <row r="343" spans="1:7" x14ac:dyDescent="0.25">
      <c r="A343" t="s">
        <v>1526</v>
      </c>
      <c r="B343" t="s">
        <v>2730</v>
      </c>
      <c r="C343">
        <v>51.643563</v>
      </c>
      <c r="D343">
        <v>-4.3104400000000001E-2</v>
      </c>
      <c r="E343" t="s">
        <v>1206</v>
      </c>
      <c r="F343">
        <v>1</v>
      </c>
      <c r="G343" t="str">
        <f>IFERROR(VLOOKUP(B343, Data!H:H, 1, FALSE), "")</f>
        <v/>
      </c>
    </row>
    <row r="344" spans="1:7" x14ac:dyDescent="0.25">
      <c r="A344" t="s">
        <v>1527</v>
      </c>
      <c r="B344" t="s">
        <v>2731</v>
      </c>
      <c r="C344">
        <v>51.542796000000003</v>
      </c>
      <c r="D344">
        <v>-0.26990399999999998</v>
      </c>
      <c r="F344">
        <v>1</v>
      </c>
      <c r="G344" t="str">
        <f>IFERROR(VLOOKUP(B344, Data!H:H, 1, FALSE), "")</f>
        <v/>
      </c>
    </row>
    <row r="345" spans="1:7" x14ac:dyDescent="0.25">
      <c r="A345" t="s">
        <v>1528</v>
      </c>
      <c r="B345" t="s">
        <v>2732</v>
      </c>
      <c r="C345">
        <v>51.504348</v>
      </c>
      <c r="D345">
        <v>-1.41745E-2</v>
      </c>
      <c r="F345">
        <v>1</v>
      </c>
      <c r="G345" t="str">
        <f>IFERROR(VLOOKUP(B345, Data!H:H, 1, FALSE), "")</f>
        <v/>
      </c>
    </row>
    <row r="346" spans="1:7" x14ac:dyDescent="0.25">
      <c r="A346" t="s">
        <v>1529</v>
      </c>
      <c r="B346" t="s">
        <v>2733</v>
      </c>
      <c r="C346">
        <v>51.532991000000003</v>
      </c>
      <c r="D346">
        <v>-0.19813829999999999</v>
      </c>
      <c r="F346">
        <v>1</v>
      </c>
      <c r="G346" t="str">
        <f>IFERROR(VLOOKUP(B346, Data!H:H, 1, FALSE), "")</f>
        <v/>
      </c>
    </row>
    <row r="347" spans="1:7" x14ac:dyDescent="0.25">
      <c r="A347" t="s">
        <v>1530</v>
      </c>
      <c r="B347" t="s">
        <v>2734</v>
      </c>
      <c r="C347">
        <v>51.476693599999997</v>
      </c>
      <c r="D347">
        <v>-0.20305690000000001</v>
      </c>
      <c r="F347">
        <v>1</v>
      </c>
      <c r="G347" t="str">
        <f>IFERROR(VLOOKUP(B347, Data!H:H, 1, FALSE), "")</f>
        <v/>
      </c>
    </row>
    <row r="348" spans="1:7" x14ac:dyDescent="0.25">
      <c r="A348" t="s">
        <v>1531</v>
      </c>
      <c r="B348" t="s">
        <v>2735</v>
      </c>
      <c r="C348">
        <v>51.5142168</v>
      </c>
      <c r="D348">
        <v>-0.12534480000000001</v>
      </c>
      <c r="F348">
        <v>1</v>
      </c>
      <c r="G348" t="str">
        <f>IFERROR(VLOOKUP(B348, Data!H:H, 1, FALSE), "")</f>
        <v/>
      </c>
    </row>
    <row r="349" spans="1:7" x14ac:dyDescent="0.25">
      <c r="A349" t="s">
        <v>1532</v>
      </c>
      <c r="B349" t="s">
        <v>2736</v>
      </c>
      <c r="C349">
        <v>51.5639623</v>
      </c>
      <c r="D349">
        <v>-0.11842759999999999</v>
      </c>
      <c r="F349">
        <v>1</v>
      </c>
      <c r="G349" t="str">
        <f>IFERROR(VLOOKUP(B349, Data!H:H, 1, FALSE), "")</f>
        <v/>
      </c>
    </row>
    <row r="350" spans="1:7" x14ac:dyDescent="0.25">
      <c r="A350" t="s">
        <v>1533</v>
      </c>
      <c r="B350" t="s">
        <v>2737</v>
      </c>
      <c r="C350">
        <v>51.506360000000001</v>
      </c>
      <c r="D350">
        <v>-0.23138980000000001</v>
      </c>
      <c r="F350">
        <v>1</v>
      </c>
      <c r="G350" t="str">
        <f>IFERROR(VLOOKUP(B350, Data!H:H, 1, FALSE), "")</f>
        <v/>
      </c>
    </row>
    <row r="351" spans="1:7" x14ac:dyDescent="0.25">
      <c r="A351" t="s">
        <v>1534</v>
      </c>
      <c r="B351" t="s">
        <v>2738</v>
      </c>
      <c r="C351">
        <v>51.570168500000001</v>
      </c>
      <c r="D351">
        <v>-2.5279699999999999E-2</v>
      </c>
      <c r="F351">
        <v>1</v>
      </c>
      <c r="G351" t="str">
        <f>IFERROR(VLOOKUP(B351, Data!H:H, 1, FALSE), "")</f>
        <v/>
      </c>
    </row>
    <row r="352" spans="1:7" x14ac:dyDescent="0.25">
      <c r="A352" t="s">
        <v>1535</v>
      </c>
      <c r="B352" t="s">
        <v>2739</v>
      </c>
      <c r="C352">
        <v>51.512183700000001</v>
      </c>
      <c r="D352">
        <v>-0.10078280000000001</v>
      </c>
      <c r="F352">
        <v>1</v>
      </c>
      <c r="G352" t="str">
        <f>IFERROR(VLOOKUP(B352, Data!H:H, 1, FALSE), "")</f>
        <v/>
      </c>
    </row>
    <row r="353" spans="1:7" x14ac:dyDescent="0.25">
      <c r="A353" t="s">
        <v>1536</v>
      </c>
      <c r="B353" t="s">
        <v>2740</v>
      </c>
      <c r="C353">
        <v>51.441961300000003</v>
      </c>
      <c r="D353">
        <v>-1.5087E-3</v>
      </c>
      <c r="F353">
        <v>1</v>
      </c>
      <c r="G353" t="str">
        <f>IFERROR(VLOOKUP(B353, Data!H:H, 1, FALSE), "")</f>
        <v/>
      </c>
    </row>
    <row r="354" spans="1:7" x14ac:dyDescent="0.25">
      <c r="A354" t="s">
        <v>1537</v>
      </c>
      <c r="B354" t="s">
        <v>2741</v>
      </c>
      <c r="C354">
        <v>51.590859899999998</v>
      </c>
      <c r="D354">
        <v>-0.10229530000000001</v>
      </c>
      <c r="F354">
        <v>1</v>
      </c>
      <c r="G354" t="str">
        <f>IFERROR(VLOOKUP(B354, Data!H:H, 1, FALSE), "")</f>
        <v/>
      </c>
    </row>
    <row r="355" spans="1:7" x14ac:dyDescent="0.25">
      <c r="A355" t="s">
        <v>1538</v>
      </c>
      <c r="B355" t="s">
        <v>2742</v>
      </c>
      <c r="C355">
        <v>51.431022599999999</v>
      </c>
      <c r="D355">
        <v>-2.3369600000000001E-2</v>
      </c>
      <c r="F355">
        <v>1</v>
      </c>
      <c r="G355" t="str">
        <f>IFERROR(VLOOKUP(B355, Data!H:H, 1, FALSE), "")</f>
        <v/>
      </c>
    </row>
    <row r="356" spans="1:7" x14ac:dyDescent="0.25">
      <c r="A356" t="s">
        <v>1539</v>
      </c>
      <c r="B356" t="s">
        <v>2743</v>
      </c>
      <c r="C356">
        <v>51.5294813</v>
      </c>
      <c r="D356">
        <v>-1.58716E-2</v>
      </c>
      <c r="F356">
        <v>1</v>
      </c>
      <c r="G356" t="str">
        <f>IFERROR(VLOOKUP(B356, Data!H:H, 1, FALSE), "")</f>
        <v/>
      </c>
    </row>
    <row r="357" spans="1:7" x14ac:dyDescent="0.25">
      <c r="A357" t="s">
        <v>1540</v>
      </c>
      <c r="B357" t="s">
        <v>2744</v>
      </c>
      <c r="C357">
        <v>51.442676200000001</v>
      </c>
      <c r="D357">
        <v>-1.3479400000000001E-2</v>
      </c>
      <c r="F357">
        <v>1</v>
      </c>
      <c r="G357" t="str">
        <f>IFERROR(VLOOKUP(B357, Data!H:H, 1, FALSE), "")</f>
        <v/>
      </c>
    </row>
    <row r="358" spans="1:7" x14ac:dyDescent="0.25">
      <c r="A358" t="s">
        <v>1541</v>
      </c>
      <c r="B358" t="s">
        <v>2745</v>
      </c>
      <c r="C358">
        <v>51.520826599999999</v>
      </c>
      <c r="D358">
        <v>0.10854659999999999</v>
      </c>
      <c r="F358">
        <v>1</v>
      </c>
      <c r="G358" t="str">
        <f>IFERROR(VLOOKUP(B358, Data!H:H, 1, FALSE), "")</f>
        <v/>
      </c>
    </row>
    <row r="359" spans="1:7" x14ac:dyDescent="0.25">
      <c r="A359" t="s">
        <v>1542</v>
      </c>
      <c r="B359" t="s">
        <v>2746</v>
      </c>
      <c r="C359">
        <v>51.590798499999998</v>
      </c>
      <c r="D359">
        <v>-3.8157700000000003E-2</v>
      </c>
      <c r="F359">
        <v>1</v>
      </c>
      <c r="G359" t="str">
        <f>IFERROR(VLOOKUP(B359, Data!H:H, 1, FALSE), "")</f>
        <v/>
      </c>
    </row>
    <row r="360" spans="1:7" x14ac:dyDescent="0.25">
      <c r="A360" t="s">
        <v>1543</v>
      </c>
      <c r="B360" t="s">
        <v>2747</v>
      </c>
      <c r="C360">
        <v>51.578800100000002</v>
      </c>
      <c r="D360">
        <v>-3.01681E-2</v>
      </c>
      <c r="F360">
        <v>1</v>
      </c>
      <c r="G360" t="str">
        <f>IFERROR(VLOOKUP(B360, Data!H:H, 1, FALSE), "")</f>
        <v/>
      </c>
    </row>
    <row r="361" spans="1:7" x14ac:dyDescent="0.25">
      <c r="A361" t="s">
        <v>1544</v>
      </c>
      <c r="B361" t="s">
        <v>2748</v>
      </c>
      <c r="C361">
        <v>51.5166197</v>
      </c>
      <c r="D361">
        <v>-0.1385894</v>
      </c>
      <c r="F361">
        <v>1</v>
      </c>
      <c r="G361" t="str">
        <f>IFERROR(VLOOKUP(B361, Data!H:H, 1, FALSE), "")</f>
        <v/>
      </c>
    </row>
    <row r="362" spans="1:7" x14ac:dyDescent="0.25">
      <c r="A362" t="s">
        <v>1545</v>
      </c>
      <c r="B362" t="s">
        <v>2749</v>
      </c>
      <c r="C362">
        <v>51.531908399999999</v>
      </c>
      <c r="D362">
        <v>-4.2456399999999998E-2</v>
      </c>
      <c r="F362">
        <v>1</v>
      </c>
      <c r="G362" t="str">
        <f>IFERROR(VLOOKUP(B362, Data!H:H, 1, FALSE), "")</f>
        <v/>
      </c>
    </row>
    <row r="363" spans="1:7" x14ac:dyDescent="0.25">
      <c r="A363" t="s">
        <v>1546</v>
      </c>
      <c r="B363" t="s">
        <v>2750</v>
      </c>
      <c r="C363">
        <v>51.473474099999997</v>
      </c>
      <c r="D363">
        <v>0.16187770000000001</v>
      </c>
      <c r="F363">
        <v>1</v>
      </c>
      <c r="G363" t="str">
        <f>IFERROR(VLOOKUP(B363, Data!H:H, 1, FALSE), "")</f>
        <v/>
      </c>
    </row>
    <row r="364" spans="1:7" x14ac:dyDescent="0.25">
      <c r="A364" t="s">
        <v>1547</v>
      </c>
      <c r="B364" t="s">
        <v>2750</v>
      </c>
      <c r="C364">
        <v>51.4732895</v>
      </c>
      <c r="D364">
        <v>0.15964610000000001</v>
      </c>
      <c r="F364">
        <v>1</v>
      </c>
      <c r="G364" t="str">
        <f>IFERROR(VLOOKUP(B364, Data!H:H, 1, FALSE), "")</f>
        <v/>
      </c>
    </row>
    <row r="365" spans="1:7" x14ac:dyDescent="0.25">
      <c r="A365" t="s">
        <v>1548</v>
      </c>
      <c r="B365" t="s">
        <v>2751</v>
      </c>
      <c r="C365">
        <v>51.518316900000002</v>
      </c>
      <c r="D365">
        <v>-7.7932699999999994E-2</v>
      </c>
      <c r="F365">
        <v>1</v>
      </c>
      <c r="G365" t="str">
        <f>IFERROR(VLOOKUP(B365, Data!H:H, 1, FALSE), "")</f>
        <v/>
      </c>
    </row>
    <row r="366" spans="1:7" x14ac:dyDescent="0.25">
      <c r="A366" t="s">
        <v>1549</v>
      </c>
      <c r="B366" t="s">
        <v>2752</v>
      </c>
      <c r="C366">
        <v>51.567849699999996</v>
      </c>
      <c r="D366">
        <v>-0.1228732</v>
      </c>
      <c r="F366">
        <v>1</v>
      </c>
      <c r="G366" t="str">
        <f>IFERROR(VLOOKUP(B366, Data!H:H, 1, FALSE), "")</f>
        <v/>
      </c>
    </row>
    <row r="367" spans="1:7" x14ac:dyDescent="0.25">
      <c r="A367" t="s">
        <v>1550</v>
      </c>
      <c r="B367" t="s">
        <v>2753</v>
      </c>
      <c r="C367">
        <v>51.544677900000003</v>
      </c>
      <c r="D367">
        <v>-5.4449699999999997E-2</v>
      </c>
      <c r="F367">
        <v>1</v>
      </c>
      <c r="G367" t="str">
        <f>IFERROR(VLOOKUP(B367, Data!H:H, 1, FALSE), "")</f>
        <v/>
      </c>
    </row>
    <row r="368" spans="1:7" x14ac:dyDescent="0.25">
      <c r="A368" t="s">
        <v>1551</v>
      </c>
      <c r="B368" t="s">
        <v>2579</v>
      </c>
      <c r="C368">
        <v>51.491383300000003</v>
      </c>
      <c r="D368">
        <v>-9.0848999999999999E-2</v>
      </c>
      <c r="F368">
        <v>1</v>
      </c>
      <c r="G368" t="str">
        <f>IFERROR(VLOOKUP(B368, Data!H:H, 1, FALSE), "")</f>
        <v/>
      </c>
    </row>
    <row r="369" spans="1:7" x14ac:dyDescent="0.25">
      <c r="A369" t="s">
        <v>1552</v>
      </c>
      <c r="B369" t="s">
        <v>2754</v>
      </c>
      <c r="C369">
        <v>51.514441900000001</v>
      </c>
      <c r="D369">
        <v>1.9423000000000001E-3</v>
      </c>
      <c r="F369">
        <v>1</v>
      </c>
      <c r="G369" t="str">
        <f>IFERROR(VLOOKUP(B369, Data!H:H, 1, FALSE), "")</f>
        <v/>
      </c>
    </row>
    <row r="370" spans="1:7" x14ac:dyDescent="0.25">
      <c r="A370" t="s">
        <v>1553</v>
      </c>
      <c r="B370" t="s">
        <v>2755</v>
      </c>
      <c r="C370">
        <v>51.479211200000002</v>
      </c>
      <c r="D370">
        <v>7.77949E-2</v>
      </c>
      <c r="F370">
        <v>1</v>
      </c>
      <c r="G370" t="str">
        <f>IFERROR(VLOOKUP(B370, Data!H:H, 1, FALSE), "")</f>
        <v/>
      </c>
    </row>
    <row r="371" spans="1:7" x14ac:dyDescent="0.25">
      <c r="A371" t="s">
        <v>1554</v>
      </c>
      <c r="B371" t="s">
        <v>2756</v>
      </c>
      <c r="C371">
        <v>51.620682299999999</v>
      </c>
      <c r="D371">
        <v>-6.2324900000000003E-2</v>
      </c>
      <c r="F371">
        <v>1</v>
      </c>
      <c r="G371" t="str">
        <f>IFERROR(VLOOKUP(B371, Data!H:H, 1, FALSE), "")</f>
        <v/>
      </c>
    </row>
    <row r="372" spans="1:7" x14ac:dyDescent="0.25">
      <c r="A372" t="s">
        <v>1383</v>
      </c>
      <c r="B372" t="s">
        <v>2756</v>
      </c>
      <c r="C372">
        <v>51.620974199999999</v>
      </c>
      <c r="D372">
        <v>-6.2224599999999998E-2</v>
      </c>
      <c r="F372">
        <v>1</v>
      </c>
      <c r="G372" t="str">
        <f>IFERROR(VLOOKUP(B372, Data!H:H, 1, FALSE), "")</f>
        <v/>
      </c>
    </row>
    <row r="373" spans="1:7" x14ac:dyDescent="0.25">
      <c r="A373" t="s">
        <v>1555</v>
      </c>
      <c r="B373" t="s">
        <v>2757</v>
      </c>
      <c r="C373">
        <v>51.577592299999999</v>
      </c>
      <c r="D373">
        <v>-0.38275880000000001</v>
      </c>
      <c r="F373">
        <v>1</v>
      </c>
      <c r="G373" t="str">
        <f>IFERROR(VLOOKUP(B373, Data!H:H, 1, FALSE), "")</f>
        <v/>
      </c>
    </row>
    <row r="374" spans="1:7" x14ac:dyDescent="0.25">
      <c r="A374" t="s">
        <v>1556</v>
      </c>
      <c r="B374" t="s">
        <v>2758</v>
      </c>
      <c r="C374">
        <v>51.364017699999998</v>
      </c>
      <c r="D374">
        <v>-0.1531827</v>
      </c>
      <c r="F374">
        <v>1</v>
      </c>
      <c r="G374" t="str">
        <f>IFERROR(VLOOKUP(B374, Data!H:H, 1, FALSE), "")</f>
        <v/>
      </c>
    </row>
    <row r="375" spans="1:7" x14ac:dyDescent="0.25">
      <c r="A375" t="s">
        <v>1557</v>
      </c>
      <c r="B375" t="s">
        <v>2759</v>
      </c>
      <c r="C375">
        <v>51.525791699999999</v>
      </c>
      <c r="D375">
        <v>7.9674300000000003E-2</v>
      </c>
      <c r="F375">
        <v>1</v>
      </c>
      <c r="G375" t="str">
        <f>IFERROR(VLOOKUP(B375, Data!H:H, 1, FALSE), "")</f>
        <v/>
      </c>
    </row>
    <row r="376" spans="1:7" x14ac:dyDescent="0.25">
      <c r="A376" t="s">
        <v>1558</v>
      </c>
      <c r="B376" t="s">
        <v>2760</v>
      </c>
      <c r="C376">
        <v>51.565696199999998</v>
      </c>
      <c r="D376">
        <v>-0.13162589999999999</v>
      </c>
      <c r="F376">
        <v>1</v>
      </c>
      <c r="G376" t="str">
        <f>IFERROR(VLOOKUP(B376, Data!H:H, 1, FALSE), "")</f>
        <v/>
      </c>
    </row>
    <row r="377" spans="1:7" x14ac:dyDescent="0.25">
      <c r="A377" t="s">
        <v>1559</v>
      </c>
      <c r="B377" t="s">
        <v>2761</v>
      </c>
      <c r="C377">
        <v>51.5114485</v>
      </c>
      <c r="D377">
        <v>-0.1315704</v>
      </c>
      <c r="F377">
        <v>1</v>
      </c>
      <c r="G377" t="str">
        <f>IFERROR(VLOOKUP(B377, Data!H:H, 1, FALSE), "")</f>
        <v/>
      </c>
    </row>
    <row r="378" spans="1:7" x14ac:dyDescent="0.25">
      <c r="A378" t="s">
        <v>1560</v>
      </c>
      <c r="B378" t="s">
        <v>2762</v>
      </c>
      <c r="C378">
        <v>51.465753100000001</v>
      </c>
      <c r="D378">
        <v>-0.42170039999999998</v>
      </c>
      <c r="E378" t="s">
        <v>1206</v>
      </c>
      <c r="F378">
        <v>1</v>
      </c>
      <c r="G378" t="str">
        <f>IFERROR(VLOOKUP(B378, Data!H:H, 1, FALSE), "")</f>
        <v/>
      </c>
    </row>
    <row r="379" spans="1:7" x14ac:dyDescent="0.25">
      <c r="A379" t="s">
        <v>1561</v>
      </c>
      <c r="B379" t="s">
        <v>2763</v>
      </c>
      <c r="C379">
        <v>51.528136699999997</v>
      </c>
      <c r="D379">
        <v>-0.172514</v>
      </c>
      <c r="F379">
        <v>1</v>
      </c>
      <c r="G379" t="str">
        <f>IFERROR(VLOOKUP(B379, Data!H:H, 1, FALSE), "")</f>
        <v/>
      </c>
    </row>
    <row r="380" spans="1:7" x14ac:dyDescent="0.25">
      <c r="A380" t="s">
        <v>1375</v>
      </c>
      <c r="B380" t="s">
        <v>2764</v>
      </c>
      <c r="C380">
        <v>51.466337899999999</v>
      </c>
      <c r="D380">
        <v>-0.10190630000000001</v>
      </c>
      <c r="F380">
        <v>1</v>
      </c>
      <c r="G380" t="str">
        <f>IFERROR(VLOOKUP(B380, Data!H:H, 1, FALSE), "")</f>
        <v/>
      </c>
    </row>
    <row r="381" spans="1:7" x14ac:dyDescent="0.25">
      <c r="A381" t="s">
        <v>1562</v>
      </c>
      <c r="B381" t="s">
        <v>2765</v>
      </c>
      <c r="C381">
        <v>51.575406100000002</v>
      </c>
      <c r="D381">
        <v>-6.5916799999999998E-2</v>
      </c>
      <c r="F381">
        <v>1</v>
      </c>
      <c r="G381" t="str">
        <f>IFERROR(VLOOKUP(B381, Data!H:H, 1, FALSE), "")</f>
        <v/>
      </c>
    </row>
    <row r="382" spans="1:7" x14ac:dyDescent="0.25">
      <c r="A382" t="s">
        <v>1563</v>
      </c>
      <c r="B382" t="s">
        <v>2766</v>
      </c>
      <c r="C382">
        <v>51.586411300000002</v>
      </c>
      <c r="D382">
        <v>-0.3324606</v>
      </c>
      <c r="F382">
        <v>1</v>
      </c>
      <c r="G382" t="str">
        <f>IFERROR(VLOOKUP(B382, Data!H:H, 1, FALSE), "")</f>
        <v/>
      </c>
    </row>
    <row r="383" spans="1:7" x14ac:dyDescent="0.25">
      <c r="A383" t="s">
        <v>1564</v>
      </c>
      <c r="B383" t="s">
        <v>2767</v>
      </c>
      <c r="C383">
        <v>51.496468100000001</v>
      </c>
      <c r="D383">
        <v>-0.12868850000000001</v>
      </c>
      <c r="F383">
        <v>1</v>
      </c>
      <c r="G383" t="str">
        <f>IFERROR(VLOOKUP(B383, Data!H:H, 1, FALSE), "")</f>
        <v/>
      </c>
    </row>
    <row r="384" spans="1:7" x14ac:dyDescent="0.25">
      <c r="A384" t="s">
        <v>1565</v>
      </c>
      <c r="B384" t="s">
        <v>2768</v>
      </c>
      <c r="C384">
        <v>51.573635600000003</v>
      </c>
      <c r="D384">
        <v>-6.4404500000000003E-2</v>
      </c>
      <c r="F384">
        <v>1</v>
      </c>
      <c r="G384" t="str">
        <f>IFERROR(VLOOKUP(B384, Data!H:H, 1, FALSE), "")</f>
        <v/>
      </c>
    </row>
    <row r="385" spans="1:7" x14ac:dyDescent="0.25">
      <c r="A385" t="s">
        <v>1566</v>
      </c>
      <c r="B385" t="s">
        <v>2769</v>
      </c>
      <c r="C385">
        <v>51.591107399999999</v>
      </c>
      <c r="D385">
        <v>-0.4476154</v>
      </c>
      <c r="F385">
        <v>1</v>
      </c>
      <c r="G385" t="str">
        <f>IFERROR(VLOOKUP(B385, Data!H:H, 1, FALSE), "")</f>
        <v/>
      </c>
    </row>
    <row r="386" spans="1:7" x14ac:dyDescent="0.25">
      <c r="A386" t="s">
        <v>1567</v>
      </c>
      <c r="B386" t="s">
        <v>2770</v>
      </c>
      <c r="C386">
        <v>51.503785999999998</v>
      </c>
      <c r="D386">
        <v>0.1166591</v>
      </c>
      <c r="F386">
        <v>1</v>
      </c>
      <c r="G386" t="str">
        <f>IFERROR(VLOOKUP(B386, Data!H:H, 1, FALSE), "")</f>
        <v/>
      </c>
    </row>
    <row r="387" spans="1:7" x14ac:dyDescent="0.25">
      <c r="A387" t="s">
        <v>1568</v>
      </c>
      <c r="B387" t="s">
        <v>2771</v>
      </c>
      <c r="C387">
        <v>51.581334599999998</v>
      </c>
      <c r="D387">
        <v>0.17699909999999999</v>
      </c>
      <c r="F387">
        <v>1</v>
      </c>
      <c r="G387" t="str">
        <f>IFERROR(VLOOKUP(B387, Data!H:H, 1, FALSE), "")</f>
        <v/>
      </c>
    </row>
    <row r="388" spans="1:7" x14ac:dyDescent="0.25">
      <c r="A388" t="s">
        <v>1569</v>
      </c>
      <c r="B388" t="s">
        <v>2772</v>
      </c>
      <c r="C388">
        <v>51.595241700000003</v>
      </c>
      <c r="D388">
        <v>-0.17087369999999999</v>
      </c>
      <c r="F388">
        <v>1</v>
      </c>
      <c r="G388" t="str">
        <f>IFERROR(VLOOKUP(B388, Data!H:H, 1, FALSE), "")</f>
        <v/>
      </c>
    </row>
    <row r="389" spans="1:7" x14ac:dyDescent="0.25">
      <c r="A389" t="s">
        <v>1570</v>
      </c>
      <c r="B389" t="s">
        <v>2773</v>
      </c>
      <c r="C389">
        <v>51.501539200000003</v>
      </c>
      <c r="D389">
        <v>-0.1667254</v>
      </c>
      <c r="F389">
        <v>1</v>
      </c>
      <c r="G389" t="str">
        <f>IFERROR(VLOOKUP(B389, Data!H:H, 1, FALSE), "")</f>
        <v/>
      </c>
    </row>
    <row r="390" spans="1:7" x14ac:dyDescent="0.25">
      <c r="A390" t="s">
        <v>1571</v>
      </c>
      <c r="B390" t="s">
        <v>2774</v>
      </c>
      <c r="C390">
        <v>51.571616499999998</v>
      </c>
      <c r="D390">
        <v>-0.193549</v>
      </c>
      <c r="F390">
        <v>1</v>
      </c>
      <c r="G390" t="str">
        <f>IFERROR(VLOOKUP(B390, Data!H:H, 1, FALSE), "")</f>
        <v/>
      </c>
    </row>
    <row r="391" spans="1:7" x14ac:dyDescent="0.25">
      <c r="A391" t="s">
        <v>1572</v>
      </c>
      <c r="B391" t="s">
        <v>2775</v>
      </c>
      <c r="C391">
        <v>51.598010600000002</v>
      </c>
      <c r="D391">
        <v>0.1546447</v>
      </c>
      <c r="F391">
        <v>1</v>
      </c>
      <c r="G391" t="str">
        <f>IFERROR(VLOOKUP(B391, Data!H:H, 1, FALSE), "")</f>
        <v/>
      </c>
    </row>
    <row r="392" spans="1:7" x14ac:dyDescent="0.25">
      <c r="A392" t="s">
        <v>1573</v>
      </c>
      <c r="B392" t="s">
        <v>2776</v>
      </c>
      <c r="C392">
        <v>51.392204499999998</v>
      </c>
      <c r="D392">
        <v>-0.11758440000000001</v>
      </c>
      <c r="F392">
        <v>1</v>
      </c>
      <c r="G392" t="str">
        <f>IFERROR(VLOOKUP(B392, Data!H:H, 1, FALSE), "")</f>
        <v/>
      </c>
    </row>
    <row r="393" spans="1:7" x14ac:dyDescent="0.25">
      <c r="A393" t="s">
        <v>1574</v>
      </c>
      <c r="B393" t="s">
        <v>2777</v>
      </c>
      <c r="C393">
        <v>51.470085699999998</v>
      </c>
      <c r="D393">
        <v>-6.61688E-2</v>
      </c>
      <c r="F393">
        <v>1</v>
      </c>
      <c r="G393" t="str">
        <f>IFERROR(VLOOKUP(B393, Data!H:H, 1, FALSE), "")</f>
        <v/>
      </c>
    </row>
    <row r="394" spans="1:7" x14ac:dyDescent="0.25">
      <c r="A394" t="s">
        <v>1575</v>
      </c>
      <c r="B394" t="s">
        <v>2778</v>
      </c>
      <c r="C394">
        <v>51.543152399999997</v>
      </c>
      <c r="D394">
        <v>-5.40157E-2</v>
      </c>
      <c r="F394">
        <v>1</v>
      </c>
      <c r="G394" t="str">
        <f>IFERROR(VLOOKUP(B394, Data!H:H, 1, FALSE), "")</f>
        <v/>
      </c>
    </row>
    <row r="395" spans="1:7" x14ac:dyDescent="0.25">
      <c r="A395" t="s">
        <v>1576</v>
      </c>
      <c r="B395" t="s">
        <v>2779</v>
      </c>
      <c r="C395">
        <v>51.481253700000003</v>
      </c>
      <c r="D395">
        <v>-5.82576E-2</v>
      </c>
      <c r="F395">
        <v>1</v>
      </c>
      <c r="G395" t="str">
        <f>IFERROR(VLOOKUP(B395, Data!H:H, 1, FALSE), "")</f>
        <v/>
      </c>
    </row>
    <row r="396" spans="1:7" x14ac:dyDescent="0.25">
      <c r="A396" t="s">
        <v>1577</v>
      </c>
      <c r="B396" t="s">
        <v>2780</v>
      </c>
      <c r="C396">
        <v>51.480252</v>
      </c>
      <c r="D396">
        <v>-5.78901E-2</v>
      </c>
      <c r="F396">
        <v>1</v>
      </c>
      <c r="G396" t="str">
        <f>IFERROR(VLOOKUP(B396, Data!H:H, 1, FALSE), "")</f>
        <v/>
      </c>
    </row>
    <row r="397" spans="1:7" x14ac:dyDescent="0.25">
      <c r="A397" t="s">
        <v>1578</v>
      </c>
      <c r="B397" t="s">
        <v>2781</v>
      </c>
      <c r="C397">
        <v>51.479947199999998</v>
      </c>
      <c r="D397">
        <v>-5.7148499999999998E-2</v>
      </c>
      <c r="F397">
        <v>1</v>
      </c>
      <c r="G397" t="str">
        <f>IFERROR(VLOOKUP(B397, Data!H:H, 1, FALSE), "")</f>
        <v/>
      </c>
    </row>
    <row r="398" spans="1:7" x14ac:dyDescent="0.25">
      <c r="A398" t="s">
        <v>1579</v>
      </c>
      <c r="B398" t="s">
        <v>2782</v>
      </c>
      <c r="C398">
        <v>51.512800599999998</v>
      </c>
      <c r="D398">
        <v>-0.37157580000000001</v>
      </c>
      <c r="F398">
        <v>1</v>
      </c>
      <c r="G398" t="str">
        <f>IFERROR(VLOOKUP(B398, Data!H:H, 1, FALSE), "")</f>
        <v/>
      </c>
    </row>
    <row r="399" spans="1:7" x14ac:dyDescent="0.25">
      <c r="A399" t="s">
        <v>1580</v>
      </c>
      <c r="B399" t="s">
        <v>2783</v>
      </c>
      <c r="C399">
        <v>51.544314800000002</v>
      </c>
      <c r="D399">
        <v>-4.6922899999999997E-2</v>
      </c>
      <c r="F399">
        <v>1</v>
      </c>
      <c r="G399" t="str">
        <f>IFERROR(VLOOKUP(B399, Data!H:H, 1, FALSE), "")</f>
        <v/>
      </c>
    </row>
    <row r="400" spans="1:7" x14ac:dyDescent="0.25">
      <c r="A400" t="s">
        <v>1581</v>
      </c>
      <c r="B400" t="s">
        <v>2784</v>
      </c>
      <c r="C400">
        <v>51.529496899999998</v>
      </c>
      <c r="D400">
        <v>-8.3677399999999999E-2</v>
      </c>
      <c r="F400">
        <v>1</v>
      </c>
      <c r="G400" t="str">
        <f>IFERROR(VLOOKUP(B400, Data!H:H, 1, FALSE), "")</f>
        <v/>
      </c>
    </row>
    <row r="401" spans="1:7" x14ac:dyDescent="0.25">
      <c r="A401" t="s">
        <v>1582</v>
      </c>
      <c r="B401" t="s">
        <v>2785</v>
      </c>
      <c r="C401">
        <v>51.5595705</v>
      </c>
      <c r="D401">
        <v>-0.25048880000000001</v>
      </c>
      <c r="F401">
        <v>1</v>
      </c>
      <c r="G401" t="str">
        <f>IFERROR(VLOOKUP(B401, Data!H:H, 1, FALSE), "")</f>
        <v/>
      </c>
    </row>
    <row r="402" spans="1:7" x14ac:dyDescent="0.25">
      <c r="A402" t="s">
        <v>1583</v>
      </c>
      <c r="B402" t="s">
        <v>2786</v>
      </c>
      <c r="C402">
        <v>51.505580600000002</v>
      </c>
      <c r="D402">
        <v>-0.37712859999999998</v>
      </c>
      <c r="F402">
        <v>1</v>
      </c>
      <c r="G402" t="str">
        <f>IFERROR(VLOOKUP(B402, Data!H:H, 1, FALSE), "")</f>
        <v/>
      </c>
    </row>
    <row r="403" spans="1:7" x14ac:dyDescent="0.25">
      <c r="A403" t="s">
        <v>1584</v>
      </c>
      <c r="B403" t="s">
        <v>2787</v>
      </c>
      <c r="C403">
        <v>51.551022500000002</v>
      </c>
      <c r="D403">
        <v>0.19947980000000001</v>
      </c>
      <c r="F403">
        <v>1</v>
      </c>
      <c r="G403" t="str">
        <f>IFERROR(VLOOKUP(B403, Data!H:H, 1, FALSE), "")</f>
        <v/>
      </c>
    </row>
    <row r="404" spans="1:7" x14ac:dyDescent="0.25">
      <c r="A404" t="s">
        <v>1585</v>
      </c>
      <c r="B404" t="s">
        <v>2788</v>
      </c>
      <c r="C404">
        <v>51.496662800000003</v>
      </c>
      <c r="D404">
        <v>-0.42774970000000001</v>
      </c>
      <c r="F404">
        <v>1</v>
      </c>
      <c r="G404" t="str">
        <f>IFERROR(VLOOKUP(B404, Data!H:H, 1, FALSE), "")</f>
        <v/>
      </c>
    </row>
    <row r="405" spans="1:7" x14ac:dyDescent="0.25">
      <c r="A405" t="s">
        <v>1586</v>
      </c>
      <c r="B405" t="s">
        <v>2789</v>
      </c>
      <c r="C405">
        <v>51.433496300000002</v>
      </c>
      <c r="D405">
        <v>-0.162851</v>
      </c>
      <c r="F405">
        <v>1</v>
      </c>
      <c r="G405" t="str">
        <f>IFERROR(VLOOKUP(B405, Data!H:H, 1, FALSE), "")</f>
        <v/>
      </c>
    </row>
    <row r="406" spans="1:7" x14ac:dyDescent="0.25">
      <c r="A406" t="s">
        <v>1587</v>
      </c>
      <c r="B406" t="s">
        <v>2790</v>
      </c>
      <c r="C406">
        <v>51.481631800000002</v>
      </c>
      <c r="D406">
        <v>-2.73656E-2</v>
      </c>
      <c r="F406">
        <v>1</v>
      </c>
      <c r="G406" t="str">
        <f>IFERROR(VLOOKUP(B406, Data!H:H, 1, FALSE), "")</f>
        <v/>
      </c>
    </row>
    <row r="407" spans="1:7" x14ac:dyDescent="0.25">
      <c r="A407" t="s">
        <v>1588</v>
      </c>
      <c r="B407" t="s">
        <v>2791</v>
      </c>
      <c r="C407">
        <v>51.590817199999996</v>
      </c>
      <c r="D407">
        <v>-1.90058E-2</v>
      </c>
      <c r="F407">
        <v>1</v>
      </c>
      <c r="G407" t="str">
        <f>IFERROR(VLOOKUP(B407, Data!H:H, 1, FALSE), "")</f>
        <v/>
      </c>
    </row>
    <row r="408" spans="1:7" x14ac:dyDescent="0.25">
      <c r="A408" t="s">
        <v>1589</v>
      </c>
      <c r="B408" t="s">
        <v>2792</v>
      </c>
      <c r="C408">
        <v>51.556385300000002</v>
      </c>
      <c r="D408">
        <v>7.3063600000000006E-2</v>
      </c>
      <c r="F408">
        <v>1</v>
      </c>
      <c r="G408" t="str">
        <f>IFERROR(VLOOKUP(B408, Data!H:H, 1, FALSE), "")</f>
        <v/>
      </c>
    </row>
    <row r="409" spans="1:7" x14ac:dyDescent="0.25">
      <c r="A409" t="s">
        <v>1590</v>
      </c>
      <c r="B409" t="s">
        <v>2793</v>
      </c>
      <c r="C409">
        <v>51.511384300000003</v>
      </c>
      <c r="D409">
        <v>-9.6849599999999994E-2</v>
      </c>
      <c r="F409">
        <v>1</v>
      </c>
      <c r="G409" t="str">
        <f>IFERROR(VLOOKUP(B409, Data!H:H, 1, FALSE), "")</f>
        <v/>
      </c>
    </row>
    <row r="410" spans="1:7" x14ac:dyDescent="0.25">
      <c r="A410" t="s">
        <v>1591</v>
      </c>
      <c r="B410" t="s">
        <v>2794</v>
      </c>
      <c r="C410">
        <v>51.4006343</v>
      </c>
      <c r="D410">
        <v>-0.23839940000000001</v>
      </c>
      <c r="F410">
        <v>1</v>
      </c>
      <c r="G410" t="str">
        <f>IFERROR(VLOOKUP(B410, Data!H:H, 1, FALSE), "")</f>
        <v/>
      </c>
    </row>
    <row r="411" spans="1:7" x14ac:dyDescent="0.25">
      <c r="A411" t="s">
        <v>1592</v>
      </c>
      <c r="B411" t="s">
        <v>2795</v>
      </c>
      <c r="C411">
        <v>51.4944901</v>
      </c>
      <c r="D411">
        <v>-0.15897159999999999</v>
      </c>
      <c r="F411">
        <v>1</v>
      </c>
      <c r="G411" t="str">
        <f>IFERROR(VLOOKUP(B411, Data!H:H, 1, FALSE), "")</f>
        <v/>
      </c>
    </row>
    <row r="412" spans="1:7" x14ac:dyDescent="0.25">
      <c r="A412" t="s">
        <v>1593</v>
      </c>
      <c r="B412" t="s">
        <v>2796</v>
      </c>
      <c r="C412">
        <v>51.593654600000001</v>
      </c>
      <c r="D412">
        <v>-0.33381899999999998</v>
      </c>
      <c r="F412">
        <v>1</v>
      </c>
      <c r="G412" t="str">
        <f>IFERROR(VLOOKUP(B412, Data!H:H, 1, FALSE), "")</f>
        <v/>
      </c>
    </row>
    <row r="413" spans="1:7" x14ac:dyDescent="0.25">
      <c r="A413" t="s">
        <v>1594</v>
      </c>
      <c r="B413" t="s">
        <v>2797</v>
      </c>
      <c r="C413">
        <v>51.438139999999997</v>
      </c>
      <c r="D413">
        <v>7.2010000000000005E-2</v>
      </c>
      <c r="F413">
        <v>1</v>
      </c>
      <c r="G413" t="str">
        <f>IFERROR(VLOOKUP(B413, Data!H:H, 1, FALSE), "")</f>
        <v/>
      </c>
    </row>
    <row r="414" spans="1:7" x14ac:dyDescent="0.25">
      <c r="A414" t="s">
        <v>1595</v>
      </c>
      <c r="B414" t="s">
        <v>2798</v>
      </c>
      <c r="C414">
        <v>51.517724899999997</v>
      </c>
      <c r="D414">
        <v>-0.1889083</v>
      </c>
      <c r="F414">
        <v>1</v>
      </c>
      <c r="G414" t="str">
        <f>IFERROR(VLOOKUP(B414, Data!H:H, 1, FALSE), "")</f>
        <v/>
      </c>
    </row>
    <row r="415" spans="1:7" x14ac:dyDescent="0.25">
      <c r="A415" t="s">
        <v>1596</v>
      </c>
      <c r="B415" t="s">
        <v>2799</v>
      </c>
      <c r="C415">
        <v>51.5188633</v>
      </c>
      <c r="D415">
        <v>-0.1961552</v>
      </c>
      <c r="F415">
        <v>1</v>
      </c>
      <c r="G415" t="str">
        <f>IFERROR(VLOOKUP(B415, Data!H:H, 1, FALSE), "")</f>
        <v/>
      </c>
    </row>
    <row r="416" spans="1:7" x14ac:dyDescent="0.25">
      <c r="A416" t="s">
        <v>1597</v>
      </c>
      <c r="B416" t="s">
        <v>2800</v>
      </c>
      <c r="C416">
        <v>51.441766000000001</v>
      </c>
      <c r="D416">
        <v>7.9516100000000006E-2</v>
      </c>
      <c r="F416">
        <v>1</v>
      </c>
      <c r="G416" t="str">
        <f>IFERROR(VLOOKUP(B416, Data!H:H, 1, FALSE), "")</f>
        <v/>
      </c>
    </row>
    <row r="417" spans="1:7" x14ac:dyDescent="0.25">
      <c r="A417" t="s">
        <v>1598</v>
      </c>
      <c r="B417" t="s">
        <v>2801</v>
      </c>
      <c r="C417">
        <v>51.608009099999997</v>
      </c>
      <c r="D417">
        <v>-0.27377499999999999</v>
      </c>
      <c r="F417">
        <v>1</v>
      </c>
      <c r="G417" t="str">
        <f>IFERROR(VLOOKUP(B417, Data!H:H, 1, FALSE), "")</f>
        <v/>
      </c>
    </row>
    <row r="418" spans="1:7" x14ac:dyDescent="0.25">
      <c r="A418" t="s">
        <v>1599</v>
      </c>
      <c r="B418" t="s">
        <v>2802</v>
      </c>
      <c r="C418">
        <v>51.528095800000003</v>
      </c>
      <c r="D418">
        <v>-5.5768199999999997E-2</v>
      </c>
      <c r="F418">
        <v>1</v>
      </c>
      <c r="G418" t="str">
        <f>IFERROR(VLOOKUP(B418, Data!H:H, 1, FALSE), "")</f>
        <v/>
      </c>
    </row>
    <row r="419" spans="1:7" x14ac:dyDescent="0.25">
      <c r="A419" t="s">
        <v>1600</v>
      </c>
      <c r="B419" t="s">
        <v>2803</v>
      </c>
      <c r="C419">
        <v>51.513749099999899</v>
      </c>
      <c r="D419">
        <v>-0.105579275</v>
      </c>
      <c r="F419">
        <v>8</v>
      </c>
      <c r="G419" t="str">
        <f>IFERROR(VLOOKUP(B419, Data!H:H, 1, FALSE), "")</f>
        <v/>
      </c>
    </row>
    <row r="420" spans="1:7" x14ac:dyDescent="0.25">
      <c r="A420" t="s">
        <v>1601</v>
      </c>
      <c r="B420" t="s">
        <v>2804</v>
      </c>
      <c r="C420">
        <v>51.426873539999903</v>
      </c>
      <c r="D420">
        <v>9.8744799999999997E-3</v>
      </c>
      <c r="F420">
        <v>5</v>
      </c>
      <c r="G420" t="str">
        <f>IFERROR(VLOOKUP(B420, Data!H:H, 1, FALSE), "")</f>
        <v/>
      </c>
    </row>
    <row r="421" spans="1:7" x14ac:dyDescent="0.25">
      <c r="A421" t="s">
        <v>1602</v>
      </c>
      <c r="B421" t="s">
        <v>246</v>
      </c>
      <c r="C421">
        <v>51.538415166666603</v>
      </c>
      <c r="D421">
        <v>-0.10168621111111099</v>
      </c>
      <c r="E421" t="s">
        <v>1206</v>
      </c>
      <c r="F421">
        <v>9</v>
      </c>
    </row>
    <row r="422" spans="1:7" x14ac:dyDescent="0.25">
      <c r="A422" t="s">
        <v>1603</v>
      </c>
      <c r="B422" t="s">
        <v>2805</v>
      </c>
      <c r="C422">
        <v>51.481116419999999</v>
      </c>
      <c r="D422">
        <v>-0.19881795999999999</v>
      </c>
      <c r="E422" t="s">
        <v>1206</v>
      </c>
      <c r="F422">
        <v>5</v>
      </c>
      <c r="G422" t="str">
        <f>IFERROR(VLOOKUP(B422, Data!H:H, 1, FALSE), "")</f>
        <v/>
      </c>
    </row>
    <row r="423" spans="1:7" x14ac:dyDescent="0.25">
      <c r="A423" t="s">
        <v>1604</v>
      </c>
      <c r="B423" t="s">
        <v>2806</v>
      </c>
      <c r="C423">
        <v>51.528995142105202</v>
      </c>
      <c r="D423">
        <v>-0.16523555263157799</v>
      </c>
      <c r="F423">
        <v>19</v>
      </c>
      <c r="G423" t="str">
        <f>IFERROR(VLOOKUP(B423, Data!H:H, 1, FALSE), "")</f>
        <v/>
      </c>
    </row>
    <row r="424" spans="1:7" x14ac:dyDescent="0.25">
      <c r="A424" t="s">
        <v>1605</v>
      </c>
      <c r="B424" t="s">
        <v>2807</v>
      </c>
      <c r="C424">
        <v>51.4560615555555</v>
      </c>
      <c r="D424">
        <v>-0.35963775555555499</v>
      </c>
      <c r="F424">
        <v>9</v>
      </c>
      <c r="G424" t="str">
        <f>IFERROR(VLOOKUP(B424, Data!H:H, 1, FALSE), "")</f>
        <v/>
      </c>
    </row>
    <row r="425" spans="1:7" x14ac:dyDescent="0.25">
      <c r="A425" t="s">
        <v>1606</v>
      </c>
      <c r="B425" t="s">
        <v>2808</v>
      </c>
      <c r="C425">
        <v>51.516856993333299</v>
      </c>
      <c r="D425">
        <v>-4.1634026666666601E-2</v>
      </c>
      <c r="F425">
        <v>15</v>
      </c>
      <c r="G425" t="str">
        <f>IFERROR(VLOOKUP(B425, Data!H:H, 1, FALSE), "")</f>
        <v/>
      </c>
    </row>
    <row r="426" spans="1:7" x14ac:dyDescent="0.25">
      <c r="A426" t="s">
        <v>1607</v>
      </c>
      <c r="B426" t="s">
        <v>2809</v>
      </c>
      <c r="C426">
        <v>51.667564766666601</v>
      </c>
      <c r="D426">
        <v>-8.4701100000000001E-2</v>
      </c>
      <c r="E426" t="s">
        <v>1206</v>
      </c>
      <c r="F426">
        <v>9</v>
      </c>
      <c r="G426" t="str">
        <f>IFERROR(VLOOKUP(B426, Data!H:H, 1, FALSE), "")</f>
        <v/>
      </c>
    </row>
    <row r="427" spans="1:7" x14ac:dyDescent="0.25">
      <c r="A427" t="s">
        <v>1608</v>
      </c>
      <c r="B427" t="s">
        <v>2810</v>
      </c>
      <c r="C427">
        <v>51.429550917646999</v>
      </c>
      <c r="D427">
        <v>-0.1314458</v>
      </c>
      <c r="E427" t="s">
        <v>1206</v>
      </c>
      <c r="F427">
        <v>17</v>
      </c>
      <c r="G427" t="str">
        <f>IFERROR(VLOOKUP(B427, Data!H:H, 1, FALSE), "")</f>
        <v/>
      </c>
    </row>
    <row r="428" spans="1:7" x14ac:dyDescent="0.25">
      <c r="A428" t="s">
        <v>1283</v>
      </c>
      <c r="B428" t="s">
        <v>2811</v>
      </c>
      <c r="C428">
        <v>51.492096123076898</v>
      </c>
      <c r="D428">
        <v>-0.265020015384615</v>
      </c>
      <c r="E428" t="s">
        <v>1206</v>
      </c>
      <c r="F428">
        <v>13</v>
      </c>
      <c r="G428" t="str">
        <f>IFERROR(VLOOKUP(B428, Data!H:H, 1, FALSE), "")</f>
        <v/>
      </c>
    </row>
    <row r="429" spans="1:7" x14ac:dyDescent="0.25">
      <c r="A429" t="s">
        <v>1609</v>
      </c>
      <c r="B429" t="s">
        <v>2808</v>
      </c>
      <c r="C429">
        <v>51.585030022222199</v>
      </c>
      <c r="D429">
        <v>-1.18722999999999E-2</v>
      </c>
      <c r="E429" t="s">
        <v>1206</v>
      </c>
      <c r="F429">
        <v>9</v>
      </c>
      <c r="G429" t="str">
        <f>IFERROR(VLOOKUP(B429, Data!H:H, 1, FALSE), "")</f>
        <v/>
      </c>
    </row>
    <row r="430" spans="1:7" x14ac:dyDescent="0.25">
      <c r="A430" t="s">
        <v>1207</v>
      </c>
      <c r="B430" t="s">
        <v>2812</v>
      </c>
      <c r="C430">
        <v>51.410430630769199</v>
      </c>
      <c r="D430">
        <v>-0.30609180000000002</v>
      </c>
      <c r="E430" t="s">
        <v>1206</v>
      </c>
      <c r="F430">
        <v>13</v>
      </c>
      <c r="G430" t="str">
        <f>IFERROR(VLOOKUP(B430, Data!H:H, 1, FALSE), "")</f>
        <v/>
      </c>
    </row>
    <row r="431" spans="1:7" x14ac:dyDescent="0.25">
      <c r="A431" t="s">
        <v>1610</v>
      </c>
      <c r="B431" t="s">
        <v>2813</v>
      </c>
      <c r="C431">
        <v>51.5305860307692</v>
      </c>
      <c r="D431">
        <v>-0.168414876923076</v>
      </c>
      <c r="E431" t="s">
        <v>1206</v>
      </c>
      <c r="F431">
        <v>13</v>
      </c>
      <c r="G431" t="str">
        <f>IFERROR(VLOOKUP(B431, Data!H:H, 1, FALSE), "")</f>
        <v/>
      </c>
    </row>
    <row r="432" spans="1:7" x14ac:dyDescent="0.25">
      <c r="A432" t="s">
        <v>432</v>
      </c>
      <c r="B432" t="s">
        <v>1059</v>
      </c>
      <c r="C432">
        <v>51.51004502</v>
      </c>
      <c r="D432">
        <v>-5.9791660000000003E-2</v>
      </c>
      <c r="E432" t="s">
        <v>1206</v>
      </c>
      <c r="F432">
        <v>5</v>
      </c>
    </row>
    <row r="433" spans="1:7" x14ac:dyDescent="0.25">
      <c r="A433" t="s">
        <v>1611</v>
      </c>
      <c r="B433" t="s">
        <v>2808</v>
      </c>
      <c r="C433">
        <v>51.509410661538404</v>
      </c>
      <c r="D433">
        <v>-5.20504076923076E-2</v>
      </c>
      <c r="E433" t="s">
        <v>1206</v>
      </c>
      <c r="F433">
        <v>13</v>
      </c>
      <c r="G433" t="str">
        <f>IFERROR(VLOOKUP(B433, Data!H:H, 1, FALSE), "")</f>
        <v/>
      </c>
    </row>
    <row r="434" spans="1:7" x14ac:dyDescent="0.25">
      <c r="A434" t="s">
        <v>1612</v>
      </c>
      <c r="B434" t="s">
        <v>2814</v>
      </c>
      <c r="C434">
        <v>51.3625817</v>
      </c>
      <c r="D434">
        <v>-0.19489606000000001</v>
      </c>
      <c r="E434" t="s">
        <v>1206</v>
      </c>
      <c r="F434">
        <v>25</v>
      </c>
      <c r="G434" t="str">
        <f>IFERROR(VLOOKUP(B434, Data!H:H, 1, FALSE), "")</f>
        <v/>
      </c>
    </row>
    <row r="435" spans="1:7" x14ac:dyDescent="0.25">
      <c r="A435" t="s">
        <v>1258</v>
      </c>
      <c r="B435" t="s">
        <v>2815</v>
      </c>
      <c r="C435">
        <v>51.530067699999996</v>
      </c>
      <c r="D435">
        <v>-0.108702338461538</v>
      </c>
      <c r="F435">
        <v>13</v>
      </c>
      <c r="G435" t="str">
        <f>IFERROR(VLOOKUP(B435, Data!H:H, 1, FALSE), "")</f>
        <v/>
      </c>
    </row>
    <row r="436" spans="1:7" x14ac:dyDescent="0.25">
      <c r="A436" t="s">
        <v>1613</v>
      </c>
      <c r="B436" t="s">
        <v>2816</v>
      </c>
      <c r="C436">
        <v>51.459696520000001</v>
      </c>
      <c r="D436">
        <v>-0.11602532</v>
      </c>
      <c r="E436" t="s">
        <v>1206</v>
      </c>
      <c r="F436">
        <v>5</v>
      </c>
      <c r="G436" t="str">
        <f>IFERROR(VLOOKUP(B436, Data!H:H, 1, FALSE), "")</f>
        <v/>
      </c>
    </row>
    <row r="437" spans="1:7" x14ac:dyDescent="0.25">
      <c r="A437" t="s">
        <v>1614</v>
      </c>
      <c r="B437" t="s">
        <v>2817</v>
      </c>
      <c r="C437">
        <v>51.457676219999897</v>
      </c>
      <c r="D437">
        <v>-0.13269422</v>
      </c>
      <c r="E437" t="s">
        <v>1206</v>
      </c>
      <c r="F437">
        <v>5</v>
      </c>
      <c r="G437" t="str">
        <f>IFERROR(VLOOKUP(B437, Data!H:H, 1, FALSE), "")</f>
        <v/>
      </c>
    </row>
    <row r="438" spans="1:7" x14ac:dyDescent="0.25">
      <c r="A438" t="s">
        <v>1615</v>
      </c>
      <c r="B438" t="s">
        <v>2818</v>
      </c>
      <c r="C438">
        <v>51.513119302272699</v>
      </c>
      <c r="D438">
        <v>-0.11376555454545401</v>
      </c>
      <c r="E438" t="s">
        <v>1206</v>
      </c>
      <c r="F438">
        <v>44</v>
      </c>
      <c r="G438" t="str">
        <f>IFERROR(VLOOKUP(B438, Data!H:H, 1, FALSE), "")</f>
        <v/>
      </c>
    </row>
    <row r="439" spans="1:7" x14ac:dyDescent="0.25">
      <c r="A439" t="s">
        <v>1616</v>
      </c>
      <c r="B439" t="s">
        <v>2819</v>
      </c>
      <c r="C439">
        <v>51.512223710000001</v>
      </c>
      <c r="D439">
        <v>-0.11675268999999899</v>
      </c>
      <c r="E439" t="s">
        <v>1206</v>
      </c>
      <c r="F439">
        <v>10</v>
      </c>
      <c r="G439" t="str">
        <f>IFERROR(VLOOKUP(B439, Data!H:H, 1, FALSE), "")</f>
        <v/>
      </c>
    </row>
    <row r="440" spans="1:7" x14ac:dyDescent="0.25">
      <c r="A440" t="s">
        <v>1617</v>
      </c>
      <c r="B440" t="s">
        <v>2820</v>
      </c>
      <c r="C440">
        <v>51.4957832714285</v>
      </c>
      <c r="D440">
        <v>-0.26303910000000003</v>
      </c>
      <c r="E440" t="s">
        <v>1206</v>
      </c>
      <c r="F440">
        <v>7</v>
      </c>
      <c r="G440" t="str">
        <f>IFERROR(VLOOKUP(B440, Data!H:H, 1, FALSE), "")</f>
        <v/>
      </c>
    </row>
    <row r="441" spans="1:7" x14ac:dyDescent="0.25">
      <c r="A441" t="s">
        <v>1618</v>
      </c>
      <c r="B441" t="s">
        <v>2821</v>
      </c>
      <c r="C441">
        <v>51.500388280000003</v>
      </c>
      <c r="D441">
        <v>-0.13527439999999999</v>
      </c>
      <c r="F441">
        <v>5</v>
      </c>
      <c r="G441" t="str">
        <f>IFERROR(VLOOKUP(B441, Data!H:H, 1, FALSE), "")</f>
        <v/>
      </c>
    </row>
    <row r="442" spans="1:7" x14ac:dyDescent="0.25">
      <c r="A442" t="s">
        <v>1619</v>
      </c>
      <c r="B442" t="s">
        <v>2822</v>
      </c>
      <c r="C442">
        <v>51.534895480000003</v>
      </c>
      <c r="D442">
        <v>-0.13022413999999999</v>
      </c>
      <c r="E442" t="s">
        <v>1206</v>
      </c>
      <c r="F442">
        <v>5</v>
      </c>
      <c r="G442" t="str">
        <f>IFERROR(VLOOKUP(B442, Data!H:H, 1, FALSE), "")</f>
        <v/>
      </c>
    </row>
    <row r="443" spans="1:7" x14ac:dyDescent="0.25">
      <c r="A443" t="s">
        <v>1620</v>
      </c>
      <c r="B443" t="s">
        <v>2823</v>
      </c>
      <c r="C443">
        <v>51.533768844444403</v>
      </c>
      <c r="D443">
        <v>-0.146703911111111</v>
      </c>
      <c r="F443">
        <v>9</v>
      </c>
      <c r="G443" t="str">
        <f>IFERROR(VLOOKUP(B443, Data!H:H, 1, FALSE), "")</f>
        <v/>
      </c>
    </row>
    <row r="444" spans="1:7" x14ac:dyDescent="0.25">
      <c r="A444" t="s">
        <v>1357</v>
      </c>
      <c r="B444" t="s">
        <v>2824</v>
      </c>
      <c r="C444">
        <v>51.548424676470503</v>
      </c>
      <c r="D444">
        <v>-0.13378030784313699</v>
      </c>
      <c r="F444">
        <v>51</v>
      </c>
      <c r="G444" t="str">
        <f>IFERROR(VLOOKUP(B444, Data!H:H, 1, FALSE), "")</f>
        <v/>
      </c>
    </row>
    <row r="445" spans="1:7" x14ac:dyDescent="0.25">
      <c r="A445" t="s">
        <v>1621</v>
      </c>
      <c r="B445" t="s">
        <v>2808</v>
      </c>
      <c r="C445">
        <v>51.463000011111099</v>
      </c>
      <c r="D445">
        <v>-9.7952855555555496E-2</v>
      </c>
      <c r="E445" t="s">
        <v>1206</v>
      </c>
      <c r="F445">
        <v>9</v>
      </c>
      <c r="G445" t="str">
        <f>IFERROR(VLOOKUP(B445, Data!H:H, 1, FALSE), "")</f>
        <v/>
      </c>
    </row>
    <row r="446" spans="1:7" x14ac:dyDescent="0.25">
      <c r="A446" t="s">
        <v>1622</v>
      </c>
      <c r="B446" t="s">
        <v>2825</v>
      </c>
      <c r="C446">
        <v>51.404678140000001</v>
      </c>
      <c r="D446">
        <v>-0.12523020000000001</v>
      </c>
      <c r="E446" t="s">
        <v>1206</v>
      </c>
      <c r="F446">
        <v>5</v>
      </c>
      <c r="G446" t="str">
        <f>IFERROR(VLOOKUP(B446, Data!H:H, 1, FALSE), "")</f>
        <v/>
      </c>
    </row>
    <row r="447" spans="1:7" x14ac:dyDescent="0.25">
      <c r="A447" t="s">
        <v>1623</v>
      </c>
      <c r="B447" t="s">
        <v>2826</v>
      </c>
      <c r="C447">
        <v>51.493388400000001</v>
      </c>
      <c r="D447">
        <v>-0.178029825</v>
      </c>
      <c r="F447">
        <v>8</v>
      </c>
      <c r="G447" t="str">
        <f>IFERROR(VLOOKUP(B447, Data!H:H, 1, FALSE), "")</f>
        <v/>
      </c>
    </row>
    <row r="448" spans="1:7" x14ac:dyDescent="0.25">
      <c r="A448" t="s">
        <v>1209</v>
      </c>
      <c r="B448" t="s">
        <v>2827</v>
      </c>
      <c r="C448">
        <v>51.468765599999998</v>
      </c>
      <c r="D448">
        <v>-0.36428969999999999</v>
      </c>
      <c r="E448" t="s">
        <v>1206</v>
      </c>
      <c r="F448">
        <v>9</v>
      </c>
      <c r="G448" t="str">
        <f>IFERROR(VLOOKUP(B448, Data!H:H, 1, FALSE), "")</f>
        <v/>
      </c>
    </row>
    <row r="449" spans="1:7" x14ac:dyDescent="0.25">
      <c r="A449" t="s">
        <v>1375</v>
      </c>
      <c r="B449" t="s">
        <v>2828</v>
      </c>
      <c r="C449">
        <v>51.53740054</v>
      </c>
      <c r="D449">
        <v>-0.10822917999999999</v>
      </c>
      <c r="F449">
        <v>5</v>
      </c>
      <c r="G449" t="str">
        <f>IFERROR(VLOOKUP(B449, Data!H:H, 1, FALSE), "")</f>
        <v/>
      </c>
    </row>
    <row r="450" spans="1:7" x14ac:dyDescent="0.25">
      <c r="A450" t="s">
        <v>1624</v>
      </c>
      <c r="B450" t="s">
        <v>2829</v>
      </c>
      <c r="C450">
        <v>51.54337005</v>
      </c>
      <c r="D450">
        <v>-0.29810120000000001</v>
      </c>
      <c r="F450">
        <v>6</v>
      </c>
      <c r="G450" t="str">
        <f>IFERROR(VLOOKUP(B450, Data!H:H, 1, FALSE), "")</f>
        <v/>
      </c>
    </row>
    <row r="451" spans="1:7" x14ac:dyDescent="0.25">
      <c r="A451" t="s">
        <v>1209</v>
      </c>
      <c r="B451" t="s">
        <v>2830</v>
      </c>
      <c r="C451">
        <v>51.500090058333299</v>
      </c>
      <c r="D451">
        <v>-0.178858516666666</v>
      </c>
      <c r="F451">
        <v>12</v>
      </c>
      <c r="G451" t="str">
        <f>IFERROR(VLOOKUP(B451, Data!H:H, 1, FALSE), "")</f>
        <v/>
      </c>
    </row>
    <row r="452" spans="1:7" x14ac:dyDescent="0.25">
      <c r="A452" t="s">
        <v>1625</v>
      </c>
      <c r="B452" t="s">
        <v>2831</v>
      </c>
      <c r="C452">
        <v>51.544746041666599</v>
      </c>
      <c r="D452">
        <v>-0.102377333333333</v>
      </c>
      <c r="F452">
        <v>12</v>
      </c>
      <c r="G452" t="str">
        <f>IFERROR(VLOOKUP(B452, Data!H:H, 1, FALSE), "")</f>
        <v/>
      </c>
    </row>
    <row r="453" spans="1:7" x14ac:dyDescent="0.25">
      <c r="A453" t="s">
        <v>1626</v>
      </c>
      <c r="B453" t="s">
        <v>2832</v>
      </c>
      <c r="C453">
        <v>51.389787447058801</v>
      </c>
      <c r="D453">
        <v>-0.29243965882352901</v>
      </c>
      <c r="E453" t="s">
        <v>1206</v>
      </c>
      <c r="F453">
        <v>17</v>
      </c>
      <c r="G453" t="str">
        <f>IFERROR(VLOOKUP(B453, Data!H:H, 1, FALSE), "")</f>
        <v/>
      </c>
    </row>
    <row r="454" spans="1:7" x14ac:dyDescent="0.25">
      <c r="A454" t="s">
        <v>1627</v>
      </c>
      <c r="B454" t="s">
        <v>2833</v>
      </c>
      <c r="C454">
        <v>51.410850057142802</v>
      </c>
      <c r="D454">
        <v>-0.29646048571428502</v>
      </c>
      <c r="F454">
        <v>7</v>
      </c>
      <c r="G454" t="str">
        <f>IFERROR(VLOOKUP(B454, Data!H:H, 1, FALSE), "")</f>
        <v/>
      </c>
    </row>
    <row r="455" spans="1:7" x14ac:dyDescent="0.25">
      <c r="A455" t="s">
        <v>1628</v>
      </c>
      <c r="B455" t="s">
        <v>2794</v>
      </c>
      <c r="C455">
        <v>51.395270500000002</v>
      </c>
      <c r="D455">
        <v>-0.25477003999999998</v>
      </c>
      <c r="E455" t="s">
        <v>1206</v>
      </c>
      <c r="F455">
        <v>5</v>
      </c>
      <c r="G455" t="str">
        <f>IFERROR(VLOOKUP(B455, Data!H:H, 1, FALSE), "")</f>
        <v/>
      </c>
    </row>
    <row r="456" spans="1:7" x14ac:dyDescent="0.25">
      <c r="A456" t="s">
        <v>1629</v>
      </c>
      <c r="B456" t="s">
        <v>2834</v>
      </c>
      <c r="C456">
        <v>51.518089878571402</v>
      </c>
      <c r="D456">
        <v>-0.14310592857142801</v>
      </c>
      <c r="E456" t="s">
        <v>1206</v>
      </c>
      <c r="F456">
        <v>28</v>
      </c>
      <c r="G456" t="str">
        <f>IFERROR(VLOOKUP(B456, Data!H:H, 1, FALSE), "")</f>
        <v/>
      </c>
    </row>
    <row r="457" spans="1:7" x14ac:dyDescent="0.25">
      <c r="A457" t="s">
        <v>1630</v>
      </c>
      <c r="B457" t="s">
        <v>2808</v>
      </c>
      <c r="C457">
        <v>51.470864769230701</v>
      </c>
      <c r="D457">
        <v>-5.3934992307692303E-2</v>
      </c>
      <c r="E457" t="s">
        <v>1206</v>
      </c>
      <c r="F457">
        <v>13</v>
      </c>
      <c r="G457" t="str">
        <f>IFERROR(VLOOKUP(B457, Data!H:H, 1, FALSE), "")</f>
        <v/>
      </c>
    </row>
    <row r="458" spans="1:7" x14ac:dyDescent="0.25">
      <c r="A458" t="s">
        <v>1413</v>
      </c>
      <c r="B458" t="s">
        <v>2835</v>
      </c>
      <c r="C458">
        <v>51.5524914571428</v>
      </c>
      <c r="D458">
        <v>-0.14244712857142799</v>
      </c>
      <c r="F458">
        <v>7</v>
      </c>
      <c r="G458" t="str">
        <f>IFERROR(VLOOKUP(B458, Data!H:H, 1, FALSE), "")</f>
        <v/>
      </c>
    </row>
    <row r="459" spans="1:7" x14ac:dyDescent="0.25">
      <c r="A459" t="s">
        <v>1631</v>
      </c>
      <c r="B459" t="s">
        <v>2808</v>
      </c>
      <c r="C459">
        <v>51.568774219999902</v>
      </c>
      <c r="D459">
        <v>1.0974413333333301E-2</v>
      </c>
      <c r="E459" t="s">
        <v>1206</v>
      </c>
      <c r="F459">
        <v>30</v>
      </c>
      <c r="G459" t="str">
        <f>IFERROR(VLOOKUP(B459, Data!H:H, 1, FALSE), "")</f>
        <v/>
      </c>
    </row>
    <row r="460" spans="1:7" x14ac:dyDescent="0.25">
      <c r="A460" t="s">
        <v>1632</v>
      </c>
      <c r="B460" t="s">
        <v>2808</v>
      </c>
      <c r="C460">
        <v>51.545322157142799</v>
      </c>
      <c r="D460">
        <v>-3.04833571428571E-2</v>
      </c>
      <c r="F460">
        <v>7</v>
      </c>
      <c r="G460" t="str">
        <f>IFERROR(VLOOKUP(B460, Data!H:H, 1, FALSE), "")</f>
        <v/>
      </c>
    </row>
    <row r="461" spans="1:7" x14ac:dyDescent="0.25">
      <c r="A461" t="s">
        <v>1633</v>
      </c>
      <c r="B461" t="s">
        <v>2836</v>
      </c>
      <c r="C461">
        <v>51.574184831999901</v>
      </c>
      <c r="D461">
        <v>-0.33735474799999998</v>
      </c>
      <c r="E461" t="s">
        <v>1206</v>
      </c>
      <c r="F461">
        <v>25</v>
      </c>
      <c r="G461" t="str">
        <f>IFERROR(VLOOKUP(B461, Data!H:H, 1, FALSE), "")</f>
        <v/>
      </c>
    </row>
    <row r="462" spans="1:7" x14ac:dyDescent="0.25">
      <c r="A462" t="s">
        <v>1634</v>
      </c>
      <c r="B462" t="s">
        <v>2837</v>
      </c>
      <c r="C462">
        <v>51.5210574785714</v>
      </c>
      <c r="D462">
        <v>-0.13545767857142799</v>
      </c>
      <c r="F462">
        <v>14</v>
      </c>
      <c r="G462" t="str">
        <f>IFERROR(VLOOKUP(B462, Data!H:H, 1, FALSE), "")</f>
        <v/>
      </c>
    </row>
    <row r="463" spans="1:7" x14ac:dyDescent="0.25">
      <c r="A463" t="s">
        <v>1635</v>
      </c>
      <c r="B463" t="s">
        <v>2838</v>
      </c>
      <c r="C463">
        <v>51.462434639999998</v>
      </c>
      <c r="D463">
        <v>-0.14199365999999899</v>
      </c>
      <c r="E463" t="s">
        <v>1206</v>
      </c>
      <c r="F463">
        <v>5</v>
      </c>
      <c r="G463" t="str">
        <f>IFERROR(VLOOKUP(B463, Data!H:H, 1, FALSE), "")</f>
        <v/>
      </c>
    </row>
    <row r="464" spans="1:7" x14ac:dyDescent="0.25">
      <c r="A464" t="s">
        <v>1636</v>
      </c>
      <c r="B464" t="s">
        <v>2839</v>
      </c>
      <c r="C464">
        <v>51.556877499999999</v>
      </c>
      <c r="D464">
        <v>-0.12662644000000001</v>
      </c>
      <c r="F464">
        <v>5</v>
      </c>
      <c r="G464" t="str">
        <f>IFERROR(VLOOKUP(B464, Data!H:H, 1, FALSE), "")</f>
        <v/>
      </c>
    </row>
    <row r="465" spans="1:7" x14ac:dyDescent="0.25">
      <c r="A465" t="s">
        <v>1637</v>
      </c>
      <c r="B465" t="s">
        <v>2840</v>
      </c>
      <c r="C465">
        <v>51.533432650000002</v>
      </c>
      <c r="D465">
        <v>-0.11193975</v>
      </c>
      <c r="E465" t="s">
        <v>1206</v>
      </c>
      <c r="F465">
        <v>10</v>
      </c>
      <c r="G465" t="str">
        <f>IFERROR(VLOOKUP(B465, Data!H:H, 1, FALSE), "")</f>
        <v/>
      </c>
    </row>
    <row r="466" spans="1:7" x14ac:dyDescent="0.25">
      <c r="A466" t="s">
        <v>350</v>
      </c>
      <c r="B466" t="s">
        <v>2808</v>
      </c>
      <c r="C466">
        <v>51.552575915789397</v>
      </c>
      <c r="D466">
        <v>-9.8705942105263095E-2</v>
      </c>
      <c r="E466" t="s">
        <v>1206</v>
      </c>
      <c r="F466">
        <v>19</v>
      </c>
      <c r="G466" t="str">
        <f>IFERROR(VLOOKUP(B466, Data!H:H, 1, FALSE), "")</f>
        <v/>
      </c>
    </row>
    <row r="467" spans="1:7" x14ac:dyDescent="0.25">
      <c r="A467" t="s">
        <v>1638</v>
      </c>
      <c r="B467" t="s">
        <v>2841</v>
      </c>
      <c r="C467">
        <v>51.517269874999997</v>
      </c>
      <c r="D467">
        <v>-0.106653515</v>
      </c>
      <c r="E467" t="s">
        <v>1206</v>
      </c>
      <c r="F467">
        <v>20</v>
      </c>
      <c r="G467" t="str">
        <f>IFERROR(VLOOKUP(B467, Data!H:H, 1, FALSE), "")</f>
        <v/>
      </c>
    </row>
    <row r="468" spans="1:7" x14ac:dyDescent="0.25">
      <c r="A468" t="s">
        <v>1639</v>
      </c>
      <c r="B468" t="s">
        <v>2842</v>
      </c>
      <c r="C468">
        <v>51.562527879999998</v>
      </c>
      <c r="D468">
        <v>-6.660758E-2</v>
      </c>
      <c r="E468" t="s">
        <v>1206</v>
      </c>
      <c r="F468">
        <v>5</v>
      </c>
      <c r="G468" t="str">
        <f>IFERROR(VLOOKUP(B468, Data!H:H, 1, FALSE), "")</f>
        <v/>
      </c>
    </row>
    <row r="469" spans="1:7" x14ac:dyDescent="0.25">
      <c r="A469" t="s">
        <v>1640</v>
      </c>
      <c r="B469" t="s">
        <v>2843</v>
      </c>
      <c r="C469">
        <v>51.458504060000003</v>
      </c>
      <c r="D469">
        <v>-0.20634755999999899</v>
      </c>
      <c r="E469" t="s">
        <v>1206</v>
      </c>
      <c r="F469">
        <v>5</v>
      </c>
      <c r="G469" t="str">
        <f>IFERROR(VLOOKUP(B469, Data!H:H, 1, FALSE), "")</f>
        <v/>
      </c>
    </row>
    <row r="470" spans="1:7" x14ac:dyDescent="0.25">
      <c r="A470" t="s">
        <v>1641</v>
      </c>
      <c r="B470" t="s">
        <v>2808</v>
      </c>
      <c r="C470">
        <v>51.540967088888799</v>
      </c>
      <c r="D470">
        <v>-9.7206333333333297E-2</v>
      </c>
      <c r="E470" t="s">
        <v>1206</v>
      </c>
      <c r="F470">
        <v>9</v>
      </c>
      <c r="G470" t="str">
        <f>IFERROR(VLOOKUP(B470, Data!H:H, 1, FALSE), "")</f>
        <v/>
      </c>
    </row>
    <row r="471" spans="1:7" x14ac:dyDescent="0.25">
      <c r="A471" t="s">
        <v>1642</v>
      </c>
      <c r="B471" t="s">
        <v>2844</v>
      </c>
      <c r="C471">
        <v>51.508836959999996</v>
      </c>
      <c r="D471">
        <v>-0.12671062</v>
      </c>
      <c r="E471" t="s">
        <v>1206</v>
      </c>
      <c r="F471">
        <v>5</v>
      </c>
      <c r="G471" t="str">
        <f>IFERROR(VLOOKUP(B471, Data!H:H, 1, FALSE), "")</f>
        <v/>
      </c>
    </row>
    <row r="472" spans="1:7" x14ac:dyDescent="0.25">
      <c r="A472" t="s">
        <v>1241</v>
      </c>
      <c r="B472" t="s">
        <v>248</v>
      </c>
      <c r="C472">
        <v>51.565143499999998</v>
      </c>
      <c r="D472">
        <v>-0.11581909999999999</v>
      </c>
      <c r="F472">
        <v>5</v>
      </c>
    </row>
    <row r="473" spans="1:7" x14ac:dyDescent="0.25">
      <c r="A473" t="s">
        <v>1257</v>
      </c>
      <c r="B473" t="s">
        <v>2808</v>
      </c>
      <c r="C473">
        <v>51.416601940908997</v>
      </c>
      <c r="D473">
        <v>-5.4874281818181797E-2</v>
      </c>
      <c r="E473" t="s">
        <v>1206</v>
      </c>
      <c r="F473">
        <v>22</v>
      </c>
      <c r="G473" t="str">
        <f>IFERROR(VLOOKUP(B473, Data!H:H, 1, FALSE), "")</f>
        <v/>
      </c>
    </row>
    <row r="474" spans="1:7" x14ac:dyDescent="0.25">
      <c r="A474" t="s">
        <v>1643</v>
      </c>
      <c r="B474" t="s">
        <v>2845</v>
      </c>
      <c r="C474">
        <v>51.516706800000001</v>
      </c>
      <c r="D474">
        <v>-0.102274921428571</v>
      </c>
      <c r="E474" t="s">
        <v>1206</v>
      </c>
      <c r="F474">
        <v>14</v>
      </c>
      <c r="G474" t="str">
        <f>IFERROR(VLOOKUP(B474, Data!H:H, 1, FALSE), "")</f>
        <v/>
      </c>
    </row>
    <row r="475" spans="1:7" x14ac:dyDescent="0.25">
      <c r="A475" t="s">
        <v>1644</v>
      </c>
      <c r="B475" t="s">
        <v>2808</v>
      </c>
      <c r="C475">
        <v>51.518927687804798</v>
      </c>
      <c r="D475">
        <v>-9.9538575609756097E-2</v>
      </c>
      <c r="E475" t="s">
        <v>1206</v>
      </c>
      <c r="F475">
        <v>41</v>
      </c>
      <c r="G475" t="str">
        <f>IFERROR(VLOOKUP(B475, Data!H:H, 1, FALSE), "")</f>
        <v/>
      </c>
    </row>
    <row r="476" spans="1:7" x14ac:dyDescent="0.25">
      <c r="A476" t="s">
        <v>1645</v>
      </c>
      <c r="B476" t="s">
        <v>2846</v>
      </c>
      <c r="C476">
        <v>51.535922242857097</v>
      </c>
      <c r="D476">
        <v>-0.110739399999999</v>
      </c>
      <c r="F476">
        <v>7</v>
      </c>
      <c r="G476" t="str">
        <f>IFERROR(VLOOKUP(B476, Data!H:H, 1, FALSE), "")</f>
        <v/>
      </c>
    </row>
    <row r="477" spans="1:7" x14ac:dyDescent="0.25">
      <c r="A477" t="s">
        <v>1646</v>
      </c>
      <c r="B477" t="s">
        <v>2847</v>
      </c>
      <c r="C477">
        <v>51.549523814285699</v>
      </c>
      <c r="D477">
        <v>-0.10785255714285701</v>
      </c>
      <c r="F477">
        <v>7</v>
      </c>
      <c r="G477" t="str">
        <f>IFERROR(VLOOKUP(B477, Data!H:H, 1, FALSE), "")</f>
        <v/>
      </c>
    </row>
    <row r="478" spans="1:7" x14ac:dyDescent="0.25">
      <c r="A478" t="s">
        <v>1647</v>
      </c>
      <c r="B478" t="s">
        <v>2848</v>
      </c>
      <c r="C478">
        <v>51.411791940000001</v>
      </c>
      <c r="D478">
        <v>-0.31272654</v>
      </c>
      <c r="F478">
        <v>5</v>
      </c>
      <c r="G478" t="str">
        <f>IFERROR(VLOOKUP(B478, Data!H:H, 1, FALSE), "")</f>
        <v/>
      </c>
    </row>
    <row r="479" spans="1:7" x14ac:dyDescent="0.25">
      <c r="A479" t="s">
        <v>1648</v>
      </c>
      <c r="B479" t="s">
        <v>2849</v>
      </c>
      <c r="C479">
        <v>51.481381676470498</v>
      </c>
      <c r="D479">
        <v>-0.11179507647058801</v>
      </c>
      <c r="E479" t="s">
        <v>1206</v>
      </c>
      <c r="F479">
        <v>17</v>
      </c>
      <c r="G479" t="str">
        <f>IFERROR(VLOOKUP(B479, Data!H:H, 1, FALSE), "")</f>
        <v/>
      </c>
    </row>
    <row r="480" spans="1:7" x14ac:dyDescent="0.25">
      <c r="A480" t="s">
        <v>1649</v>
      </c>
      <c r="B480" t="s">
        <v>2850</v>
      </c>
      <c r="C480">
        <v>51.514591379999999</v>
      </c>
      <c r="D480">
        <v>-0.24294974</v>
      </c>
      <c r="F480">
        <v>5</v>
      </c>
      <c r="G480" t="str">
        <f>IFERROR(VLOOKUP(B480, Data!H:H, 1, FALSE), "")</f>
        <v/>
      </c>
    </row>
    <row r="481" spans="1:7" x14ac:dyDescent="0.25">
      <c r="A481" t="s">
        <v>1650</v>
      </c>
      <c r="B481" t="s">
        <v>2808</v>
      </c>
      <c r="C481">
        <v>51.409176917948699</v>
      </c>
      <c r="D481">
        <v>-2.4561053846153799E-2</v>
      </c>
      <c r="F481">
        <v>39</v>
      </c>
      <c r="G481" t="str">
        <f>IFERROR(VLOOKUP(B481, Data!H:H, 1, FALSE), "")</f>
        <v/>
      </c>
    </row>
    <row r="482" spans="1:7" x14ac:dyDescent="0.25">
      <c r="A482" t="s">
        <v>1651</v>
      </c>
      <c r="B482" t="s">
        <v>2851</v>
      </c>
      <c r="C482">
        <v>51.462403382142803</v>
      </c>
      <c r="D482">
        <v>-7.2126549999999998E-2</v>
      </c>
      <c r="E482" t="s">
        <v>1206</v>
      </c>
      <c r="F482">
        <v>28</v>
      </c>
      <c r="G482" t="str">
        <f>IFERROR(VLOOKUP(B482, Data!H:H, 1, FALSE), "")</f>
        <v/>
      </c>
    </row>
    <row r="483" spans="1:7" x14ac:dyDescent="0.25">
      <c r="A483" t="s">
        <v>1258</v>
      </c>
      <c r="B483" t="s">
        <v>2852</v>
      </c>
      <c r="C483">
        <v>51.395164442857102</v>
      </c>
      <c r="D483">
        <v>-0.30050526666666599</v>
      </c>
      <c r="E483" t="s">
        <v>1206</v>
      </c>
      <c r="F483">
        <v>21</v>
      </c>
      <c r="G483" t="str">
        <f>IFERROR(VLOOKUP(B483, Data!H:H, 1, FALSE), "")</f>
        <v/>
      </c>
    </row>
    <row r="484" spans="1:7" x14ac:dyDescent="0.25">
      <c r="A484" t="s">
        <v>1652</v>
      </c>
      <c r="B484" t="s">
        <v>2853</v>
      </c>
      <c r="C484">
        <v>51.403713323809498</v>
      </c>
      <c r="D484">
        <v>-0.21254286190476099</v>
      </c>
      <c r="E484" t="s">
        <v>1206</v>
      </c>
      <c r="F484">
        <v>21</v>
      </c>
      <c r="G484" t="str">
        <f>IFERROR(VLOOKUP(B484, Data!H:H, 1, FALSE), "")</f>
        <v/>
      </c>
    </row>
    <row r="485" spans="1:7" x14ac:dyDescent="0.25">
      <c r="A485" t="s">
        <v>1653</v>
      </c>
      <c r="B485" t="s">
        <v>2808</v>
      </c>
      <c r="C485">
        <v>51.4569046857142</v>
      </c>
      <c r="D485">
        <v>-6.6679385714285694E-2</v>
      </c>
      <c r="F485">
        <v>7</v>
      </c>
      <c r="G485" t="str">
        <f>IFERROR(VLOOKUP(B485, Data!H:H, 1, FALSE), "")</f>
        <v/>
      </c>
    </row>
    <row r="486" spans="1:7" x14ac:dyDescent="0.25">
      <c r="A486" t="s">
        <v>1654</v>
      </c>
      <c r="B486" t="s">
        <v>2854</v>
      </c>
      <c r="C486">
        <v>51.482020499999997</v>
      </c>
      <c r="D486">
        <v>-0.15906217142857099</v>
      </c>
      <c r="F486">
        <v>21</v>
      </c>
      <c r="G486" t="str">
        <f>IFERROR(VLOOKUP(B486, Data!H:H, 1, FALSE), "")</f>
        <v/>
      </c>
    </row>
    <row r="487" spans="1:7" x14ac:dyDescent="0.25">
      <c r="A487" t="s">
        <v>1309</v>
      </c>
      <c r="B487" t="s">
        <v>2808</v>
      </c>
      <c r="C487">
        <v>51.537176959999996</v>
      </c>
      <c r="D487">
        <v>-9.5737419999999906E-2</v>
      </c>
      <c r="F487">
        <v>5</v>
      </c>
      <c r="G487" t="str">
        <f>IFERROR(VLOOKUP(B487, Data!H:H, 1, FALSE), "")</f>
        <v/>
      </c>
    </row>
    <row r="488" spans="1:7" x14ac:dyDescent="0.25">
      <c r="A488" t="s">
        <v>1427</v>
      </c>
      <c r="B488" t="s">
        <v>2808</v>
      </c>
      <c r="C488">
        <v>51.527824033333303</v>
      </c>
      <c r="D488">
        <v>-9.7521433333333296E-2</v>
      </c>
      <c r="E488" t="s">
        <v>1206</v>
      </c>
      <c r="F488">
        <v>9</v>
      </c>
      <c r="G488" t="str">
        <f>IFERROR(VLOOKUP(B488, Data!H:H, 1, FALSE), "")</f>
        <v/>
      </c>
    </row>
    <row r="489" spans="1:7" x14ac:dyDescent="0.25">
      <c r="A489" t="s">
        <v>1354</v>
      </c>
      <c r="B489" t="s">
        <v>2855</v>
      </c>
      <c r="C489">
        <v>51.469370499999897</v>
      </c>
      <c r="D489">
        <v>-6.9347925000000005E-2</v>
      </c>
      <c r="E489" t="s">
        <v>1206</v>
      </c>
      <c r="F489">
        <v>20</v>
      </c>
      <c r="G489" t="str">
        <f>IFERROR(VLOOKUP(B489, Data!H:H, 1, FALSE), "")</f>
        <v/>
      </c>
    </row>
    <row r="490" spans="1:7" x14ac:dyDescent="0.25">
      <c r="A490" t="s">
        <v>1655</v>
      </c>
      <c r="B490" t="s">
        <v>2856</v>
      </c>
      <c r="C490">
        <v>51.512066733333299</v>
      </c>
      <c r="D490">
        <v>-0.21577828666666601</v>
      </c>
      <c r="E490" t="s">
        <v>1206</v>
      </c>
      <c r="F490">
        <v>30</v>
      </c>
      <c r="G490" t="str">
        <f>IFERROR(VLOOKUP(B490, Data!H:H, 1, FALSE), "")</f>
        <v/>
      </c>
    </row>
    <row r="491" spans="1:7" x14ac:dyDescent="0.25">
      <c r="A491" t="s">
        <v>1656</v>
      </c>
      <c r="B491" t="s">
        <v>2857</v>
      </c>
      <c r="C491">
        <v>51.512463339999996</v>
      </c>
      <c r="D491">
        <v>-0.23066274</v>
      </c>
      <c r="E491" t="s">
        <v>1206</v>
      </c>
      <c r="F491">
        <v>5</v>
      </c>
      <c r="G491" t="str">
        <f>IFERROR(VLOOKUP(B491, Data!H:H, 1, FALSE), "")</f>
        <v/>
      </c>
    </row>
    <row r="492" spans="1:7" x14ac:dyDescent="0.25">
      <c r="A492" t="s">
        <v>1657</v>
      </c>
      <c r="B492" t="s">
        <v>2808</v>
      </c>
      <c r="C492">
        <v>51.453154378787801</v>
      </c>
      <c r="D492">
        <v>-6.8623960606060602E-2</v>
      </c>
      <c r="E492" t="s">
        <v>1206</v>
      </c>
      <c r="F492">
        <v>33</v>
      </c>
      <c r="G492" t="str">
        <f>IFERROR(VLOOKUP(B492, Data!H:H, 1, FALSE), "")</f>
        <v/>
      </c>
    </row>
    <row r="493" spans="1:7" x14ac:dyDescent="0.25">
      <c r="A493" t="s">
        <v>1658</v>
      </c>
      <c r="B493" t="s">
        <v>2858</v>
      </c>
      <c r="C493">
        <v>51.546104</v>
      </c>
      <c r="D493">
        <v>-0.215140445454545</v>
      </c>
      <c r="F493">
        <v>11</v>
      </c>
      <c r="G493" t="str">
        <f>IFERROR(VLOOKUP(B493, Data!H:H, 1, FALSE), "")</f>
        <v/>
      </c>
    </row>
    <row r="494" spans="1:7" x14ac:dyDescent="0.25">
      <c r="A494" t="s">
        <v>1659</v>
      </c>
      <c r="B494" t="s">
        <v>2859</v>
      </c>
      <c r="C494">
        <v>51.497877445454499</v>
      </c>
      <c r="D494">
        <v>-0.16979820909090901</v>
      </c>
      <c r="E494" t="s">
        <v>1206</v>
      </c>
      <c r="F494">
        <v>11</v>
      </c>
      <c r="G494" t="str">
        <f>IFERROR(VLOOKUP(B494, Data!H:H, 1, FALSE), "")</f>
        <v/>
      </c>
    </row>
    <row r="495" spans="1:7" x14ac:dyDescent="0.25">
      <c r="A495" t="s">
        <v>1660</v>
      </c>
      <c r="B495" t="s">
        <v>2860</v>
      </c>
      <c r="C495">
        <v>51.545874900000001</v>
      </c>
      <c r="D495">
        <v>-0.191666335294117</v>
      </c>
      <c r="E495" t="s">
        <v>1206</v>
      </c>
      <c r="F495">
        <v>17</v>
      </c>
      <c r="G495" t="str">
        <f>IFERROR(VLOOKUP(B495, Data!H:H, 1, FALSE), "")</f>
        <v/>
      </c>
    </row>
    <row r="496" spans="1:7" x14ac:dyDescent="0.25">
      <c r="A496" t="s">
        <v>1661</v>
      </c>
      <c r="B496" t="s">
        <v>2808</v>
      </c>
      <c r="C496">
        <v>51.442361787499998</v>
      </c>
      <c r="D496">
        <v>-1.9853274999999899E-2</v>
      </c>
      <c r="E496" t="s">
        <v>1206</v>
      </c>
      <c r="F496">
        <v>16</v>
      </c>
      <c r="G496" t="str">
        <f>IFERROR(VLOOKUP(B496, Data!H:H, 1, FALSE), "")</f>
        <v/>
      </c>
    </row>
    <row r="497" spans="1:7" x14ac:dyDescent="0.25">
      <c r="A497" t="s">
        <v>1662</v>
      </c>
      <c r="B497" t="s">
        <v>2808</v>
      </c>
      <c r="C497">
        <v>51.404974164285697</v>
      </c>
      <c r="D497">
        <v>1.3077121428571399E-2</v>
      </c>
      <c r="E497" t="s">
        <v>1206</v>
      </c>
      <c r="F497">
        <v>14</v>
      </c>
      <c r="G497" t="str">
        <f>IFERROR(VLOOKUP(B497, Data!H:H, 1, FALSE), "")</f>
        <v/>
      </c>
    </row>
    <row r="498" spans="1:7" x14ac:dyDescent="0.25">
      <c r="A498" t="s">
        <v>1663</v>
      </c>
      <c r="B498" t="s">
        <v>2861</v>
      </c>
      <c r="C498">
        <v>51.446718927272698</v>
      </c>
      <c r="D498">
        <v>-0.30122084545454503</v>
      </c>
      <c r="E498" t="s">
        <v>1206</v>
      </c>
      <c r="F498">
        <v>11</v>
      </c>
      <c r="G498" t="str">
        <f>IFERROR(VLOOKUP(B498, Data!H:H, 1, FALSE), "")</f>
        <v/>
      </c>
    </row>
    <row r="499" spans="1:7" x14ac:dyDescent="0.25">
      <c r="A499" t="s">
        <v>1664</v>
      </c>
      <c r="B499" t="s">
        <v>2862</v>
      </c>
      <c r="C499">
        <v>51.485589019999999</v>
      </c>
      <c r="D499">
        <v>-0.16389628000000001</v>
      </c>
      <c r="F499">
        <v>5</v>
      </c>
      <c r="G499" t="str">
        <f>IFERROR(VLOOKUP(B499, Data!H:H, 1, FALSE), "")</f>
        <v/>
      </c>
    </row>
    <row r="500" spans="1:7" x14ac:dyDescent="0.25">
      <c r="A500" t="s">
        <v>1665</v>
      </c>
      <c r="B500" t="s">
        <v>2863</v>
      </c>
      <c r="C500">
        <v>51.497991939999999</v>
      </c>
      <c r="D500">
        <v>-0.14902969333333299</v>
      </c>
      <c r="E500" t="s">
        <v>1206</v>
      </c>
      <c r="F500">
        <v>15</v>
      </c>
      <c r="G500" t="str">
        <f>IFERROR(VLOOKUP(B500, Data!H:H, 1, FALSE), "")</f>
        <v/>
      </c>
    </row>
    <row r="501" spans="1:7" x14ac:dyDescent="0.25">
      <c r="A501" t="s">
        <v>1250</v>
      </c>
      <c r="B501" t="s">
        <v>2864</v>
      </c>
      <c r="C501">
        <v>51.4896363454545</v>
      </c>
      <c r="D501">
        <v>-0.16922931818181799</v>
      </c>
      <c r="E501" t="s">
        <v>1206</v>
      </c>
      <c r="F501">
        <v>11</v>
      </c>
      <c r="G501" t="str">
        <f>IFERROR(VLOOKUP(B501, Data!H:H, 1, FALSE), "")</f>
        <v/>
      </c>
    </row>
    <row r="502" spans="1:7" x14ac:dyDescent="0.25">
      <c r="A502" t="s">
        <v>1666</v>
      </c>
      <c r="B502" t="s">
        <v>2865</v>
      </c>
      <c r="C502">
        <v>51.512554733333303</v>
      </c>
      <c r="D502">
        <v>-0.14274838666666601</v>
      </c>
      <c r="F502">
        <v>15</v>
      </c>
      <c r="G502" t="str">
        <f>IFERROR(VLOOKUP(B502, Data!H:H, 1, FALSE), "")</f>
        <v/>
      </c>
    </row>
    <row r="503" spans="1:7" x14ac:dyDescent="0.25">
      <c r="A503" t="s">
        <v>1321</v>
      </c>
      <c r="B503" t="s">
        <v>2866</v>
      </c>
      <c r="C503">
        <v>51.491471093333303</v>
      </c>
      <c r="D503">
        <v>-0.22559409999999999</v>
      </c>
      <c r="E503" t="s">
        <v>1206</v>
      </c>
      <c r="F503">
        <v>15</v>
      </c>
      <c r="G503" t="str">
        <f>IFERROR(VLOOKUP(B503, Data!H:H, 1, FALSE), "")</f>
        <v/>
      </c>
    </row>
    <row r="504" spans="1:7" x14ac:dyDescent="0.25">
      <c r="A504" t="s">
        <v>1354</v>
      </c>
      <c r="B504" t="s">
        <v>2808</v>
      </c>
      <c r="C504">
        <v>51.411122919999997</v>
      </c>
      <c r="D504">
        <v>-8.6937859999999895E-2</v>
      </c>
      <c r="E504" t="s">
        <v>1206</v>
      </c>
      <c r="F504">
        <v>5</v>
      </c>
      <c r="G504" t="str">
        <f>IFERROR(VLOOKUP(B504, Data!H:H, 1, FALSE), "")</f>
        <v/>
      </c>
    </row>
    <row r="505" spans="1:7" x14ac:dyDescent="0.25">
      <c r="A505" t="s">
        <v>1667</v>
      </c>
      <c r="B505" t="s">
        <v>2808</v>
      </c>
      <c r="C505">
        <v>51.442511272222198</v>
      </c>
      <c r="D505">
        <v>-6.6941544444444404E-2</v>
      </c>
      <c r="F505">
        <v>18</v>
      </c>
      <c r="G505" t="str">
        <f>IFERROR(VLOOKUP(B505, Data!H:H, 1, FALSE), "")</f>
        <v/>
      </c>
    </row>
    <row r="506" spans="1:7" x14ac:dyDescent="0.25">
      <c r="A506" t="s">
        <v>1668</v>
      </c>
      <c r="B506" t="s">
        <v>2867</v>
      </c>
      <c r="C506">
        <v>51.571323040000003</v>
      </c>
      <c r="D506">
        <v>3.250658E-2</v>
      </c>
      <c r="E506" t="s">
        <v>1206</v>
      </c>
      <c r="F506">
        <v>5</v>
      </c>
      <c r="G506" t="str">
        <f>IFERROR(VLOOKUP(B506, Data!H:H, 1, FALSE), "")</f>
        <v/>
      </c>
    </row>
    <row r="507" spans="1:7" x14ac:dyDescent="0.25">
      <c r="A507" t="s">
        <v>1669</v>
      </c>
      <c r="B507" t="s">
        <v>2868</v>
      </c>
      <c r="C507">
        <v>51.46743678</v>
      </c>
      <c r="D507">
        <v>-0.10912503999999899</v>
      </c>
      <c r="E507" t="s">
        <v>1206</v>
      </c>
      <c r="F507">
        <v>5</v>
      </c>
      <c r="G507" t="str">
        <f>IFERROR(VLOOKUP(B507, Data!H:H, 1, FALSE), "")</f>
        <v/>
      </c>
    </row>
    <row r="508" spans="1:7" x14ac:dyDescent="0.25">
      <c r="A508" t="s">
        <v>1670</v>
      </c>
      <c r="B508" t="s">
        <v>2869</v>
      </c>
      <c r="C508">
        <v>51.468923480000001</v>
      </c>
      <c r="D508">
        <v>-9.8880560000000006E-2</v>
      </c>
      <c r="E508" t="s">
        <v>1206</v>
      </c>
      <c r="F508">
        <v>5</v>
      </c>
      <c r="G508" t="str">
        <f>IFERROR(VLOOKUP(B508, Data!H:H, 1, FALSE), "")</f>
        <v/>
      </c>
    </row>
    <row r="509" spans="1:7" x14ac:dyDescent="0.25">
      <c r="A509" t="s">
        <v>1671</v>
      </c>
      <c r="B509" t="s">
        <v>2870</v>
      </c>
      <c r="C509">
        <v>51.467427267999902</v>
      </c>
      <c r="D509">
        <v>-6.9467427999999998E-2</v>
      </c>
      <c r="F509">
        <v>25</v>
      </c>
      <c r="G509" t="str">
        <f>IFERROR(VLOOKUP(B509, Data!H:H, 1, FALSE), "")</f>
        <v/>
      </c>
    </row>
    <row r="510" spans="1:7" x14ac:dyDescent="0.25">
      <c r="A510" t="s">
        <v>1672</v>
      </c>
      <c r="B510" t="s">
        <v>2871</v>
      </c>
      <c r="C510">
        <v>51.464933825000003</v>
      </c>
      <c r="D510">
        <v>-6.9393949999999996E-2</v>
      </c>
      <c r="F510">
        <v>8</v>
      </c>
      <c r="G510" t="str">
        <f>IFERROR(VLOOKUP(B510, Data!H:H, 1, FALSE), "")</f>
        <v/>
      </c>
    </row>
    <row r="511" spans="1:7" x14ac:dyDescent="0.25">
      <c r="A511" t="s">
        <v>1354</v>
      </c>
      <c r="B511" t="s">
        <v>2872</v>
      </c>
      <c r="C511">
        <v>51.517342341666598</v>
      </c>
      <c r="D511">
        <v>-0.13895891666666599</v>
      </c>
      <c r="E511" t="s">
        <v>1206</v>
      </c>
      <c r="F511">
        <v>12</v>
      </c>
      <c r="G511" t="str">
        <f>IFERROR(VLOOKUP(B511, Data!H:H, 1, FALSE), "")</f>
        <v/>
      </c>
    </row>
    <row r="512" spans="1:7" x14ac:dyDescent="0.25">
      <c r="A512" t="s">
        <v>1673</v>
      </c>
      <c r="B512" t="s">
        <v>2873</v>
      </c>
      <c r="C512">
        <v>51.460656499999999</v>
      </c>
      <c r="D512">
        <v>5.8627400000000003E-2</v>
      </c>
      <c r="E512" t="s">
        <v>1206</v>
      </c>
      <c r="F512">
        <v>7</v>
      </c>
      <c r="G512" t="str">
        <f>IFERROR(VLOOKUP(B512, Data!H:H, 1, FALSE), "")</f>
        <v/>
      </c>
    </row>
    <row r="513" spans="1:7" x14ac:dyDescent="0.25">
      <c r="A513" t="s">
        <v>1674</v>
      </c>
      <c r="B513" t="s">
        <v>2874</v>
      </c>
      <c r="C513">
        <v>51.603300300000001</v>
      </c>
      <c r="D513">
        <v>-7.5776540000000003E-2</v>
      </c>
      <c r="F513">
        <v>5</v>
      </c>
      <c r="G513" t="str">
        <f>IFERROR(VLOOKUP(B513, Data!H:H, 1, FALSE), "")</f>
        <v/>
      </c>
    </row>
    <row r="514" spans="1:7" x14ac:dyDescent="0.25">
      <c r="A514" t="s">
        <v>1675</v>
      </c>
      <c r="B514" t="s">
        <v>2808</v>
      </c>
      <c r="C514">
        <v>51.600749877777702</v>
      </c>
      <c r="D514">
        <v>-7.6651533333333299E-2</v>
      </c>
      <c r="F514">
        <v>9</v>
      </c>
      <c r="G514" t="str">
        <f>IFERROR(VLOOKUP(B514, Data!H:H, 1, FALSE), "")</f>
        <v/>
      </c>
    </row>
    <row r="515" spans="1:7" x14ac:dyDescent="0.25">
      <c r="A515" t="s">
        <v>1676</v>
      </c>
      <c r="B515" t="s">
        <v>236</v>
      </c>
      <c r="C515">
        <v>51.523588066666598</v>
      </c>
      <c r="D515">
        <v>-0.105674266666666</v>
      </c>
      <c r="E515" t="s">
        <v>1206</v>
      </c>
      <c r="F515">
        <v>9</v>
      </c>
    </row>
    <row r="516" spans="1:7" x14ac:dyDescent="0.25">
      <c r="A516" t="s">
        <v>1677</v>
      </c>
      <c r="B516" t="s">
        <v>2875</v>
      </c>
      <c r="C516">
        <v>51.549171679999901</v>
      </c>
      <c r="D516">
        <v>0.227184839999999</v>
      </c>
      <c r="F516">
        <v>5</v>
      </c>
      <c r="G516" t="str">
        <f>IFERROR(VLOOKUP(B516, Data!H:H, 1, FALSE), "")</f>
        <v/>
      </c>
    </row>
    <row r="517" spans="1:7" x14ac:dyDescent="0.25">
      <c r="A517" t="s">
        <v>1678</v>
      </c>
      <c r="B517" t="s">
        <v>2876</v>
      </c>
      <c r="C517">
        <v>51.569840159999998</v>
      </c>
      <c r="D517">
        <v>-6.4196379999999997E-2</v>
      </c>
      <c r="E517" t="s">
        <v>1206</v>
      </c>
      <c r="F517">
        <v>5</v>
      </c>
      <c r="G517" t="str">
        <f>IFERROR(VLOOKUP(B517, Data!H:H, 1, FALSE), "")</f>
        <v/>
      </c>
    </row>
    <row r="518" spans="1:7" x14ac:dyDescent="0.25">
      <c r="A518" t="s">
        <v>1679</v>
      </c>
      <c r="B518" t="s">
        <v>2877</v>
      </c>
      <c r="C518">
        <v>51.537833219999897</v>
      </c>
      <c r="D518">
        <v>-0.15218302</v>
      </c>
      <c r="E518" t="s">
        <v>1206</v>
      </c>
      <c r="F518">
        <v>5</v>
      </c>
      <c r="G518" t="str">
        <f>IFERROR(VLOOKUP(B518, Data!H:H, 1, FALSE), "")</f>
        <v/>
      </c>
    </row>
    <row r="519" spans="1:7" x14ac:dyDescent="0.25">
      <c r="A519" t="s">
        <v>1680</v>
      </c>
      <c r="B519" t="s">
        <v>2878</v>
      </c>
      <c r="C519">
        <v>51.576992019999999</v>
      </c>
      <c r="D519">
        <v>-0.35080306</v>
      </c>
      <c r="E519" t="s">
        <v>1206</v>
      </c>
      <c r="F519">
        <v>5</v>
      </c>
      <c r="G519" t="str">
        <f>IFERROR(VLOOKUP(B519, Data!H:H, 1, FALSE), "")</f>
        <v/>
      </c>
    </row>
    <row r="520" spans="1:7" x14ac:dyDescent="0.25">
      <c r="A520" t="s">
        <v>1681</v>
      </c>
      <c r="B520" t="s">
        <v>2879</v>
      </c>
      <c r="C520">
        <v>51.535843479999997</v>
      </c>
      <c r="D520">
        <v>-0.13183726000000001</v>
      </c>
      <c r="F520">
        <v>5</v>
      </c>
      <c r="G520" t="str">
        <f>IFERROR(VLOOKUP(B520, Data!H:H, 1, FALSE), "")</f>
        <v/>
      </c>
    </row>
    <row r="521" spans="1:7" x14ac:dyDescent="0.25">
      <c r="A521" t="s">
        <v>1257</v>
      </c>
      <c r="B521" t="s">
        <v>2808</v>
      </c>
      <c r="C521">
        <v>51.411447152000001</v>
      </c>
      <c r="D521">
        <v>-8.0090879999999906E-2</v>
      </c>
      <c r="E521" t="s">
        <v>1206</v>
      </c>
      <c r="F521">
        <v>25</v>
      </c>
      <c r="G521" t="str">
        <f>IFERROR(VLOOKUP(B521, Data!H:H, 1, FALSE), "")</f>
        <v/>
      </c>
    </row>
    <row r="522" spans="1:7" x14ac:dyDescent="0.25">
      <c r="A522" t="s">
        <v>1682</v>
      </c>
      <c r="B522" t="s">
        <v>2880</v>
      </c>
      <c r="C522">
        <v>51.490982090909</v>
      </c>
      <c r="D522">
        <v>-0.310776118181818</v>
      </c>
      <c r="E522" t="s">
        <v>1206</v>
      </c>
      <c r="F522">
        <v>11</v>
      </c>
      <c r="G522" t="str">
        <f>IFERROR(VLOOKUP(B522, Data!H:H, 1, FALSE), "")</f>
        <v/>
      </c>
    </row>
    <row r="523" spans="1:7" x14ac:dyDescent="0.25">
      <c r="A523" t="s">
        <v>1683</v>
      </c>
      <c r="B523" t="s">
        <v>2881</v>
      </c>
      <c r="C523">
        <v>51.482370461538402</v>
      </c>
      <c r="D523">
        <v>-0.31021423846153801</v>
      </c>
      <c r="F523">
        <v>13</v>
      </c>
      <c r="G523" t="str">
        <f>IFERROR(VLOOKUP(B523, Data!H:H, 1, FALSE), "")</f>
        <v/>
      </c>
    </row>
    <row r="524" spans="1:7" x14ac:dyDescent="0.25">
      <c r="A524" t="s">
        <v>1684</v>
      </c>
      <c r="B524" t="s">
        <v>2882</v>
      </c>
      <c r="C524">
        <v>51.542669919047597</v>
      </c>
      <c r="D524">
        <v>-0.36397195714285702</v>
      </c>
      <c r="F524">
        <v>21</v>
      </c>
      <c r="G524" t="str">
        <f>IFERROR(VLOOKUP(B524, Data!H:H, 1, FALSE), "")</f>
        <v/>
      </c>
    </row>
    <row r="525" spans="1:7" x14ac:dyDescent="0.25">
      <c r="A525" t="s">
        <v>1685</v>
      </c>
      <c r="B525" t="s">
        <v>2883</v>
      </c>
      <c r="C525">
        <v>51.5255029538461</v>
      </c>
      <c r="D525">
        <v>-0.109210807692307</v>
      </c>
      <c r="E525" t="s">
        <v>1206</v>
      </c>
      <c r="F525">
        <v>13</v>
      </c>
      <c r="G525" t="str">
        <f>IFERROR(VLOOKUP(B525, Data!H:H, 1, FALSE), "")</f>
        <v/>
      </c>
    </row>
    <row r="526" spans="1:7" x14ac:dyDescent="0.25">
      <c r="A526" t="s">
        <v>1686</v>
      </c>
      <c r="B526" t="s">
        <v>2884</v>
      </c>
      <c r="C526">
        <v>51.496036799999999</v>
      </c>
      <c r="D526">
        <v>-0.25482378750000001</v>
      </c>
      <c r="E526" t="s">
        <v>1206</v>
      </c>
      <c r="F526">
        <v>8</v>
      </c>
      <c r="G526" t="str">
        <f>IFERROR(VLOOKUP(B526, Data!H:H, 1, FALSE), "")</f>
        <v/>
      </c>
    </row>
    <row r="527" spans="1:7" x14ac:dyDescent="0.25">
      <c r="A527" t="s">
        <v>1687</v>
      </c>
      <c r="B527" t="s">
        <v>2808</v>
      </c>
      <c r="C527">
        <v>51.486605859999997</v>
      </c>
      <c r="D527">
        <v>-9.2594439999999903E-2</v>
      </c>
      <c r="E527" t="s">
        <v>1206</v>
      </c>
      <c r="F527">
        <v>5</v>
      </c>
      <c r="G527" t="str">
        <f>IFERROR(VLOOKUP(B527, Data!H:H, 1, FALSE), "")</f>
        <v/>
      </c>
    </row>
    <row r="528" spans="1:7" x14ac:dyDescent="0.25">
      <c r="A528" t="s">
        <v>1688</v>
      </c>
      <c r="B528" t="s">
        <v>2885</v>
      </c>
      <c r="C528">
        <v>51.504537239999898</v>
      </c>
      <c r="D528">
        <v>-0.11206548</v>
      </c>
      <c r="E528" t="s">
        <v>1206</v>
      </c>
      <c r="F528">
        <v>5</v>
      </c>
      <c r="G528" t="str">
        <f>IFERROR(VLOOKUP(B528, Data!H:H, 1, FALSE), "")</f>
        <v/>
      </c>
    </row>
    <row r="529" spans="1:7" x14ac:dyDescent="0.25">
      <c r="A529" t="s">
        <v>1689</v>
      </c>
      <c r="B529" t="s">
        <v>2808</v>
      </c>
      <c r="C529">
        <v>51.5112478</v>
      </c>
      <c r="D529">
        <v>3.7225419999999898E-2</v>
      </c>
      <c r="E529" t="s">
        <v>1206</v>
      </c>
      <c r="F529">
        <v>5</v>
      </c>
      <c r="G529" t="str">
        <f>IFERROR(VLOOKUP(B529, Data!H:H, 1, FALSE), "")</f>
        <v/>
      </c>
    </row>
    <row r="530" spans="1:7" x14ac:dyDescent="0.25">
      <c r="A530" t="s">
        <v>1690</v>
      </c>
      <c r="B530" t="s">
        <v>2886</v>
      </c>
      <c r="C530">
        <v>51.581158879999997</v>
      </c>
      <c r="D530">
        <v>-0.19089724</v>
      </c>
      <c r="F530">
        <v>5</v>
      </c>
      <c r="G530" t="str">
        <f>IFERROR(VLOOKUP(B530, Data!H:H, 1, FALSE), "")</f>
        <v/>
      </c>
    </row>
    <row r="531" spans="1:7" x14ac:dyDescent="0.25">
      <c r="A531" t="s">
        <v>1691</v>
      </c>
      <c r="B531" t="s">
        <v>2808</v>
      </c>
      <c r="C531">
        <v>51.465780119999998</v>
      </c>
      <c r="D531">
        <v>-7.7219139999999895E-2</v>
      </c>
      <c r="E531" t="s">
        <v>1692</v>
      </c>
      <c r="F531">
        <v>5</v>
      </c>
      <c r="G531" t="str">
        <f>IFERROR(VLOOKUP(B531, Data!H:H, 1, FALSE), "")</f>
        <v/>
      </c>
    </row>
    <row r="532" spans="1:7" x14ac:dyDescent="0.25">
      <c r="A532" t="s">
        <v>1693</v>
      </c>
      <c r="B532" t="s">
        <v>2808</v>
      </c>
      <c r="C532">
        <v>51.540824411111103</v>
      </c>
      <c r="D532">
        <v>-8.0052555555555502E-2</v>
      </c>
      <c r="E532" t="s">
        <v>1206</v>
      </c>
      <c r="F532">
        <v>9</v>
      </c>
      <c r="G532" t="str">
        <f>IFERROR(VLOOKUP(B532, Data!H:H, 1, FALSE), "")</f>
        <v/>
      </c>
    </row>
    <row r="533" spans="1:7" x14ac:dyDescent="0.25">
      <c r="A533" t="s">
        <v>1694</v>
      </c>
      <c r="B533" t="s">
        <v>2887</v>
      </c>
      <c r="C533">
        <v>51.437662039999999</v>
      </c>
      <c r="D533">
        <v>4.9112740000000002E-2</v>
      </c>
      <c r="F533">
        <v>5</v>
      </c>
      <c r="G533" t="str">
        <f>IFERROR(VLOOKUP(B533, Data!H:H, 1, FALSE), "")</f>
        <v/>
      </c>
    </row>
    <row r="534" spans="1:7" x14ac:dyDescent="0.25">
      <c r="A534" t="s">
        <v>1695</v>
      </c>
      <c r="B534" t="s">
        <v>2888</v>
      </c>
      <c r="C534">
        <v>51.527283007692297</v>
      </c>
      <c r="D534">
        <v>-0.12977090769230701</v>
      </c>
      <c r="F534">
        <v>39</v>
      </c>
      <c r="G534" t="str">
        <f>IFERROR(VLOOKUP(B534, Data!H:H, 1, FALSE), "")</f>
        <v/>
      </c>
    </row>
    <row r="535" spans="1:7" x14ac:dyDescent="0.25">
      <c r="A535" t="s">
        <v>1696</v>
      </c>
      <c r="B535" t="s">
        <v>2889</v>
      </c>
      <c r="C535">
        <v>51.517717619999999</v>
      </c>
      <c r="D535">
        <v>-0.124715086666666</v>
      </c>
      <c r="E535" t="s">
        <v>1206</v>
      </c>
      <c r="F535">
        <v>15</v>
      </c>
      <c r="G535" t="str">
        <f>IFERROR(VLOOKUP(B535, Data!H:H, 1, FALSE), "")</f>
        <v/>
      </c>
    </row>
    <row r="536" spans="1:7" x14ac:dyDescent="0.25">
      <c r="A536" t="s">
        <v>1504</v>
      </c>
      <c r="B536" t="s">
        <v>2808</v>
      </c>
      <c r="C536">
        <v>51.528527299999901</v>
      </c>
      <c r="D536">
        <v>-2.8857553846153801E-2</v>
      </c>
      <c r="F536">
        <v>13</v>
      </c>
      <c r="G536" t="str">
        <f>IFERROR(VLOOKUP(B536, Data!H:H, 1, FALSE), "")</f>
        <v/>
      </c>
    </row>
    <row r="537" spans="1:7" x14ac:dyDescent="0.25">
      <c r="A537" t="s">
        <v>1697</v>
      </c>
      <c r="B537" t="s">
        <v>2890</v>
      </c>
      <c r="C537">
        <v>51.393288923076902</v>
      </c>
      <c r="D537">
        <v>-0.30887485384615299</v>
      </c>
      <c r="E537" t="s">
        <v>1206</v>
      </c>
      <c r="F537">
        <v>13</v>
      </c>
      <c r="G537" t="str">
        <f>IFERROR(VLOOKUP(B537, Data!H:H, 1, FALSE), "")</f>
        <v/>
      </c>
    </row>
    <row r="538" spans="1:7" x14ac:dyDescent="0.25">
      <c r="A538" t="s">
        <v>1698</v>
      </c>
      <c r="B538" t="s">
        <v>2808</v>
      </c>
      <c r="C538">
        <v>51.5157567428571</v>
      </c>
      <c r="D538">
        <v>1.9475142857142799E-2</v>
      </c>
      <c r="F538">
        <v>7</v>
      </c>
      <c r="G538" t="str">
        <f>IFERROR(VLOOKUP(B538, Data!H:H, 1, FALSE), "")</f>
        <v/>
      </c>
    </row>
    <row r="539" spans="1:7" x14ac:dyDescent="0.25">
      <c r="A539" t="s">
        <v>1699</v>
      </c>
      <c r="B539" t="s">
        <v>2808</v>
      </c>
      <c r="C539">
        <v>51.479634220000001</v>
      </c>
      <c r="D539">
        <v>-2.4523029999999901E-2</v>
      </c>
      <c r="E539" t="s">
        <v>1206</v>
      </c>
      <c r="F539">
        <v>10</v>
      </c>
      <c r="G539" t="str">
        <f>IFERROR(VLOOKUP(B539, Data!H:H, 1, FALSE), "")</f>
        <v/>
      </c>
    </row>
    <row r="540" spans="1:7" x14ac:dyDescent="0.25">
      <c r="A540" t="s">
        <v>1700</v>
      </c>
      <c r="B540" t="s">
        <v>2891</v>
      </c>
      <c r="C540">
        <v>51.525923379999902</v>
      </c>
      <c r="D540">
        <v>-3.3160719999999998E-2</v>
      </c>
      <c r="F540">
        <v>5</v>
      </c>
      <c r="G540" t="str">
        <f>IFERROR(VLOOKUP(B540, Data!H:H, 1, FALSE), "")</f>
        <v/>
      </c>
    </row>
    <row r="541" spans="1:7" x14ac:dyDescent="0.25">
      <c r="A541" t="s">
        <v>1701</v>
      </c>
      <c r="B541" t="s">
        <v>2892</v>
      </c>
      <c r="C541">
        <v>51.484987147619002</v>
      </c>
      <c r="D541">
        <v>-0.10081866190476101</v>
      </c>
      <c r="E541" t="s">
        <v>1206</v>
      </c>
      <c r="F541">
        <v>21</v>
      </c>
      <c r="G541" t="str">
        <f>IFERROR(VLOOKUP(B541, Data!H:H, 1, FALSE), "")</f>
        <v/>
      </c>
    </row>
    <row r="542" spans="1:7" x14ac:dyDescent="0.25">
      <c r="A542" t="s">
        <v>1702</v>
      </c>
      <c r="B542" t="s">
        <v>2893</v>
      </c>
      <c r="C542">
        <v>51.390446420000004</v>
      </c>
      <c r="D542">
        <v>5.1765199999999997E-2</v>
      </c>
      <c r="F542">
        <v>5</v>
      </c>
      <c r="G542" t="str">
        <f>IFERROR(VLOOKUP(B542, Data!H:H, 1, FALSE), "")</f>
        <v/>
      </c>
    </row>
    <row r="543" spans="1:7" x14ac:dyDescent="0.25">
      <c r="A543" t="s">
        <v>1703</v>
      </c>
      <c r="B543" t="s">
        <v>2883</v>
      </c>
      <c r="C543">
        <v>51.519650513333303</v>
      </c>
      <c r="D543">
        <v>-0.11081245333333301</v>
      </c>
      <c r="E543" t="s">
        <v>1206</v>
      </c>
      <c r="F543">
        <v>15</v>
      </c>
      <c r="G543" t="str">
        <f>IFERROR(VLOOKUP(B543, Data!H:H, 1, FALSE), "")</f>
        <v/>
      </c>
    </row>
    <row r="544" spans="1:7" x14ac:dyDescent="0.25">
      <c r="A544" t="s">
        <v>1704</v>
      </c>
      <c r="B544" t="s">
        <v>2894</v>
      </c>
      <c r="C544">
        <v>51.499871095000003</v>
      </c>
      <c r="D544">
        <v>-0.12678483500000001</v>
      </c>
      <c r="E544" t="s">
        <v>1206</v>
      </c>
      <c r="F544">
        <v>20</v>
      </c>
      <c r="G544" t="str">
        <f>IFERROR(VLOOKUP(B544, Data!H:H, 1, FALSE), "")</f>
        <v/>
      </c>
    </row>
    <row r="545" spans="1:7" x14ac:dyDescent="0.25">
      <c r="A545" t="s">
        <v>1705</v>
      </c>
      <c r="B545" t="s">
        <v>2895</v>
      </c>
      <c r="C545">
        <v>51.519325185714202</v>
      </c>
      <c r="D545">
        <v>-0.111441114285714</v>
      </c>
      <c r="F545">
        <v>7</v>
      </c>
      <c r="G545" t="str">
        <f>IFERROR(VLOOKUP(B545, Data!H:H, 1, FALSE), "")</f>
        <v/>
      </c>
    </row>
    <row r="546" spans="1:7" x14ac:dyDescent="0.25">
      <c r="A546" t="s">
        <v>1706</v>
      </c>
      <c r="B546" t="s">
        <v>2896</v>
      </c>
      <c r="C546">
        <v>51.483796889473602</v>
      </c>
      <c r="D546">
        <v>-0.287841478947368</v>
      </c>
      <c r="E546" t="s">
        <v>1206</v>
      </c>
      <c r="F546">
        <v>19</v>
      </c>
      <c r="G546" t="str">
        <f>IFERROR(VLOOKUP(B546, Data!H:H, 1, FALSE), "")</f>
        <v/>
      </c>
    </row>
    <row r="547" spans="1:7" x14ac:dyDescent="0.25">
      <c r="A547" t="s">
        <v>1209</v>
      </c>
      <c r="B547" t="s">
        <v>2897</v>
      </c>
      <c r="C547">
        <v>51.448285980000001</v>
      </c>
      <c r="D547">
        <v>6.4488480000000001E-2</v>
      </c>
      <c r="E547" t="s">
        <v>1206</v>
      </c>
      <c r="F547">
        <v>5</v>
      </c>
      <c r="G547" t="str">
        <f>IFERROR(VLOOKUP(B547, Data!H:H, 1, FALSE), "")</f>
        <v/>
      </c>
    </row>
    <row r="548" spans="1:7" x14ac:dyDescent="0.25">
      <c r="A548" t="s">
        <v>1707</v>
      </c>
      <c r="B548" t="s">
        <v>2898</v>
      </c>
      <c r="C548">
        <v>51.538855859999899</v>
      </c>
      <c r="D548">
        <v>-6.5012899999999998E-2</v>
      </c>
      <c r="F548">
        <v>5</v>
      </c>
      <c r="G548" t="str">
        <f>IFERROR(VLOOKUP(B548, Data!H:H, 1, FALSE), "")</f>
        <v/>
      </c>
    </row>
    <row r="549" spans="1:7" x14ac:dyDescent="0.25">
      <c r="A549" t="s">
        <v>1697</v>
      </c>
      <c r="B549" t="s">
        <v>2899</v>
      </c>
      <c r="C549">
        <v>51.560360984210497</v>
      </c>
      <c r="D549">
        <v>0.226013505263157</v>
      </c>
      <c r="E549" t="s">
        <v>1206</v>
      </c>
      <c r="F549">
        <v>19</v>
      </c>
      <c r="G549" t="str">
        <f>IFERROR(VLOOKUP(B549, Data!H:H, 1, FALSE), "")</f>
        <v/>
      </c>
    </row>
    <row r="550" spans="1:7" x14ac:dyDescent="0.25">
      <c r="A550" t="s">
        <v>1708</v>
      </c>
      <c r="B550" t="s">
        <v>2900</v>
      </c>
      <c r="C550">
        <v>51.542184816666598</v>
      </c>
      <c r="D550">
        <v>-0.162695216666666</v>
      </c>
      <c r="E550" t="s">
        <v>1206</v>
      </c>
      <c r="F550">
        <v>6</v>
      </c>
      <c r="G550" t="str">
        <f>IFERROR(VLOOKUP(B550, Data!H:H, 1, FALSE), "")</f>
        <v/>
      </c>
    </row>
    <row r="551" spans="1:7" x14ac:dyDescent="0.25">
      <c r="A551" t="s">
        <v>1709</v>
      </c>
      <c r="B551" t="s">
        <v>2901</v>
      </c>
      <c r="C551">
        <v>51.532106751999997</v>
      </c>
      <c r="D551">
        <v>-0.182324503999999</v>
      </c>
      <c r="E551" t="s">
        <v>1206</v>
      </c>
      <c r="F551">
        <v>25</v>
      </c>
      <c r="G551" t="str">
        <f>IFERROR(VLOOKUP(B551, Data!H:H, 1, FALSE), "")</f>
        <v/>
      </c>
    </row>
    <row r="552" spans="1:7" x14ac:dyDescent="0.25">
      <c r="A552" t="s">
        <v>1710</v>
      </c>
      <c r="B552" t="s">
        <v>2902</v>
      </c>
      <c r="C552">
        <v>51.520442395238</v>
      </c>
      <c r="D552">
        <v>-0.17520853809523801</v>
      </c>
      <c r="F552">
        <v>21</v>
      </c>
      <c r="G552" t="str">
        <f>IFERROR(VLOOKUP(B552, Data!H:H, 1, FALSE), "")</f>
        <v/>
      </c>
    </row>
    <row r="553" spans="1:7" x14ac:dyDescent="0.25">
      <c r="A553" t="s">
        <v>1711</v>
      </c>
      <c r="B553" t="s">
        <v>241</v>
      </c>
      <c r="C553">
        <v>51.554603599999901</v>
      </c>
      <c r="D553">
        <v>-9.1981960000000001E-2</v>
      </c>
      <c r="E553" t="s">
        <v>1206</v>
      </c>
      <c r="F553">
        <v>5</v>
      </c>
    </row>
    <row r="554" spans="1:7" x14ac:dyDescent="0.25">
      <c r="A554" t="s">
        <v>1712</v>
      </c>
      <c r="B554" t="s">
        <v>232</v>
      </c>
      <c r="C554">
        <v>51.552542940000002</v>
      </c>
      <c r="D554">
        <v>-7.9378000000000004E-2</v>
      </c>
      <c r="E554" t="s">
        <v>1206</v>
      </c>
      <c r="F554">
        <v>5</v>
      </c>
    </row>
    <row r="555" spans="1:7" x14ac:dyDescent="0.25">
      <c r="A555" t="s">
        <v>1713</v>
      </c>
      <c r="B555" t="s">
        <v>2903</v>
      </c>
      <c r="C555">
        <v>51.54865882</v>
      </c>
      <c r="D555">
        <v>-8.6832859999999998E-2</v>
      </c>
      <c r="F555">
        <v>5</v>
      </c>
      <c r="G555" t="str">
        <f>IFERROR(VLOOKUP(B555, Data!H:H, 1, FALSE), "")</f>
        <v/>
      </c>
    </row>
    <row r="556" spans="1:7" x14ac:dyDescent="0.25">
      <c r="A556" t="s">
        <v>1714</v>
      </c>
      <c r="B556" t="s">
        <v>2808</v>
      </c>
      <c r="C556">
        <v>51.548803933333303</v>
      </c>
      <c r="D556">
        <v>-8.00139111111111E-2</v>
      </c>
      <c r="E556" t="s">
        <v>1206</v>
      </c>
      <c r="F556">
        <v>9</v>
      </c>
      <c r="G556" t="str">
        <f>IFERROR(VLOOKUP(B556, Data!H:H, 1, FALSE), "")</f>
        <v/>
      </c>
    </row>
    <row r="557" spans="1:7" x14ac:dyDescent="0.25">
      <c r="A557" t="s">
        <v>1715</v>
      </c>
      <c r="B557" t="s">
        <v>2904</v>
      </c>
      <c r="C557">
        <v>51.56420206</v>
      </c>
      <c r="D557">
        <v>-8.6260320000000001E-2</v>
      </c>
      <c r="F557">
        <v>5</v>
      </c>
      <c r="G557" t="str">
        <f>IFERROR(VLOOKUP(B557, Data!H:H, 1, FALSE), "")</f>
        <v/>
      </c>
    </row>
    <row r="558" spans="1:7" x14ac:dyDescent="0.25">
      <c r="A558" t="s">
        <v>1716</v>
      </c>
      <c r="B558" t="s">
        <v>2808</v>
      </c>
      <c r="C558">
        <v>51.560820217391303</v>
      </c>
      <c r="D558">
        <v>-8.4411191304347793E-2</v>
      </c>
      <c r="F558">
        <v>23</v>
      </c>
      <c r="G558" t="str">
        <f>IFERROR(VLOOKUP(B558, Data!H:H, 1, FALSE), "")</f>
        <v/>
      </c>
    </row>
    <row r="559" spans="1:7" x14ac:dyDescent="0.25">
      <c r="A559" t="s">
        <v>1717</v>
      </c>
      <c r="B559" t="s">
        <v>2808</v>
      </c>
      <c r="C559">
        <v>51.561392099999999</v>
      </c>
      <c r="D559">
        <v>-8.4623711111111097E-2</v>
      </c>
      <c r="F559">
        <v>9</v>
      </c>
      <c r="G559" t="str">
        <f>IFERROR(VLOOKUP(B559, Data!H:H, 1, FALSE), "")</f>
        <v/>
      </c>
    </row>
    <row r="560" spans="1:7" x14ac:dyDescent="0.25">
      <c r="A560" t="s">
        <v>1718</v>
      </c>
      <c r="B560" t="s">
        <v>249</v>
      </c>
      <c r="C560">
        <v>51.559063585714199</v>
      </c>
      <c r="D560">
        <v>-0.11423558571428501</v>
      </c>
      <c r="E560" t="s">
        <v>1206</v>
      </c>
      <c r="F560">
        <v>7</v>
      </c>
    </row>
    <row r="561" spans="1:7" x14ac:dyDescent="0.25">
      <c r="A561" t="s">
        <v>1719</v>
      </c>
      <c r="B561" t="s">
        <v>2905</v>
      </c>
      <c r="C561">
        <v>51.566678420000002</v>
      </c>
      <c r="D561">
        <v>-0.12222519999999901</v>
      </c>
      <c r="F561">
        <v>5</v>
      </c>
      <c r="G561" t="str">
        <f>IFERROR(VLOOKUP(B561, Data!H:H, 1, FALSE), "")</f>
        <v/>
      </c>
    </row>
    <row r="562" spans="1:7" x14ac:dyDescent="0.25">
      <c r="A562" t="s">
        <v>1609</v>
      </c>
      <c r="B562" t="s">
        <v>244</v>
      </c>
      <c r="C562">
        <v>51.571279474999997</v>
      </c>
      <c r="D562">
        <v>-0.12294780999999901</v>
      </c>
      <c r="F562">
        <v>20</v>
      </c>
    </row>
    <row r="563" spans="1:7" x14ac:dyDescent="0.25">
      <c r="A563" t="s">
        <v>1720</v>
      </c>
      <c r="B563" t="s">
        <v>2906</v>
      </c>
      <c r="C563">
        <v>51.574989199999997</v>
      </c>
      <c r="D563">
        <v>-0.11112975999999999</v>
      </c>
      <c r="E563" t="s">
        <v>1206</v>
      </c>
      <c r="F563">
        <v>5</v>
      </c>
      <c r="G563" t="str">
        <f>IFERROR(VLOOKUP(B563, Data!H:H, 1, FALSE), "")</f>
        <v/>
      </c>
    </row>
    <row r="564" spans="1:7" x14ac:dyDescent="0.25">
      <c r="A564" t="s">
        <v>1721</v>
      </c>
      <c r="B564" t="s">
        <v>2579</v>
      </c>
      <c r="C564">
        <v>51.490569228571403</v>
      </c>
      <c r="D564">
        <v>-8.5521700000000006E-2</v>
      </c>
      <c r="E564" t="s">
        <v>1206</v>
      </c>
      <c r="F564">
        <v>7</v>
      </c>
      <c r="G564" t="str">
        <f>IFERROR(VLOOKUP(B564, Data!H:H, 1, FALSE), "")</f>
        <v/>
      </c>
    </row>
    <row r="565" spans="1:7" x14ac:dyDescent="0.25">
      <c r="A565" t="s">
        <v>1722</v>
      </c>
      <c r="B565" t="s">
        <v>2907</v>
      </c>
      <c r="C565">
        <v>51.4775686083333</v>
      </c>
      <c r="D565">
        <v>-0.106234866666666</v>
      </c>
      <c r="E565" t="s">
        <v>1206</v>
      </c>
      <c r="F565">
        <v>12</v>
      </c>
      <c r="G565" t="str">
        <f>IFERROR(VLOOKUP(B565, Data!H:H, 1, FALSE), "")</f>
        <v/>
      </c>
    </row>
    <row r="566" spans="1:7" x14ac:dyDescent="0.25">
      <c r="A566" t="s">
        <v>1246</v>
      </c>
      <c r="B566" t="s">
        <v>2908</v>
      </c>
      <c r="C566">
        <v>51.522404127272701</v>
      </c>
      <c r="D566">
        <v>-0.18891787272727201</v>
      </c>
      <c r="E566" t="s">
        <v>1206</v>
      </c>
      <c r="F566">
        <v>11</v>
      </c>
      <c r="G566" t="str">
        <f>IFERROR(VLOOKUP(B566, Data!H:H, 1, FALSE), "")</f>
        <v/>
      </c>
    </row>
    <row r="567" spans="1:7" x14ac:dyDescent="0.25">
      <c r="A567" t="s">
        <v>1723</v>
      </c>
      <c r="B567" t="s">
        <v>2909</v>
      </c>
      <c r="C567">
        <v>51.525500563636299</v>
      </c>
      <c r="D567">
        <v>-0.19711161818181799</v>
      </c>
      <c r="E567" t="s">
        <v>1206</v>
      </c>
      <c r="F567">
        <v>11</v>
      </c>
      <c r="G567" t="str">
        <f>IFERROR(VLOOKUP(B567, Data!H:H, 1, FALSE), "")</f>
        <v/>
      </c>
    </row>
    <row r="568" spans="1:7" x14ac:dyDescent="0.25">
      <c r="A568" t="s">
        <v>1724</v>
      </c>
      <c r="B568" t="s">
        <v>2910</v>
      </c>
      <c r="C568">
        <v>51.597910484615298</v>
      </c>
      <c r="D568">
        <v>2.0147823076923001E-2</v>
      </c>
      <c r="E568" t="s">
        <v>1206</v>
      </c>
      <c r="F568">
        <v>13</v>
      </c>
      <c r="G568" t="str">
        <f>IFERROR(VLOOKUP(B568, Data!H:H, 1, FALSE), "")</f>
        <v/>
      </c>
    </row>
    <row r="569" spans="1:7" x14ac:dyDescent="0.25">
      <c r="A569" t="s">
        <v>1725</v>
      </c>
      <c r="B569" t="s">
        <v>2911</v>
      </c>
      <c r="C569">
        <v>51.594906279999996</v>
      </c>
      <c r="D569">
        <v>1.8685179999999999E-2</v>
      </c>
      <c r="F569">
        <v>5</v>
      </c>
      <c r="G569" t="str">
        <f>IFERROR(VLOOKUP(B569, Data!H:H, 1, FALSE), "")</f>
        <v/>
      </c>
    </row>
    <row r="570" spans="1:7" x14ac:dyDescent="0.25">
      <c r="A570" t="s">
        <v>1726</v>
      </c>
      <c r="B570" t="s">
        <v>2912</v>
      </c>
      <c r="C570">
        <v>51.5448587461538</v>
      </c>
      <c r="D570">
        <v>-0.15794545384615299</v>
      </c>
      <c r="E570" t="s">
        <v>1206</v>
      </c>
      <c r="F570">
        <v>13</v>
      </c>
      <c r="G570" t="str">
        <f>IFERROR(VLOOKUP(B570, Data!H:H, 1, FALSE), "")</f>
        <v/>
      </c>
    </row>
    <row r="571" spans="1:7" x14ac:dyDescent="0.25">
      <c r="A571" t="s">
        <v>1727</v>
      </c>
      <c r="B571" t="s">
        <v>2808</v>
      </c>
      <c r="C571">
        <v>51.509310159999899</v>
      </c>
      <c r="D571">
        <v>-7.9225166666666597E-2</v>
      </c>
      <c r="E571" t="s">
        <v>1206</v>
      </c>
      <c r="F571">
        <v>15</v>
      </c>
      <c r="G571" t="str">
        <f>IFERROR(VLOOKUP(B571, Data!H:H, 1, FALSE), "")</f>
        <v/>
      </c>
    </row>
    <row r="572" spans="1:7" x14ac:dyDescent="0.25">
      <c r="A572" t="s">
        <v>1728</v>
      </c>
      <c r="B572" t="s">
        <v>2913</v>
      </c>
      <c r="C572">
        <v>51.664994280000002</v>
      </c>
      <c r="D572">
        <v>-8.7432339999999997E-2</v>
      </c>
      <c r="F572">
        <v>5</v>
      </c>
      <c r="G572" t="str">
        <f>IFERROR(VLOOKUP(B572, Data!H:H, 1, FALSE), "")</f>
        <v/>
      </c>
    </row>
    <row r="573" spans="1:7" x14ac:dyDescent="0.25">
      <c r="A573" t="s">
        <v>1729</v>
      </c>
      <c r="B573" t="s">
        <v>2914</v>
      </c>
      <c r="C573">
        <v>51.633851869230703</v>
      </c>
      <c r="D573">
        <v>-0.132333015384615</v>
      </c>
      <c r="E573" t="s">
        <v>1206</v>
      </c>
      <c r="F573">
        <v>13</v>
      </c>
      <c r="G573" t="str">
        <f>IFERROR(VLOOKUP(B573, Data!H:H, 1, FALSE), "")</f>
        <v/>
      </c>
    </row>
    <row r="574" spans="1:7" x14ac:dyDescent="0.25">
      <c r="A574" t="s">
        <v>1730</v>
      </c>
      <c r="B574" t="s">
        <v>2915</v>
      </c>
      <c r="C574">
        <v>51.443447776923001</v>
      </c>
      <c r="D574">
        <v>-0.36432739999999902</v>
      </c>
      <c r="E574" t="s">
        <v>1206</v>
      </c>
      <c r="F574">
        <v>13</v>
      </c>
      <c r="G574" t="str">
        <f>IFERROR(VLOOKUP(B574, Data!H:H, 1, FALSE), "")</f>
        <v/>
      </c>
    </row>
    <row r="575" spans="1:7" x14ac:dyDescent="0.25">
      <c r="A575" t="s">
        <v>1731</v>
      </c>
      <c r="B575" t="s">
        <v>2916</v>
      </c>
      <c r="C575">
        <v>51.552394419999999</v>
      </c>
      <c r="D575">
        <v>-0.21796879999999999</v>
      </c>
      <c r="E575" t="s">
        <v>1206</v>
      </c>
      <c r="F575">
        <v>5</v>
      </c>
      <c r="G575" t="str">
        <f>IFERROR(VLOOKUP(B575, Data!H:H, 1, FALSE), "")</f>
        <v/>
      </c>
    </row>
    <row r="576" spans="1:7" x14ac:dyDescent="0.25">
      <c r="A576" t="s">
        <v>1732</v>
      </c>
      <c r="B576" t="s">
        <v>2917</v>
      </c>
      <c r="C576">
        <v>51.555629195833298</v>
      </c>
      <c r="D576">
        <v>-0.2163999875</v>
      </c>
      <c r="F576">
        <v>24</v>
      </c>
      <c r="G576" t="str">
        <f>IFERROR(VLOOKUP(B576, Data!H:H, 1, FALSE), "")</f>
        <v/>
      </c>
    </row>
    <row r="577" spans="1:7" x14ac:dyDescent="0.25">
      <c r="A577" t="s">
        <v>1733</v>
      </c>
      <c r="B577" t="s">
        <v>2918</v>
      </c>
      <c r="C577">
        <v>51.571218539999997</v>
      </c>
      <c r="D577">
        <v>-9.3740959999999998E-2</v>
      </c>
      <c r="E577" t="s">
        <v>1206</v>
      </c>
      <c r="F577">
        <v>5</v>
      </c>
      <c r="G577" t="str">
        <f>IFERROR(VLOOKUP(B577, Data!H:H, 1, FALSE), "")</f>
        <v/>
      </c>
    </row>
    <row r="578" spans="1:7" x14ac:dyDescent="0.25">
      <c r="A578" t="s">
        <v>1733</v>
      </c>
      <c r="B578" t="s">
        <v>2918</v>
      </c>
      <c r="C578">
        <v>51.571095999999997</v>
      </c>
      <c r="D578">
        <v>-9.4356659999999995E-2</v>
      </c>
      <c r="E578" t="s">
        <v>1206</v>
      </c>
      <c r="F578">
        <v>5</v>
      </c>
      <c r="G578" t="str">
        <f>IFERROR(VLOOKUP(B578, Data!H:H, 1, FALSE), "")</f>
        <v/>
      </c>
    </row>
    <row r="579" spans="1:7" x14ac:dyDescent="0.25">
      <c r="A579" t="s">
        <v>1423</v>
      </c>
      <c r="B579" t="s">
        <v>2808</v>
      </c>
      <c r="C579">
        <v>51.335914905882298</v>
      </c>
      <c r="D579">
        <v>5.4395223529411701E-2</v>
      </c>
      <c r="E579" t="s">
        <v>1206</v>
      </c>
      <c r="F579">
        <v>17</v>
      </c>
      <c r="G579" t="str">
        <f>IFERROR(VLOOKUP(B579, Data!H:H, 1, FALSE), "")</f>
        <v/>
      </c>
    </row>
    <row r="580" spans="1:7" x14ac:dyDescent="0.25">
      <c r="A580" t="s">
        <v>1354</v>
      </c>
      <c r="B580" t="s">
        <v>2919</v>
      </c>
      <c r="C580">
        <v>51.56184476</v>
      </c>
      <c r="D580">
        <v>-0.19970524000000001</v>
      </c>
      <c r="E580" t="s">
        <v>1206</v>
      </c>
      <c r="F580">
        <v>5</v>
      </c>
      <c r="G580" t="str">
        <f>IFERROR(VLOOKUP(B580, Data!H:H, 1, FALSE), "")</f>
        <v/>
      </c>
    </row>
    <row r="581" spans="1:7" x14ac:dyDescent="0.25">
      <c r="A581" t="s">
        <v>1488</v>
      </c>
      <c r="B581" t="s">
        <v>2920</v>
      </c>
      <c r="C581">
        <v>51.500536259999997</v>
      </c>
      <c r="D581">
        <v>-0.21493058000000001</v>
      </c>
      <c r="E581" t="s">
        <v>1206</v>
      </c>
      <c r="F581">
        <v>5</v>
      </c>
      <c r="G581" t="str">
        <f>IFERROR(VLOOKUP(B581, Data!H:H, 1, FALSE), "")</f>
        <v/>
      </c>
    </row>
    <row r="582" spans="1:7" x14ac:dyDescent="0.25">
      <c r="A582" t="s">
        <v>1734</v>
      </c>
      <c r="B582" t="s">
        <v>2921</v>
      </c>
      <c r="C582">
        <v>51.497008639999997</v>
      </c>
      <c r="D582">
        <v>-0.20275594</v>
      </c>
      <c r="F582">
        <v>5</v>
      </c>
      <c r="G582" t="str">
        <f>IFERROR(VLOOKUP(B582, Data!H:H, 1, FALSE), "")</f>
        <v/>
      </c>
    </row>
    <row r="583" spans="1:7" x14ac:dyDescent="0.25">
      <c r="A583" t="s">
        <v>1735</v>
      </c>
      <c r="B583" t="s">
        <v>2922</v>
      </c>
      <c r="C583">
        <v>51.524262771428504</v>
      </c>
      <c r="D583">
        <v>-0.16649820714285701</v>
      </c>
      <c r="E583" t="s">
        <v>1206</v>
      </c>
      <c r="F583">
        <v>14</v>
      </c>
      <c r="G583" t="str">
        <f>IFERROR(VLOOKUP(B583, Data!H:H, 1, FALSE), "")</f>
        <v/>
      </c>
    </row>
    <row r="584" spans="1:7" x14ac:dyDescent="0.25">
      <c r="A584" t="s">
        <v>1736</v>
      </c>
      <c r="B584" t="s">
        <v>2923</v>
      </c>
      <c r="C584">
        <v>51.571018146153797</v>
      </c>
      <c r="D584">
        <v>-0.19284496923076899</v>
      </c>
      <c r="E584" t="s">
        <v>1206</v>
      </c>
      <c r="F584">
        <v>13</v>
      </c>
      <c r="G584" t="str">
        <f>IFERROR(VLOOKUP(B584, Data!H:H, 1, FALSE), "")</f>
        <v/>
      </c>
    </row>
    <row r="585" spans="1:7" x14ac:dyDescent="0.25">
      <c r="A585" t="s">
        <v>1737</v>
      </c>
      <c r="B585" t="s">
        <v>2808</v>
      </c>
      <c r="C585">
        <v>51.457003280000002</v>
      </c>
      <c r="D585">
        <v>-7.5038319999999895E-2</v>
      </c>
      <c r="F585">
        <v>5</v>
      </c>
      <c r="G585" t="str">
        <f>IFERROR(VLOOKUP(B585, Data!H:H, 1, FALSE), "")</f>
        <v/>
      </c>
    </row>
    <row r="586" spans="1:7" x14ac:dyDescent="0.25">
      <c r="A586" t="s">
        <v>1738</v>
      </c>
      <c r="B586" t="s">
        <v>2924</v>
      </c>
      <c r="C586">
        <v>51.541041358823499</v>
      </c>
      <c r="D586">
        <v>-0.1892403</v>
      </c>
      <c r="E586" t="s">
        <v>1206</v>
      </c>
      <c r="F586">
        <v>17</v>
      </c>
      <c r="G586" t="str">
        <f>IFERROR(VLOOKUP(B586, Data!H:H, 1, FALSE), "")</f>
        <v/>
      </c>
    </row>
    <row r="587" spans="1:7" x14ac:dyDescent="0.25">
      <c r="A587" t="s">
        <v>1401</v>
      </c>
      <c r="B587" t="s">
        <v>2808</v>
      </c>
      <c r="C587">
        <v>51.6122482142857</v>
      </c>
      <c r="D587">
        <v>-5.3897528571428502E-2</v>
      </c>
      <c r="E587" t="s">
        <v>1206</v>
      </c>
      <c r="F587">
        <v>7</v>
      </c>
      <c r="G587" t="str">
        <f>IFERROR(VLOOKUP(B587, Data!H:H, 1, FALSE), "")</f>
        <v/>
      </c>
    </row>
    <row r="588" spans="1:7" x14ac:dyDescent="0.25">
      <c r="A588" t="s">
        <v>1739</v>
      </c>
      <c r="B588" t="s">
        <v>2925</v>
      </c>
      <c r="C588">
        <v>51.532799379999901</v>
      </c>
      <c r="D588">
        <v>-0.20125599999999899</v>
      </c>
      <c r="F588">
        <v>5</v>
      </c>
      <c r="G588" t="str">
        <f>IFERROR(VLOOKUP(B588, Data!H:H, 1, FALSE), "")</f>
        <v/>
      </c>
    </row>
    <row r="589" spans="1:7" x14ac:dyDescent="0.25">
      <c r="A589" t="s">
        <v>1740</v>
      </c>
      <c r="B589" t="s">
        <v>2926</v>
      </c>
      <c r="C589">
        <v>51.483268951851798</v>
      </c>
      <c r="D589">
        <v>-0.188985329629629</v>
      </c>
      <c r="F589">
        <v>27</v>
      </c>
      <c r="G589" t="str">
        <f>IFERROR(VLOOKUP(B589, Data!H:H, 1, FALSE), "")</f>
        <v/>
      </c>
    </row>
    <row r="590" spans="1:7" x14ac:dyDescent="0.25">
      <c r="A590" t="s">
        <v>1668</v>
      </c>
      <c r="B590" t="s">
        <v>2927</v>
      </c>
      <c r="C590">
        <v>51.495157200000001</v>
      </c>
      <c r="D590">
        <v>-0.36650741428571398</v>
      </c>
      <c r="E590" t="s">
        <v>1206</v>
      </c>
      <c r="F590">
        <v>7</v>
      </c>
      <c r="G590" t="str">
        <f>IFERROR(VLOOKUP(B590, Data!H:H, 1, FALSE), "")</f>
        <v/>
      </c>
    </row>
    <row r="591" spans="1:7" x14ac:dyDescent="0.25">
      <c r="A591" t="s">
        <v>1741</v>
      </c>
      <c r="B591" t="s">
        <v>2928</v>
      </c>
      <c r="C591">
        <v>51.457405340000001</v>
      </c>
      <c r="D591">
        <v>-7.2649939999999996E-2</v>
      </c>
      <c r="F591">
        <v>5</v>
      </c>
      <c r="G591" t="str">
        <f>IFERROR(VLOOKUP(B591, Data!H:H, 1, FALSE), "")</f>
        <v/>
      </c>
    </row>
    <row r="592" spans="1:7" x14ac:dyDescent="0.25">
      <c r="A592" t="s">
        <v>1547</v>
      </c>
      <c r="B592" t="s">
        <v>259</v>
      </c>
      <c r="C592">
        <v>51.533188924999997</v>
      </c>
      <c r="D592">
        <v>-3.2259162500000001E-2</v>
      </c>
      <c r="E592" t="s">
        <v>1206</v>
      </c>
      <c r="F592">
        <v>8</v>
      </c>
    </row>
    <row r="593" spans="1:7" x14ac:dyDescent="0.25">
      <c r="A593" t="s">
        <v>1742</v>
      </c>
      <c r="B593" t="s">
        <v>2929</v>
      </c>
      <c r="C593">
        <v>51.602186828571398</v>
      </c>
      <c r="D593">
        <v>-0.14848725714285699</v>
      </c>
      <c r="E593" t="s">
        <v>1206</v>
      </c>
      <c r="F593">
        <v>7</v>
      </c>
      <c r="G593" t="str">
        <f>IFERROR(VLOOKUP(B593, Data!H:H, 1, FALSE), "")</f>
        <v/>
      </c>
    </row>
    <row r="594" spans="1:7" x14ac:dyDescent="0.25">
      <c r="A594" t="s">
        <v>1743</v>
      </c>
      <c r="B594" t="s">
        <v>2930</v>
      </c>
      <c r="C594">
        <v>51.537399176923003</v>
      </c>
      <c r="D594">
        <v>-0.195937507692307</v>
      </c>
      <c r="F594">
        <v>13</v>
      </c>
      <c r="G594" t="str">
        <f>IFERROR(VLOOKUP(B594, Data!H:H, 1, FALSE), "")</f>
        <v/>
      </c>
    </row>
    <row r="595" spans="1:7" x14ac:dyDescent="0.25">
      <c r="A595" t="s">
        <v>1744</v>
      </c>
      <c r="B595" t="s">
        <v>2931</v>
      </c>
      <c r="C595">
        <v>51.583245569230698</v>
      </c>
      <c r="D595">
        <v>-0.117834069230769</v>
      </c>
      <c r="E595" t="s">
        <v>1206</v>
      </c>
      <c r="F595">
        <v>13</v>
      </c>
      <c r="G595" t="str">
        <f>IFERROR(VLOOKUP(B595, Data!H:H, 1, FALSE), "")</f>
        <v/>
      </c>
    </row>
    <row r="596" spans="1:7" x14ac:dyDescent="0.25">
      <c r="A596" t="s">
        <v>1745</v>
      </c>
      <c r="B596" t="s">
        <v>2932</v>
      </c>
      <c r="C596">
        <v>51.563654459999903</v>
      </c>
      <c r="D596">
        <v>-0.22769296</v>
      </c>
      <c r="F596">
        <v>5</v>
      </c>
      <c r="G596" t="str">
        <f>IFERROR(VLOOKUP(B596, Data!H:H, 1, FALSE), "")</f>
        <v/>
      </c>
    </row>
    <row r="597" spans="1:7" x14ac:dyDescent="0.25">
      <c r="A597" t="s">
        <v>1746</v>
      </c>
      <c r="B597" t="s">
        <v>2933</v>
      </c>
      <c r="C597">
        <v>51.483239359999999</v>
      </c>
      <c r="D597">
        <v>-0.1066377</v>
      </c>
      <c r="E597" t="s">
        <v>1206</v>
      </c>
      <c r="F597">
        <v>5</v>
      </c>
      <c r="G597" t="str">
        <f>IFERROR(VLOOKUP(B597, Data!H:H, 1, FALSE), "")</f>
        <v/>
      </c>
    </row>
    <row r="598" spans="1:7" x14ac:dyDescent="0.25">
      <c r="A598" t="s">
        <v>1747</v>
      </c>
      <c r="B598" t="s">
        <v>2934</v>
      </c>
      <c r="C598">
        <v>51.490664747619</v>
      </c>
      <c r="D598">
        <v>-0.135111542857142</v>
      </c>
      <c r="E598" t="s">
        <v>1206</v>
      </c>
      <c r="F598">
        <v>21</v>
      </c>
      <c r="G598" t="str">
        <f>IFERROR(VLOOKUP(B598, Data!H:H, 1, FALSE), "")</f>
        <v/>
      </c>
    </row>
    <row r="599" spans="1:7" x14ac:dyDescent="0.25">
      <c r="A599" t="s">
        <v>1748</v>
      </c>
      <c r="B599" t="s">
        <v>2935</v>
      </c>
      <c r="C599">
        <v>51.495959890908999</v>
      </c>
      <c r="D599">
        <v>-0.112748854545454</v>
      </c>
      <c r="E599" t="s">
        <v>1749</v>
      </c>
      <c r="F599">
        <v>11</v>
      </c>
      <c r="G599" t="str">
        <f>IFERROR(VLOOKUP(B599, Data!H:H, 1, FALSE), "")</f>
        <v/>
      </c>
    </row>
    <row r="600" spans="1:7" x14ac:dyDescent="0.25">
      <c r="A600" t="s">
        <v>1607</v>
      </c>
      <c r="B600" t="s">
        <v>2936</v>
      </c>
      <c r="C600">
        <v>51.47798272</v>
      </c>
      <c r="D600">
        <v>-7.82302E-2</v>
      </c>
      <c r="E600" t="s">
        <v>1206</v>
      </c>
      <c r="F600">
        <v>5</v>
      </c>
      <c r="G600" t="str">
        <f>IFERROR(VLOOKUP(B600, Data!H:H, 1, FALSE), "")</f>
        <v/>
      </c>
    </row>
    <row r="601" spans="1:7" x14ac:dyDescent="0.25">
      <c r="A601" t="s">
        <v>1750</v>
      </c>
      <c r="B601" t="s">
        <v>2937</v>
      </c>
      <c r="C601">
        <v>51.48256542</v>
      </c>
      <c r="D601">
        <v>-7.3546319999999998E-2</v>
      </c>
      <c r="F601">
        <v>5</v>
      </c>
      <c r="G601" t="str">
        <f>IFERROR(VLOOKUP(B601, Data!H:H, 1, FALSE), "")</f>
        <v/>
      </c>
    </row>
    <row r="602" spans="1:7" x14ac:dyDescent="0.25">
      <c r="A602" t="s">
        <v>1751</v>
      </c>
      <c r="B602" t="s">
        <v>2937</v>
      </c>
      <c r="C602">
        <v>51.480207659999998</v>
      </c>
      <c r="D602">
        <v>-8.3173819999999996E-2</v>
      </c>
      <c r="E602" t="s">
        <v>1206</v>
      </c>
      <c r="F602">
        <v>5</v>
      </c>
      <c r="G602" t="str">
        <f>IFERROR(VLOOKUP(B602, Data!H:H, 1, FALSE), "")</f>
        <v/>
      </c>
    </row>
    <row r="603" spans="1:7" x14ac:dyDescent="0.25">
      <c r="A603" t="s">
        <v>1752</v>
      </c>
      <c r="B603" t="s">
        <v>2938</v>
      </c>
      <c r="C603">
        <v>51.661598079999997</v>
      </c>
      <c r="D603">
        <v>-0.19393478</v>
      </c>
      <c r="E603" t="s">
        <v>1206</v>
      </c>
      <c r="F603">
        <v>5</v>
      </c>
      <c r="G603" t="str">
        <f>IFERROR(VLOOKUP(B603, Data!H:H, 1, FALSE), "")</f>
        <v/>
      </c>
    </row>
    <row r="604" spans="1:7" x14ac:dyDescent="0.25">
      <c r="A604" t="s">
        <v>1753</v>
      </c>
      <c r="B604" t="s">
        <v>2808</v>
      </c>
      <c r="C604">
        <v>51.477380099999998</v>
      </c>
      <c r="D604">
        <v>-5.9596090909090897E-2</v>
      </c>
      <c r="E604" t="s">
        <v>1206</v>
      </c>
      <c r="F604">
        <v>11</v>
      </c>
      <c r="G604" t="str">
        <f>IFERROR(VLOOKUP(B604, Data!H:H, 1, FALSE), "")</f>
        <v/>
      </c>
    </row>
    <row r="605" spans="1:7" x14ac:dyDescent="0.25">
      <c r="A605" t="s">
        <v>1754</v>
      </c>
      <c r="B605" t="s">
        <v>2702</v>
      </c>
      <c r="C605">
        <v>51.487092279999999</v>
      </c>
      <c r="D605">
        <v>-7.5604320000000003E-2</v>
      </c>
      <c r="F605">
        <v>5</v>
      </c>
      <c r="G605" t="str">
        <f>IFERROR(VLOOKUP(B605, Data!H:H, 1, FALSE), "")</f>
        <v/>
      </c>
    </row>
    <row r="606" spans="1:7" x14ac:dyDescent="0.25">
      <c r="A606" t="s">
        <v>1755</v>
      </c>
      <c r="B606" t="s">
        <v>2939</v>
      </c>
      <c r="C606">
        <v>51.484641920000001</v>
      </c>
      <c r="D606">
        <v>-6.879362E-2</v>
      </c>
      <c r="F606">
        <v>10</v>
      </c>
      <c r="G606" t="str">
        <f>IFERROR(VLOOKUP(B606, Data!H:H, 1, FALSE), "")</f>
        <v/>
      </c>
    </row>
    <row r="607" spans="1:7" x14ac:dyDescent="0.25">
      <c r="A607" t="s">
        <v>1756</v>
      </c>
      <c r="B607" t="s">
        <v>2937</v>
      </c>
      <c r="C607">
        <v>51.484472659999902</v>
      </c>
      <c r="D607">
        <v>-7.6250180000000001E-2</v>
      </c>
      <c r="F607">
        <v>5</v>
      </c>
      <c r="G607" t="str">
        <f>IFERROR(VLOOKUP(B607, Data!H:H, 1, FALSE), "")</f>
        <v/>
      </c>
    </row>
    <row r="608" spans="1:7" x14ac:dyDescent="0.25">
      <c r="A608" t="s">
        <v>1375</v>
      </c>
      <c r="B608" t="s">
        <v>2937</v>
      </c>
      <c r="C608">
        <v>51.480264099999999</v>
      </c>
      <c r="D608">
        <v>-7.0469680000000007E-2</v>
      </c>
      <c r="F608">
        <v>5</v>
      </c>
      <c r="G608" t="str">
        <f>IFERROR(VLOOKUP(B608, Data!H:H, 1, FALSE), "")</f>
        <v/>
      </c>
    </row>
    <row r="609" spans="1:7" x14ac:dyDescent="0.25">
      <c r="A609" t="s">
        <v>1757</v>
      </c>
      <c r="B609" t="s">
        <v>2940</v>
      </c>
      <c r="C609">
        <v>51.501303959999902</v>
      </c>
      <c r="D609">
        <v>-9.278749E-2</v>
      </c>
      <c r="E609" t="s">
        <v>1206</v>
      </c>
      <c r="F609">
        <v>10</v>
      </c>
      <c r="G609" t="str">
        <f>IFERROR(VLOOKUP(B609, Data!H:H, 1, FALSE), "")</f>
        <v/>
      </c>
    </row>
    <row r="610" spans="1:7" x14ac:dyDescent="0.25">
      <c r="A610" t="s">
        <v>1758</v>
      </c>
      <c r="B610" t="s">
        <v>2941</v>
      </c>
      <c r="C610">
        <v>51.465633459999999</v>
      </c>
      <c r="D610">
        <v>-7.783872E-2</v>
      </c>
      <c r="F610">
        <v>5</v>
      </c>
      <c r="G610" t="str">
        <f>IFERROR(VLOOKUP(B610, Data!H:H, 1, FALSE), "")</f>
        <v/>
      </c>
    </row>
    <row r="611" spans="1:7" x14ac:dyDescent="0.25">
      <c r="A611" t="s">
        <v>1759</v>
      </c>
      <c r="B611" t="s">
        <v>2767</v>
      </c>
      <c r="C611">
        <v>51.495179139999998</v>
      </c>
      <c r="D611">
        <v>-0.13561714</v>
      </c>
      <c r="E611" t="s">
        <v>1206</v>
      </c>
      <c r="F611">
        <v>5</v>
      </c>
      <c r="G611" t="str">
        <f>IFERROR(VLOOKUP(B611, Data!H:H, 1, FALSE), "")</f>
        <v/>
      </c>
    </row>
    <row r="612" spans="1:7" x14ac:dyDescent="0.25">
      <c r="A612" t="s">
        <v>1760</v>
      </c>
      <c r="B612" t="s">
        <v>2942</v>
      </c>
      <c r="C612">
        <v>51.519382737499903</v>
      </c>
      <c r="D612">
        <v>-0.11231403750000001</v>
      </c>
      <c r="E612" t="s">
        <v>1206</v>
      </c>
      <c r="F612">
        <v>8</v>
      </c>
      <c r="G612" t="str">
        <f>IFERROR(VLOOKUP(B612, Data!H:H, 1, FALSE), "")</f>
        <v/>
      </c>
    </row>
    <row r="613" spans="1:7" x14ac:dyDescent="0.25">
      <c r="A613" t="s">
        <v>1761</v>
      </c>
      <c r="B613" t="s">
        <v>2943</v>
      </c>
      <c r="C613">
        <v>51.5787953529411</v>
      </c>
      <c r="D613">
        <v>-0.23599878823529399</v>
      </c>
      <c r="E613" t="s">
        <v>1206</v>
      </c>
      <c r="F613">
        <v>17</v>
      </c>
      <c r="G613" t="str">
        <f>IFERROR(VLOOKUP(B613, Data!H:H, 1, FALSE), "")</f>
        <v/>
      </c>
    </row>
    <row r="614" spans="1:7" x14ac:dyDescent="0.25">
      <c r="A614" t="s">
        <v>1762</v>
      </c>
      <c r="B614" t="s">
        <v>2944</v>
      </c>
      <c r="C614">
        <v>51.613061360000003</v>
      </c>
      <c r="D614">
        <v>-0.22250990000000001</v>
      </c>
      <c r="F614">
        <v>5</v>
      </c>
      <c r="G614" t="str">
        <f>IFERROR(VLOOKUP(B614, Data!H:H, 1, FALSE), "")</f>
        <v/>
      </c>
    </row>
    <row r="615" spans="1:7" x14ac:dyDescent="0.25">
      <c r="A615" t="s">
        <v>1547</v>
      </c>
      <c r="B615" t="s">
        <v>2945</v>
      </c>
      <c r="C615">
        <v>51.620639554545399</v>
      </c>
      <c r="D615">
        <v>-0.23129887272727201</v>
      </c>
      <c r="F615">
        <v>11</v>
      </c>
      <c r="G615" t="str">
        <f>IFERROR(VLOOKUP(B615, Data!H:H, 1, FALSE), "")</f>
        <v/>
      </c>
    </row>
    <row r="616" spans="1:7" x14ac:dyDescent="0.25">
      <c r="A616" t="s">
        <v>1257</v>
      </c>
      <c r="B616" t="s">
        <v>2946</v>
      </c>
      <c r="C616">
        <v>51.5280452133333</v>
      </c>
      <c r="D616">
        <v>-0.21532226666666601</v>
      </c>
      <c r="E616" t="s">
        <v>1206</v>
      </c>
      <c r="F616">
        <v>15</v>
      </c>
      <c r="G616" t="str">
        <f>IFERROR(VLOOKUP(B616, Data!H:H, 1, FALSE), "")</f>
        <v/>
      </c>
    </row>
    <row r="617" spans="1:7" x14ac:dyDescent="0.25">
      <c r="A617" t="s">
        <v>1763</v>
      </c>
      <c r="B617" t="s">
        <v>2947</v>
      </c>
      <c r="C617">
        <v>51.528510955555497</v>
      </c>
      <c r="D617">
        <v>-0.20528978888888799</v>
      </c>
      <c r="F617">
        <v>9</v>
      </c>
      <c r="G617" t="str">
        <f>IFERROR(VLOOKUP(B617, Data!H:H, 1, FALSE), "")</f>
        <v/>
      </c>
    </row>
    <row r="618" spans="1:7" x14ac:dyDescent="0.25">
      <c r="A618" t="s">
        <v>1344</v>
      </c>
      <c r="B618" t="s">
        <v>2948</v>
      </c>
      <c r="C618">
        <v>51.562664884615302</v>
      </c>
      <c r="D618">
        <v>-0.15101940769230701</v>
      </c>
      <c r="F618">
        <v>13</v>
      </c>
      <c r="G618" t="str">
        <f>IFERROR(VLOOKUP(B618, Data!H:H, 1, FALSE), "")</f>
        <v/>
      </c>
    </row>
    <row r="619" spans="1:7" x14ac:dyDescent="0.25">
      <c r="A619" t="s">
        <v>1764</v>
      </c>
      <c r="B619" t="s">
        <v>2949</v>
      </c>
      <c r="C619">
        <v>51.563788263157797</v>
      </c>
      <c r="D619">
        <v>-0.130223415789473</v>
      </c>
      <c r="F619">
        <v>19</v>
      </c>
      <c r="G619" t="str">
        <f>IFERROR(VLOOKUP(B619, Data!H:H, 1, FALSE), "")</f>
        <v/>
      </c>
    </row>
    <row r="620" spans="1:7" x14ac:dyDescent="0.25">
      <c r="A620" t="s">
        <v>1765</v>
      </c>
      <c r="B620" t="s">
        <v>2950</v>
      </c>
      <c r="C620">
        <v>51.564675619047598</v>
      </c>
      <c r="D620">
        <v>-0.131464704761904</v>
      </c>
      <c r="F620">
        <v>21</v>
      </c>
      <c r="G620" t="str">
        <f>IFERROR(VLOOKUP(B620, Data!H:H, 1, FALSE), "")</f>
        <v/>
      </c>
    </row>
    <row r="621" spans="1:7" x14ac:dyDescent="0.25">
      <c r="A621" t="s">
        <v>1283</v>
      </c>
      <c r="B621" t="s">
        <v>2951</v>
      </c>
      <c r="C621">
        <v>51.506231090908997</v>
      </c>
      <c r="D621">
        <v>-0.105137599999999</v>
      </c>
      <c r="E621" t="s">
        <v>1206</v>
      </c>
      <c r="F621">
        <v>11</v>
      </c>
      <c r="G621" t="str">
        <f>IFERROR(VLOOKUP(B621, Data!H:H, 1, FALSE), "")</f>
        <v/>
      </c>
    </row>
    <row r="622" spans="1:7" x14ac:dyDescent="0.25">
      <c r="A622" t="s">
        <v>718</v>
      </c>
      <c r="B622" t="s">
        <v>2952</v>
      </c>
      <c r="C622">
        <v>51.59769472</v>
      </c>
      <c r="D622">
        <v>-0.14231168</v>
      </c>
      <c r="E622" t="s">
        <v>1206</v>
      </c>
      <c r="F622">
        <v>5</v>
      </c>
      <c r="G622" t="str">
        <f>IFERROR(VLOOKUP(B622, Data!H:H, 1, FALSE), "")</f>
        <v/>
      </c>
    </row>
    <row r="623" spans="1:7" x14ac:dyDescent="0.25">
      <c r="A623" t="s">
        <v>1766</v>
      </c>
      <c r="B623" t="s">
        <v>2953</v>
      </c>
      <c r="C623">
        <v>51.5943515857142</v>
      </c>
      <c r="D623">
        <v>-0.14667749999999999</v>
      </c>
      <c r="F623">
        <v>14</v>
      </c>
      <c r="G623" t="str">
        <f>IFERROR(VLOOKUP(B623, Data!H:H, 1, FALSE), "")</f>
        <v/>
      </c>
    </row>
    <row r="624" spans="1:7" x14ac:dyDescent="0.25">
      <c r="A624" t="s">
        <v>1767</v>
      </c>
      <c r="B624" t="s">
        <v>2954</v>
      </c>
      <c r="C624">
        <v>51.5852846777777</v>
      </c>
      <c r="D624">
        <v>-0.21993106666666601</v>
      </c>
      <c r="E624" t="s">
        <v>1206</v>
      </c>
      <c r="F624">
        <v>9</v>
      </c>
      <c r="G624" t="str">
        <f>IFERROR(VLOOKUP(B624, Data!H:H, 1, FALSE), "")</f>
        <v/>
      </c>
    </row>
    <row r="625" spans="1:7" x14ac:dyDescent="0.25">
      <c r="A625" t="s">
        <v>1241</v>
      </c>
      <c r="B625" t="s">
        <v>2955</v>
      </c>
      <c r="C625">
        <v>51.59493672</v>
      </c>
      <c r="D625">
        <v>-0.104552386666666</v>
      </c>
      <c r="E625" t="s">
        <v>1206</v>
      </c>
      <c r="F625">
        <v>15</v>
      </c>
      <c r="G625" t="str">
        <f>IFERROR(VLOOKUP(B625, Data!H:H, 1, FALSE), "")</f>
        <v/>
      </c>
    </row>
    <row r="626" spans="1:7" x14ac:dyDescent="0.25">
      <c r="A626" t="s">
        <v>1768</v>
      </c>
      <c r="B626" t="s">
        <v>2808</v>
      </c>
      <c r="C626">
        <v>51.602189642105202</v>
      </c>
      <c r="D626">
        <v>-6.3803968421052598E-2</v>
      </c>
      <c r="E626" t="s">
        <v>1206</v>
      </c>
      <c r="F626">
        <v>19</v>
      </c>
      <c r="G626" t="str">
        <f>IFERROR(VLOOKUP(B626, Data!H:H, 1, FALSE), "")</f>
        <v/>
      </c>
    </row>
    <row r="627" spans="1:7" x14ac:dyDescent="0.25">
      <c r="A627" t="s">
        <v>1769</v>
      </c>
      <c r="B627" t="s">
        <v>2956</v>
      </c>
      <c r="C627">
        <v>51.587791224999897</v>
      </c>
      <c r="D627">
        <v>-7.0065462499999995E-2</v>
      </c>
      <c r="F627">
        <v>8</v>
      </c>
      <c r="G627" t="str">
        <f>IFERROR(VLOOKUP(B627, Data!H:H, 1, FALSE), "")</f>
        <v/>
      </c>
    </row>
    <row r="628" spans="1:7" x14ac:dyDescent="0.25">
      <c r="A628" t="s">
        <v>1770</v>
      </c>
      <c r="B628" t="s">
        <v>2957</v>
      </c>
      <c r="C628">
        <v>51.616841620000002</v>
      </c>
      <c r="D628">
        <v>-8.0554280000000006E-2</v>
      </c>
      <c r="F628">
        <v>5</v>
      </c>
      <c r="G628" t="str">
        <f>IFERROR(VLOOKUP(B628, Data!H:H, 1, FALSE), "")</f>
        <v/>
      </c>
    </row>
    <row r="629" spans="1:7" x14ac:dyDescent="0.25">
      <c r="A629" t="s">
        <v>1771</v>
      </c>
      <c r="B629" t="s">
        <v>2958</v>
      </c>
      <c r="C629">
        <v>51.559965322222197</v>
      </c>
      <c r="D629">
        <v>-7.3468699999999998E-2</v>
      </c>
      <c r="F629">
        <v>9</v>
      </c>
      <c r="G629" t="str">
        <f>IFERROR(VLOOKUP(B629, Data!H:H, 1, FALSE), "")</f>
        <v/>
      </c>
    </row>
    <row r="630" spans="1:7" x14ac:dyDescent="0.25">
      <c r="A630" t="s">
        <v>1772</v>
      </c>
      <c r="B630" t="s">
        <v>2959</v>
      </c>
      <c r="C630">
        <v>51.567075860000003</v>
      </c>
      <c r="D630">
        <v>-7.0826979999999998E-2</v>
      </c>
      <c r="F630">
        <v>5</v>
      </c>
      <c r="G630" t="str">
        <f>IFERROR(VLOOKUP(B630, Data!H:H, 1, FALSE), "")</f>
        <v/>
      </c>
    </row>
    <row r="631" spans="1:7" x14ac:dyDescent="0.25">
      <c r="A631" t="s">
        <v>1773</v>
      </c>
      <c r="B631" t="s">
        <v>2960</v>
      </c>
      <c r="C631">
        <v>51.573388020000003</v>
      </c>
      <c r="D631">
        <v>-6.6720039999999994E-2</v>
      </c>
      <c r="F631">
        <v>5</v>
      </c>
      <c r="G631" t="str">
        <f>IFERROR(VLOOKUP(B631, Data!H:H, 1, FALSE), "")</f>
        <v/>
      </c>
    </row>
    <row r="632" spans="1:7" x14ac:dyDescent="0.25">
      <c r="A632" t="s">
        <v>1774</v>
      </c>
      <c r="B632" t="s">
        <v>2961</v>
      </c>
      <c r="C632">
        <v>51.576399979999998</v>
      </c>
      <c r="D632">
        <v>-6.9540679999999994E-2</v>
      </c>
      <c r="F632">
        <v>5</v>
      </c>
      <c r="G632" t="str">
        <f>IFERROR(VLOOKUP(B632, Data!H:H, 1, FALSE), "")</f>
        <v/>
      </c>
    </row>
    <row r="633" spans="1:7" x14ac:dyDescent="0.25">
      <c r="A633" t="s">
        <v>1775</v>
      </c>
      <c r="B633" t="s">
        <v>251</v>
      </c>
      <c r="C633">
        <v>51.5318130705882</v>
      </c>
      <c r="D633">
        <v>-4.7834799999999997E-2</v>
      </c>
      <c r="E633" t="s">
        <v>1206</v>
      </c>
      <c r="F633">
        <v>17</v>
      </c>
    </row>
    <row r="634" spans="1:7" x14ac:dyDescent="0.25">
      <c r="A634" t="s">
        <v>1776</v>
      </c>
      <c r="B634" t="s">
        <v>2962</v>
      </c>
      <c r="C634">
        <v>51.486724420000002</v>
      </c>
      <c r="D634">
        <v>-6.9728440000000003E-2</v>
      </c>
      <c r="E634" t="s">
        <v>1206</v>
      </c>
      <c r="F634">
        <v>5</v>
      </c>
      <c r="G634" t="str">
        <f>IFERROR(VLOOKUP(B634, Data!H:H, 1, FALSE), "")</f>
        <v/>
      </c>
    </row>
    <row r="635" spans="1:7" x14ac:dyDescent="0.25">
      <c r="A635" t="s">
        <v>1777</v>
      </c>
      <c r="B635" t="s">
        <v>2963</v>
      </c>
      <c r="C635">
        <v>51.546927166666599</v>
      </c>
      <c r="D635">
        <v>-0.231598213333333</v>
      </c>
      <c r="E635" t="s">
        <v>1206</v>
      </c>
      <c r="F635">
        <v>15</v>
      </c>
      <c r="G635" t="str">
        <f>IFERROR(VLOOKUP(B635, Data!H:H, 1, FALSE), "")</f>
        <v/>
      </c>
    </row>
    <row r="636" spans="1:7" x14ac:dyDescent="0.25">
      <c r="A636" t="s">
        <v>1778</v>
      </c>
      <c r="B636" t="s">
        <v>2964</v>
      </c>
      <c r="C636">
        <v>51.546213699999903</v>
      </c>
      <c r="D636">
        <v>-0.22490433200000001</v>
      </c>
      <c r="F636">
        <v>25</v>
      </c>
      <c r="G636" t="str">
        <f>IFERROR(VLOOKUP(B636, Data!H:H, 1, FALSE), "")</f>
        <v/>
      </c>
    </row>
    <row r="637" spans="1:7" x14ac:dyDescent="0.25">
      <c r="A637" t="s">
        <v>1779</v>
      </c>
      <c r="B637" t="s">
        <v>2965</v>
      </c>
      <c r="C637">
        <v>51.546612415384601</v>
      </c>
      <c r="D637">
        <v>-0.222594615384615</v>
      </c>
      <c r="F637">
        <v>13</v>
      </c>
      <c r="G637" t="str">
        <f>IFERROR(VLOOKUP(B637, Data!H:H, 1, FALSE), "")</f>
        <v/>
      </c>
    </row>
    <row r="638" spans="1:7" x14ac:dyDescent="0.25">
      <c r="A638" t="s">
        <v>1780</v>
      </c>
      <c r="B638" t="s">
        <v>2966</v>
      </c>
      <c r="C638">
        <v>51.543735599999998</v>
      </c>
      <c r="D638">
        <v>-0.21062004666666601</v>
      </c>
      <c r="E638" t="s">
        <v>1206</v>
      </c>
      <c r="F638">
        <v>15</v>
      </c>
      <c r="G638" t="str">
        <f>IFERROR(VLOOKUP(B638, Data!H:H, 1, FALSE), "")</f>
        <v/>
      </c>
    </row>
    <row r="639" spans="1:7" x14ac:dyDescent="0.25">
      <c r="A639" t="s">
        <v>1781</v>
      </c>
      <c r="B639" t="s">
        <v>2967</v>
      </c>
      <c r="C639">
        <v>51.538608726086899</v>
      </c>
      <c r="D639">
        <v>-0.20734622173913</v>
      </c>
      <c r="F639">
        <v>23</v>
      </c>
      <c r="G639" t="str">
        <f>IFERROR(VLOOKUP(B639, Data!H:H, 1, FALSE), "")</f>
        <v/>
      </c>
    </row>
    <row r="640" spans="1:7" x14ac:dyDescent="0.25">
      <c r="A640" t="s">
        <v>1639</v>
      </c>
      <c r="B640" t="s">
        <v>2968</v>
      </c>
      <c r="C640">
        <v>51.5208356931034</v>
      </c>
      <c r="D640">
        <v>-0.21159786896551699</v>
      </c>
      <c r="E640" t="s">
        <v>1206</v>
      </c>
      <c r="F640">
        <v>29</v>
      </c>
      <c r="G640" t="str">
        <f>IFERROR(VLOOKUP(B640, Data!H:H, 1, FALSE), "")</f>
        <v/>
      </c>
    </row>
    <row r="641" spans="1:7" x14ac:dyDescent="0.25">
      <c r="A641" t="s">
        <v>1782</v>
      </c>
      <c r="B641" t="s">
        <v>2969</v>
      </c>
      <c r="C641">
        <v>51.525922166666597</v>
      </c>
      <c r="D641">
        <v>-0.20965583333333301</v>
      </c>
      <c r="E641" t="s">
        <v>1206</v>
      </c>
      <c r="F641">
        <v>9</v>
      </c>
      <c r="G641" t="str">
        <f>IFERROR(VLOOKUP(B641, Data!H:H, 1, FALSE), "")</f>
        <v/>
      </c>
    </row>
    <row r="642" spans="1:7" x14ac:dyDescent="0.25">
      <c r="A642" t="s">
        <v>1783</v>
      </c>
      <c r="B642" t="s">
        <v>2970</v>
      </c>
      <c r="C642">
        <v>51.607313519999998</v>
      </c>
      <c r="D642">
        <v>-0.11046274</v>
      </c>
      <c r="F642">
        <v>5</v>
      </c>
      <c r="G642" t="str">
        <f>IFERROR(VLOOKUP(B642, Data!H:H, 1, FALSE), "")</f>
        <v/>
      </c>
    </row>
    <row r="643" spans="1:7" x14ac:dyDescent="0.25">
      <c r="A643" t="s">
        <v>1784</v>
      </c>
      <c r="B643" t="s">
        <v>2971</v>
      </c>
      <c r="C643">
        <v>51.609740559999999</v>
      </c>
      <c r="D643">
        <v>-0.11460181999999999</v>
      </c>
      <c r="E643" t="s">
        <v>1206</v>
      </c>
      <c r="F643">
        <v>5</v>
      </c>
      <c r="G643" t="str">
        <f>IFERROR(VLOOKUP(B643, Data!H:H, 1, FALSE), "")</f>
        <v/>
      </c>
    </row>
    <row r="644" spans="1:7" x14ac:dyDescent="0.25">
      <c r="A644" t="s">
        <v>1785</v>
      </c>
      <c r="B644" t="s">
        <v>2972</v>
      </c>
      <c r="C644">
        <v>51.609561955555499</v>
      </c>
      <c r="D644">
        <v>2.2393000000000001E-3</v>
      </c>
      <c r="F644">
        <v>9</v>
      </c>
      <c r="G644" t="str">
        <f>IFERROR(VLOOKUP(B644, Data!H:H, 1, FALSE), "")</f>
        <v/>
      </c>
    </row>
    <row r="645" spans="1:7" x14ac:dyDescent="0.25">
      <c r="A645" t="s">
        <v>1786</v>
      </c>
      <c r="B645" t="s">
        <v>2973</v>
      </c>
      <c r="C645">
        <v>51.511702374999899</v>
      </c>
      <c r="D645">
        <v>-0.191142485</v>
      </c>
      <c r="E645" t="s">
        <v>1206</v>
      </c>
      <c r="F645">
        <v>20</v>
      </c>
      <c r="G645" t="str">
        <f>IFERROR(VLOOKUP(B645, Data!H:H, 1, FALSE), "")</f>
        <v/>
      </c>
    </row>
    <row r="646" spans="1:7" x14ac:dyDescent="0.25">
      <c r="A646" t="s">
        <v>1787</v>
      </c>
      <c r="B646" t="s">
        <v>2974</v>
      </c>
      <c r="C646">
        <v>51.506970999999901</v>
      </c>
      <c r="D646">
        <v>-0.19993675909090899</v>
      </c>
      <c r="E646" t="s">
        <v>1206</v>
      </c>
      <c r="F646">
        <v>22</v>
      </c>
      <c r="G646" t="str">
        <f>IFERROR(VLOOKUP(B646, Data!H:H, 1, FALSE), "")</f>
        <v/>
      </c>
    </row>
    <row r="647" spans="1:7" x14ac:dyDescent="0.25">
      <c r="A647" t="s">
        <v>1315</v>
      </c>
      <c r="B647" t="s">
        <v>2975</v>
      </c>
      <c r="C647">
        <v>51.512749871875002</v>
      </c>
      <c r="D647">
        <v>-0.20263218750000001</v>
      </c>
      <c r="E647" t="s">
        <v>1206</v>
      </c>
      <c r="F647">
        <v>32</v>
      </c>
      <c r="G647" t="str">
        <f>IFERROR(VLOOKUP(B647, Data!H:H, 1, FALSE), "")</f>
        <v/>
      </c>
    </row>
    <row r="648" spans="1:7" x14ac:dyDescent="0.25">
      <c r="A648" t="s">
        <v>1788</v>
      </c>
      <c r="B648" t="s">
        <v>2976</v>
      </c>
      <c r="C648">
        <v>51.466961099999999</v>
      </c>
      <c r="D648">
        <v>-6.3814640000000006E-2</v>
      </c>
      <c r="F648">
        <v>5</v>
      </c>
      <c r="G648" t="str">
        <f>IFERROR(VLOOKUP(B648, Data!H:H, 1, FALSE), "")</f>
        <v/>
      </c>
    </row>
    <row r="649" spans="1:7" x14ac:dyDescent="0.25">
      <c r="A649" t="s">
        <v>1789</v>
      </c>
      <c r="B649" t="s">
        <v>2977</v>
      </c>
      <c r="C649">
        <v>51.6086789777777</v>
      </c>
      <c r="D649">
        <v>-0.41475629999999902</v>
      </c>
      <c r="E649" t="s">
        <v>1206</v>
      </c>
      <c r="F649">
        <v>9</v>
      </c>
      <c r="G649" t="str">
        <f>IFERROR(VLOOKUP(B649, Data!H:H, 1, FALSE), "")</f>
        <v/>
      </c>
    </row>
    <row r="650" spans="1:7" x14ac:dyDescent="0.25">
      <c r="A650" t="s">
        <v>1790</v>
      </c>
      <c r="B650" t="s">
        <v>2978</v>
      </c>
      <c r="C650">
        <v>51.489014894736798</v>
      </c>
      <c r="D650">
        <v>-0.104501536842105</v>
      </c>
      <c r="E650" t="s">
        <v>1206</v>
      </c>
      <c r="F650">
        <v>19</v>
      </c>
      <c r="G650" t="str">
        <f>IFERROR(VLOOKUP(B650, Data!H:H, 1, FALSE), "")</f>
        <v/>
      </c>
    </row>
    <row r="651" spans="1:7" x14ac:dyDescent="0.25">
      <c r="A651" t="s">
        <v>1494</v>
      </c>
      <c r="B651" t="s">
        <v>2979</v>
      </c>
      <c r="C651">
        <v>51.643324319999998</v>
      </c>
      <c r="D651">
        <v>-0.10098928</v>
      </c>
      <c r="E651" t="s">
        <v>1206</v>
      </c>
      <c r="F651">
        <v>5</v>
      </c>
      <c r="G651" t="str">
        <f>IFERROR(VLOOKUP(B651, Data!H:H, 1, FALSE), "")</f>
        <v/>
      </c>
    </row>
    <row r="652" spans="1:7" x14ac:dyDescent="0.25">
      <c r="A652" t="s">
        <v>1791</v>
      </c>
      <c r="B652" t="s">
        <v>2980</v>
      </c>
      <c r="C652">
        <v>51.552683299999998</v>
      </c>
      <c r="D652">
        <v>-0.30155006153846098</v>
      </c>
      <c r="E652" t="s">
        <v>1206</v>
      </c>
      <c r="F652">
        <v>13</v>
      </c>
      <c r="G652" t="str">
        <f>IFERROR(VLOOKUP(B652, Data!H:H, 1, FALSE), "")</f>
        <v/>
      </c>
    </row>
    <row r="653" spans="1:7" x14ac:dyDescent="0.25">
      <c r="A653" t="s">
        <v>1792</v>
      </c>
      <c r="B653" t="s">
        <v>2981</v>
      </c>
      <c r="C653">
        <v>51.558448040000002</v>
      </c>
      <c r="D653">
        <v>-0.32404576000000002</v>
      </c>
      <c r="E653" t="s">
        <v>1206</v>
      </c>
      <c r="F653">
        <v>5</v>
      </c>
      <c r="G653" t="str">
        <f>IFERROR(VLOOKUP(B653, Data!H:H, 1, FALSE), "")</f>
        <v/>
      </c>
    </row>
    <row r="654" spans="1:7" x14ac:dyDescent="0.25">
      <c r="A654" t="s">
        <v>1793</v>
      </c>
      <c r="B654" t="s">
        <v>2982</v>
      </c>
      <c r="C654">
        <v>51.54499234</v>
      </c>
      <c r="D654">
        <v>-0.29665903999999998</v>
      </c>
      <c r="F654">
        <v>5</v>
      </c>
      <c r="G654" t="str">
        <f>IFERROR(VLOOKUP(B654, Data!H:H, 1, FALSE), "")</f>
        <v/>
      </c>
    </row>
    <row r="655" spans="1:7" x14ac:dyDescent="0.25">
      <c r="A655" t="s">
        <v>1794</v>
      </c>
      <c r="B655" t="s">
        <v>2983</v>
      </c>
      <c r="C655">
        <v>51.542812479999903</v>
      </c>
      <c r="D655">
        <v>-0.29377174</v>
      </c>
      <c r="E655" t="s">
        <v>1206</v>
      </c>
      <c r="F655">
        <v>5</v>
      </c>
      <c r="G655" t="str">
        <f>IFERROR(VLOOKUP(B655, Data!H:H, 1, FALSE), "")</f>
        <v/>
      </c>
    </row>
    <row r="656" spans="1:7" x14ac:dyDescent="0.25">
      <c r="A656" t="s">
        <v>1795</v>
      </c>
      <c r="B656" t="s">
        <v>2984</v>
      </c>
      <c r="C656">
        <v>51.567878499999999</v>
      </c>
      <c r="D656">
        <v>-0.34297889230769202</v>
      </c>
      <c r="E656" t="s">
        <v>1206</v>
      </c>
      <c r="F656">
        <v>13</v>
      </c>
      <c r="G656" t="str">
        <f>IFERROR(VLOOKUP(B656, Data!H:H, 1, FALSE), "")</f>
        <v/>
      </c>
    </row>
    <row r="657" spans="1:7" x14ac:dyDescent="0.25">
      <c r="A657" t="s">
        <v>1796</v>
      </c>
      <c r="B657" t="s">
        <v>2985</v>
      </c>
      <c r="C657">
        <v>51.563556060000003</v>
      </c>
      <c r="D657">
        <v>-0.35056061999999999</v>
      </c>
      <c r="F657">
        <v>5</v>
      </c>
      <c r="G657" t="str">
        <f>IFERROR(VLOOKUP(B657, Data!H:H, 1, FALSE), "")</f>
        <v/>
      </c>
    </row>
    <row r="658" spans="1:7" x14ac:dyDescent="0.25">
      <c r="A658" t="s">
        <v>1797</v>
      </c>
      <c r="B658" t="s">
        <v>2808</v>
      </c>
      <c r="C658">
        <v>51.490661614285699</v>
      </c>
      <c r="D658">
        <v>-9.5362042857142795E-2</v>
      </c>
      <c r="E658" t="s">
        <v>1206</v>
      </c>
      <c r="F658">
        <v>7</v>
      </c>
      <c r="G658" t="str">
        <f>IFERROR(VLOOKUP(B658, Data!H:H, 1, FALSE), "")</f>
        <v/>
      </c>
    </row>
    <row r="659" spans="1:7" x14ac:dyDescent="0.25">
      <c r="A659" t="s">
        <v>1798</v>
      </c>
      <c r="B659" t="s">
        <v>2986</v>
      </c>
      <c r="C659">
        <v>51.535329400000002</v>
      </c>
      <c r="D659">
        <v>-0.24798118999999999</v>
      </c>
      <c r="E659" t="s">
        <v>1206</v>
      </c>
      <c r="F659">
        <v>10</v>
      </c>
      <c r="G659" t="str">
        <f>IFERROR(VLOOKUP(B659, Data!H:H, 1, FALSE), "")</f>
        <v/>
      </c>
    </row>
    <row r="660" spans="1:7" x14ac:dyDescent="0.25">
      <c r="A660" t="s">
        <v>1799</v>
      </c>
      <c r="B660" t="s">
        <v>2987</v>
      </c>
      <c r="C660">
        <v>51.541747260000001</v>
      </c>
      <c r="D660">
        <v>-0.24881261999999901</v>
      </c>
      <c r="E660" t="s">
        <v>1206</v>
      </c>
      <c r="F660">
        <v>5</v>
      </c>
      <c r="G660" t="str">
        <f>IFERROR(VLOOKUP(B660, Data!H:H, 1, FALSE), "")</f>
        <v/>
      </c>
    </row>
    <row r="661" spans="1:7" x14ac:dyDescent="0.25">
      <c r="A661" t="s">
        <v>1283</v>
      </c>
      <c r="B661" t="s">
        <v>2988</v>
      </c>
      <c r="C661">
        <v>51.497601947368402</v>
      </c>
      <c r="D661">
        <v>-0.186471568421052</v>
      </c>
      <c r="E661" t="s">
        <v>1206</v>
      </c>
      <c r="F661">
        <v>19</v>
      </c>
      <c r="G661" t="str">
        <f>IFERROR(VLOOKUP(B661, Data!H:H, 1, FALSE), "")</f>
        <v/>
      </c>
    </row>
    <row r="662" spans="1:7" x14ac:dyDescent="0.25">
      <c r="A662" t="s">
        <v>1800</v>
      </c>
      <c r="B662" t="s">
        <v>2989</v>
      </c>
      <c r="C662">
        <v>51.495680849999999</v>
      </c>
      <c r="D662">
        <v>-0.18358721250000001</v>
      </c>
      <c r="E662" t="s">
        <v>1206</v>
      </c>
      <c r="F662">
        <v>16</v>
      </c>
      <c r="G662" t="str">
        <f>IFERROR(VLOOKUP(B662, Data!H:H, 1, FALSE), "")</f>
        <v/>
      </c>
    </row>
    <row r="663" spans="1:7" x14ac:dyDescent="0.25">
      <c r="A663" t="s">
        <v>1801</v>
      </c>
      <c r="B663" t="s">
        <v>2990</v>
      </c>
      <c r="C663">
        <v>51.493422783333301</v>
      </c>
      <c r="D663">
        <v>-0.18754186111111101</v>
      </c>
      <c r="E663" t="s">
        <v>1206</v>
      </c>
      <c r="F663">
        <v>18</v>
      </c>
      <c r="G663" t="str">
        <f>IFERROR(VLOOKUP(B663, Data!H:H, 1, FALSE), "")</f>
        <v/>
      </c>
    </row>
    <row r="664" spans="1:7" x14ac:dyDescent="0.25">
      <c r="A664" t="s">
        <v>1607</v>
      </c>
      <c r="B664" t="s">
        <v>2991</v>
      </c>
      <c r="C664">
        <v>51.487748320000001</v>
      </c>
      <c r="D664">
        <v>-0.18938833999999999</v>
      </c>
      <c r="E664" t="s">
        <v>1206</v>
      </c>
      <c r="F664">
        <v>5</v>
      </c>
      <c r="G664" t="str">
        <f>IFERROR(VLOOKUP(B664, Data!H:H, 1, FALSE), "")</f>
        <v/>
      </c>
    </row>
    <row r="665" spans="1:7" x14ac:dyDescent="0.25">
      <c r="A665" t="s">
        <v>1802</v>
      </c>
      <c r="B665" t="s">
        <v>2579</v>
      </c>
      <c r="C665">
        <v>51.488580194999997</v>
      </c>
      <c r="D665">
        <v>-8.1879960000000002E-2</v>
      </c>
      <c r="F665">
        <v>20</v>
      </c>
      <c r="G665" t="str">
        <f>IFERROR(VLOOKUP(B665, Data!H:H, 1, FALSE), "")</f>
        <v/>
      </c>
    </row>
    <row r="666" spans="1:7" x14ac:dyDescent="0.25">
      <c r="A666" t="s">
        <v>1803</v>
      </c>
      <c r="B666" t="s">
        <v>2992</v>
      </c>
      <c r="C666">
        <v>51.521375929411697</v>
      </c>
      <c r="D666">
        <v>-0.15571505294117599</v>
      </c>
      <c r="F666">
        <v>17</v>
      </c>
      <c r="G666" t="str">
        <f>IFERROR(VLOOKUP(B666, Data!H:H, 1, FALSE), "")</f>
        <v/>
      </c>
    </row>
    <row r="667" spans="1:7" x14ac:dyDescent="0.25">
      <c r="A667" t="s">
        <v>1804</v>
      </c>
      <c r="B667" t="s">
        <v>2993</v>
      </c>
      <c r="C667">
        <v>51.522582203225802</v>
      </c>
      <c r="D667">
        <v>-0.15232357096774099</v>
      </c>
      <c r="F667">
        <v>31</v>
      </c>
      <c r="G667" t="str">
        <f>IFERROR(VLOOKUP(B667, Data!H:H, 1, FALSE), "")</f>
        <v/>
      </c>
    </row>
    <row r="668" spans="1:7" x14ac:dyDescent="0.25">
      <c r="A668" t="s">
        <v>1805</v>
      </c>
      <c r="B668" t="s">
        <v>2994</v>
      </c>
      <c r="C668">
        <v>51.587719800000002</v>
      </c>
      <c r="D668">
        <v>-7.8376020000000005E-2</v>
      </c>
      <c r="F668">
        <v>5</v>
      </c>
      <c r="G668" t="str">
        <f>IFERROR(VLOOKUP(B668, Data!H:H, 1, FALSE), "")</f>
        <v/>
      </c>
    </row>
    <row r="669" spans="1:7" x14ac:dyDescent="0.25">
      <c r="A669" t="s">
        <v>1806</v>
      </c>
      <c r="B669" t="s">
        <v>2995</v>
      </c>
      <c r="C669">
        <v>51.614460799999897</v>
      </c>
      <c r="D669">
        <v>-6.0586620000000001E-2</v>
      </c>
      <c r="F669">
        <v>5</v>
      </c>
      <c r="G669" t="str">
        <f>IFERROR(VLOOKUP(B669, Data!H:H, 1, FALSE), "")</f>
        <v/>
      </c>
    </row>
    <row r="670" spans="1:7" x14ac:dyDescent="0.25">
      <c r="A670" t="s">
        <v>1207</v>
      </c>
      <c r="B670" t="s">
        <v>2996</v>
      </c>
      <c r="C670">
        <v>51.61831308</v>
      </c>
      <c r="D670">
        <v>-6.2375600000000003E-2</v>
      </c>
      <c r="E670" t="s">
        <v>1206</v>
      </c>
      <c r="F670">
        <v>5</v>
      </c>
      <c r="G670" t="str">
        <f>IFERROR(VLOOKUP(B670, Data!H:H, 1, FALSE), "")</f>
        <v/>
      </c>
    </row>
    <row r="671" spans="1:7" x14ac:dyDescent="0.25">
      <c r="A671" t="s">
        <v>1807</v>
      </c>
      <c r="B671" t="s">
        <v>2808</v>
      </c>
      <c r="C671">
        <v>51.629875657142797</v>
      </c>
      <c r="D671">
        <v>-6.2123628571428502E-2</v>
      </c>
      <c r="F671">
        <v>7</v>
      </c>
      <c r="G671" t="str">
        <f>IFERROR(VLOOKUP(B671, Data!H:H, 1, FALSE), "")</f>
        <v/>
      </c>
    </row>
    <row r="672" spans="1:7" x14ac:dyDescent="0.25">
      <c r="A672" t="s">
        <v>1808</v>
      </c>
      <c r="B672" t="s">
        <v>2997</v>
      </c>
      <c r="C672">
        <v>51.628535339999999</v>
      </c>
      <c r="D672">
        <v>-5.0563700000000003E-2</v>
      </c>
      <c r="E672" t="s">
        <v>1206</v>
      </c>
      <c r="F672">
        <v>5</v>
      </c>
      <c r="G672" t="str">
        <f>IFERROR(VLOOKUP(B672, Data!H:H, 1, FALSE), "")</f>
        <v/>
      </c>
    </row>
    <row r="673" spans="1:7" x14ac:dyDescent="0.25">
      <c r="A673" t="s">
        <v>1809</v>
      </c>
      <c r="B673" t="s">
        <v>2998</v>
      </c>
      <c r="C673">
        <v>51.587325199999903</v>
      </c>
      <c r="D673">
        <v>-0.10919954</v>
      </c>
      <c r="F673">
        <v>5</v>
      </c>
      <c r="G673" t="str">
        <f>IFERROR(VLOOKUP(B673, Data!H:H, 1, FALSE), "")</f>
        <v/>
      </c>
    </row>
    <row r="674" spans="1:7" x14ac:dyDescent="0.25">
      <c r="A674" t="s">
        <v>1810</v>
      </c>
      <c r="B674" t="s">
        <v>2999</v>
      </c>
      <c r="C674">
        <v>51.588542480000001</v>
      </c>
      <c r="D674">
        <v>-9.7425239999999996E-2</v>
      </c>
      <c r="E674" t="s">
        <v>1206</v>
      </c>
      <c r="F674">
        <v>5</v>
      </c>
      <c r="G674" t="str">
        <f>IFERROR(VLOOKUP(B674, Data!H:H, 1, FALSE), "")</f>
        <v/>
      </c>
    </row>
    <row r="675" spans="1:7" x14ac:dyDescent="0.25">
      <c r="A675" t="s">
        <v>1811</v>
      </c>
      <c r="B675" t="s">
        <v>3000</v>
      </c>
      <c r="C675">
        <v>51.58127786</v>
      </c>
      <c r="D675">
        <v>-8.4390919999999994E-2</v>
      </c>
      <c r="E675" t="s">
        <v>1206</v>
      </c>
      <c r="F675">
        <v>5</v>
      </c>
      <c r="G675" t="str">
        <f>IFERROR(VLOOKUP(B675, Data!H:H, 1, FALSE), "")</f>
        <v/>
      </c>
    </row>
    <row r="676" spans="1:7" x14ac:dyDescent="0.25">
      <c r="A676" t="s">
        <v>1812</v>
      </c>
      <c r="B676" t="s">
        <v>3001</v>
      </c>
      <c r="C676">
        <v>51.570653019999902</v>
      </c>
      <c r="D676">
        <v>-8.0203759999999999E-2</v>
      </c>
      <c r="E676" t="s">
        <v>1206</v>
      </c>
      <c r="F676">
        <v>5</v>
      </c>
      <c r="G676" t="str">
        <f>IFERROR(VLOOKUP(B676, Data!H:H, 1, FALSE), "")</f>
        <v/>
      </c>
    </row>
    <row r="677" spans="1:7" x14ac:dyDescent="0.25">
      <c r="A677" t="s">
        <v>1813</v>
      </c>
      <c r="B677" t="s">
        <v>3002</v>
      </c>
      <c r="C677">
        <v>51.578354539999999</v>
      </c>
      <c r="D677">
        <v>-0.10389028</v>
      </c>
      <c r="F677">
        <v>5</v>
      </c>
      <c r="G677" t="str">
        <f>IFERROR(VLOOKUP(B677, Data!H:H, 1, FALSE), "")</f>
        <v/>
      </c>
    </row>
    <row r="678" spans="1:7" x14ac:dyDescent="0.25">
      <c r="A678" t="s">
        <v>1814</v>
      </c>
      <c r="B678" t="s">
        <v>2808</v>
      </c>
      <c r="C678">
        <v>51.465684806666602</v>
      </c>
      <c r="D678">
        <v>-5.89289866666666E-2</v>
      </c>
      <c r="F678">
        <v>15</v>
      </c>
      <c r="G678" t="str">
        <f>IFERROR(VLOOKUP(B678, Data!H:H, 1, FALSE), "")</f>
        <v/>
      </c>
    </row>
    <row r="679" spans="1:7" x14ac:dyDescent="0.25">
      <c r="A679" t="s">
        <v>1708</v>
      </c>
      <c r="B679" t="s">
        <v>3003</v>
      </c>
      <c r="C679">
        <v>51.531294493749897</v>
      </c>
      <c r="D679">
        <v>-0.13474620000000001</v>
      </c>
      <c r="E679" t="s">
        <v>1206</v>
      </c>
      <c r="F679">
        <v>16</v>
      </c>
      <c r="G679" t="str">
        <f>IFERROR(VLOOKUP(B679, Data!H:H, 1, FALSE), "")</f>
        <v/>
      </c>
    </row>
    <row r="680" spans="1:7" x14ac:dyDescent="0.25">
      <c r="A680" t="s">
        <v>1815</v>
      </c>
      <c r="B680" t="s">
        <v>3004</v>
      </c>
      <c r="C680">
        <v>51.603331039999901</v>
      </c>
      <c r="D680">
        <v>-0.24577998000000001</v>
      </c>
      <c r="E680" t="s">
        <v>1206</v>
      </c>
      <c r="F680">
        <v>10</v>
      </c>
      <c r="G680" t="str">
        <f>IFERROR(VLOOKUP(B680, Data!H:H, 1, FALSE), "")</f>
        <v/>
      </c>
    </row>
    <row r="681" spans="1:7" x14ac:dyDescent="0.25">
      <c r="A681" t="s">
        <v>1816</v>
      </c>
      <c r="B681" t="s">
        <v>3005</v>
      </c>
      <c r="C681">
        <v>51.61476734</v>
      </c>
      <c r="D681">
        <v>-0.26172221999999901</v>
      </c>
      <c r="E681" t="s">
        <v>1206</v>
      </c>
      <c r="F681">
        <v>5</v>
      </c>
      <c r="G681" t="str">
        <f>IFERROR(VLOOKUP(B681, Data!H:H, 1, FALSE), "")</f>
        <v/>
      </c>
    </row>
    <row r="682" spans="1:7" x14ac:dyDescent="0.25">
      <c r="A682" t="s">
        <v>1639</v>
      </c>
      <c r="B682" t="s">
        <v>3006</v>
      </c>
      <c r="C682">
        <v>51.614858900000002</v>
      </c>
      <c r="D682">
        <v>-0.244392359999999</v>
      </c>
      <c r="E682" t="s">
        <v>1206</v>
      </c>
      <c r="F682">
        <v>5</v>
      </c>
      <c r="G682" t="str">
        <f>IFERROR(VLOOKUP(B682, Data!H:H, 1, FALSE), "")</f>
        <v/>
      </c>
    </row>
    <row r="683" spans="1:7" x14ac:dyDescent="0.25">
      <c r="A683" t="s">
        <v>1817</v>
      </c>
      <c r="B683" t="s">
        <v>3007</v>
      </c>
      <c r="C683">
        <v>51.534548846153797</v>
      </c>
      <c r="D683">
        <v>-0.28658413846153802</v>
      </c>
      <c r="E683" t="s">
        <v>1206</v>
      </c>
      <c r="F683">
        <v>13</v>
      </c>
      <c r="G683" t="str">
        <f>IFERROR(VLOOKUP(B683, Data!H:H, 1, FALSE), "")</f>
        <v/>
      </c>
    </row>
    <row r="684" spans="1:7" x14ac:dyDescent="0.25">
      <c r="A684" t="s">
        <v>1315</v>
      </c>
      <c r="B684" t="s">
        <v>3008</v>
      </c>
      <c r="C684">
        <v>51.522285099999998</v>
      </c>
      <c r="D684">
        <v>-0.30445262000000001</v>
      </c>
      <c r="E684" t="s">
        <v>1206</v>
      </c>
      <c r="F684">
        <v>5</v>
      </c>
      <c r="G684" t="str">
        <f>IFERROR(VLOOKUP(B684, Data!H:H, 1, FALSE), "")</f>
        <v/>
      </c>
    </row>
    <row r="685" spans="1:7" x14ac:dyDescent="0.25">
      <c r="A685" t="s">
        <v>1818</v>
      </c>
      <c r="B685" t="s">
        <v>3009</v>
      </c>
      <c r="C685">
        <v>51.519478772727197</v>
      </c>
      <c r="D685">
        <v>-0.31842034545454501</v>
      </c>
      <c r="E685" t="s">
        <v>1206</v>
      </c>
      <c r="F685">
        <v>11</v>
      </c>
      <c r="G685" t="str">
        <f>IFERROR(VLOOKUP(B685, Data!H:H, 1, FALSE), "")</f>
        <v/>
      </c>
    </row>
    <row r="686" spans="1:7" x14ac:dyDescent="0.25">
      <c r="A686" t="s">
        <v>1819</v>
      </c>
      <c r="B686" t="s">
        <v>3010</v>
      </c>
      <c r="C686">
        <v>51.5167044857142</v>
      </c>
      <c r="D686">
        <v>-0.32269759999999997</v>
      </c>
      <c r="F686">
        <v>7</v>
      </c>
      <c r="G686" t="str">
        <f>IFERROR(VLOOKUP(B686, Data!H:H, 1, FALSE), "")</f>
        <v/>
      </c>
    </row>
    <row r="687" spans="1:7" x14ac:dyDescent="0.25">
      <c r="A687" t="s">
        <v>1820</v>
      </c>
      <c r="B687" t="s">
        <v>3011</v>
      </c>
      <c r="C687">
        <v>51.536220123076902</v>
      </c>
      <c r="D687">
        <v>-0.30939528461538401</v>
      </c>
      <c r="E687" t="s">
        <v>1206</v>
      </c>
      <c r="F687">
        <v>13</v>
      </c>
      <c r="G687" t="str">
        <f>IFERROR(VLOOKUP(B687, Data!H:H, 1, FALSE), "")</f>
        <v/>
      </c>
    </row>
    <row r="688" spans="1:7" x14ac:dyDescent="0.25">
      <c r="A688" t="s">
        <v>1354</v>
      </c>
      <c r="B688" t="s">
        <v>3012</v>
      </c>
      <c r="C688">
        <v>51.477337279999901</v>
      </c>
      <c r="D688">
        <v>-0.14963283999999999</v>
      </c>
      <c r="E688" t="s">
        <v>1206</v>
      </c>
      <c r="F688">
        <v>5</v>
      </c>
      <c r="G688" t="str">
        <f>IFERROR(VLOOKUP(B688, Data!H:H, 1, FALSE), "")</f>
        <v/>
      </c>
    </row>
    <row r="689" spans="1:7" x14ac:dyDescent="0.25">
      <c r="A689" t="s">
        <v>1821</v>
      </c>
      <c r="B689" t="s">
        <v>3013</v>
      </c>
      <c r="C689">
        <v>51.598600840000003</v>
      </c>
      <c r="D689">
        <v>-0.26279127333333302</v>
      </c>
      <c r="E689" t="s">
        <v>1206</v>
      </c>
      <c r="F689">
        <v>15</v>
      </c>
      <c r="G689" t="str">
        <f>IFERROR(VLOOKUP(B689, Data!H:H, 1, FALSE), "")</f>
        <v/>
      </c>
    </row>
    <row r="690" spans="1:7" x14ac:dyDescent="0.25">
      <c r="A690" t="s">
        <v>1822</v>
      </c>
      <c r="B690" t="s">
        <v>3014</v>
      </c>
      <c r="C690">
        <v>51.5167634111111</v>
      </c>
      <c r="D690">
        <v>-0.22277212222222201</v>
      </c>
      <c r="F690">
        <v>9</v>
      </c>
      <c r="G690" t="str">
        <f>IFERROR(VLOOKUP(B690, Data!H:H, 1, FALSE), "")</f>
        <v/>
      </c>
    </row>
    <row r="691" spans="1:7" x14ac:dyDescent="0.25">
      <c r="A691" t="s">
        <v>1823</v>
      </c>
      <c r="B691" t="s">
        <v>3015</v>
      </c>
      <c r="C691">
        <v>51.5188546416666</v>
      </c>
      <c r="D691">
        <v>-0.21797359999999999</v>
      </c>
      <c r="E691" t="s">
        <v>1206</v>
      </c>
      <c r="F691">
        <v>12</v>
      </c>
      <c r="G691" t="str">
        <f>IFERROR(VLOOKUP(B691, Data!H:H, 1, FALSE), "")</f>
        <v/>
      </c>
    </row>
    <row r="692" spans="1:7" x14ac:dyDescent="0.25">
      <c r="A692" t="s">
        <v>1824</v>
      </c>
      <c r="B692" t="s">
        <v>3016</v>
      </c>
      <c r="C692">
        <v>51.515463714285701</v>
      </c>
      <c r="D692">
        <v>-0.16197985714285701</v>
      </c>
      <c r="F692">
        <v>21</v>
      </c>
      <c r="G692" t="str">
        <f>IFERROR(VLOOKUP(B692, Data!H:H, 1, FALSE), "")</f>
        <v/>
      </c>
    </row>
    <row r="693" spans="1:7" x14ac:dyDescent="0.25">
      <c r="A693" t="s">
        <v>1825</v>
      </c>
      <c r="B693" t="s">
        <v>3017</v>
      </c>
      <c r="C693">
        <v>51.514953442857099</v>
      </c>
      <c r="D693">
        <v>-0.15904851428571401</v>
      </c>
      <c r="F693">
        <v>14</v>
      </c>
      <c r="G693" t="str">
        <f>IFERROR(VLOOKUP(B693, Data!H:H, 1, FALSE), "")</f>
        <v/>
      </c>
    </row>
    <row r="694" spans="1:7" x14ac:dyDescent="0.25">
      <c r="A694" t="s">
        <v>1826</v>
      </c>
      <c r="B694" t="s">
        <v>3018</v>
      </c>
      <c r="C694">
        <v>51.514468877777702</v>
      </c>
      <c r="D694">
        <v>-0.15848525555555501</v>
      </c>
      <c r="E694" t="s">
        <v>1206</v>
      </c>
      <c r="F694">
        <v>9</v>
      </c>
      <c r="G694" t="str">
        <f>IFERROR(VLOOKUP(B694, Data!H:H, 1, FALSE), "")</f>
        <v/>
      </c>
    </row>
    <row r="695" spans="1:7" x14ac:dyDescent="0.25">
      <c r="A695" t="s">
        <v>1827</v>
      </c>
      <c r="B695" t="s">
        <v>2808</v>
      </c>
      <c r="C695">
        <v>51.520455535714198</v>
      </c>
      <c r="D695">
        <v>-8.4945892857142796E-2</v>
      </c>
      <c r="F695">
        <v>14</v>
      </c>
      <c r="G695" t="str">
        <f>IFERROR(VLOOKUP(B695, Data!H:H, 1, FALSE), "")</f>
        <v/>
      </c>
    </row>
    <row r="696" spans="1:7" x14ac:dyDescent="0.25">
      <c r="A696" t="s">
        <v>1828</v>
      </c>
      <c r="B696" t="s">
        <v>1187</v>
      </c>
      <c r="C696">
        <v>51.544376360000001</v>
      </c>
      <c r="D696">
        <v>-7.2901060000000004E-2</v>
      </c>
      <c r="E696" t="s">
        <v>1206</v>
      </c>
      <c r="F696">
        <v>5</v>
      </c>
    </row>
    <row r="697" spans="1:7" x14ac:dyDescent="0.25">
      <c r="A697" t="s">
        <v>1829</v>
      </c>
      <c r="B697" t="s">
        <v>3019</v>
      </c>
      <c r="C697">
        <v>51.552870239999997</v>
      </c>
      <c r="D697">
        <v>-7.1384859999999994E-2</v>
      </c>
      <c r="E697" t="s">
        <v>1206</v>
      </c>
      <c r="F697">
        <v>5</v>
      </c>
      <c r="G697" t="str">
        <f>IFERROR(VLOOKUP(B697, Data!H:H, 1, FALSE), "")</f>
        <v/>
      </c>
    </row>
    <row r="698" spans="1:7" x14ac:dyDescent="0.25">
      <c r="A698" t="s">
        <v>1830</v>
      </c>
      <c r="B698" t="s">
        <v>3020</v>
      </c>
      <c r="C698">
        <v>51.550983759999902</v>
      </c>
      <c r="D698">
        <v>-7.3957739999999994E-2</v>
      </c>
      <c r="F698">
        <v>5</v>
      </c>
      <c r="G698" t="str">
        <f>IFERROR(VLOOKUP(B698, Data!H:H, 1, FALSE), "")</f>
        <v/>
      </c>
    </row>
    <row r="699" spans="1:7" x14ac:dyDescent="0.25">
      <c r="A699" t="s">
        <v>1831</v>
      </c>
      <c r="B699" t="s">
        <v>2808</v>
      </c>
      <c r="C699">
        <v>51.5494087583333</v>
      </c>
      <c r="D699">
        <v>-7.0360583333333296E-2</v>
      </c>
      <c r="E699" t="s">
        <v>1206</v>
      </c>
      <c r="F699">
        <v>12</v>
      </c>
      <c r="G699" t="str">
        <f>IFERROR(VLOOKUP(B699, Data!H:H, 1, FALSE), "")</f>
        <v/>
      </c>
    </row>
    <row r="700" spans="1:7" x14ac:dyDescent="0.25">
      <c r="A700" t="s">
        <v>1832</v>
      </c>
      <c r="B700" t="s">
        <v>2808</v>
      </c>
      <c r="C700">
        <v>51.532142638461501</v>
      </c>
      <c r="D700">
        <v>-6.9256061538461505E-2</v>
      </c>
      <c r="E700" t="s">
        <v>1206</v>
      </c>
      <c r="F700">
        <v>13</v>
      </c>
      <c r="G700" t="str">
        <f>IFERROR(VLOOKUP(B700, Data!H:H, 1, FALSE), "")</f>
        <v/>
      </c>
    </row>
    <row r="701" spans="1:7" x14ac:dyDescent="0.25">
      <c r="A701" t="s">
        <v>1833</v>
      </c>
      <c r="B701" t="s">
        <v>2808</v>
      </c>
      <c r="C701">
        <v>51.531676899999901</v>
      </c>
      <c r="D701">
        <v>-7.3407257142857105E-2</v>
      </c>
      <c r="E701" t="s">
        <v>1206</v>
      </c>
      <c r="F701">
        <v>7</v>
      </c>
      <c r="G701" t="str">
        <f>IFERROR(VLOOKUP(B701, Data!H:H, 1, FALSE), "")</f>
        <v/>
      </c>
    </row>
    <row r="702" spans="1:7" x14ac:dyDescent="0.25">
      <c r="A702" t="s">
        <v>1834</v>
      </c>
      <c r="B702" t="s">
        <v>3021</v>
      </c>
      <c r="C702">
        <v>51.483061827999997</v>
      </c>
      <c r="D702">
        <v>-0.171084024</v>
      </c>
      <c r="E702" t="s">
        <v>1206</v>
      </c>
      <c r="F702">
        <v>25</v>
      </c>
      <c r="G702" t="str">
        <f>IFERROR(VLOOKUP(B702, Data!H:H, 1, FALSE), "")</f>
        <v/>
      </c>
    </row>
    <row r="703" spans="1:7" x14ac:dyDescent="0.25">
      <c r="A703" t="s">
        <v>1835</v>
      </c>
      <c r="B703" t="s">
        <v>3022</v>
      </c>
      <c r="C703">
        <v>51.491512690908998</v>
      </c>
      <c r="D703">
        <v>-0.17470618181818101</v>
      </c>
      <c r="E703" t="s">
        <v>1206</v>
      </c>
      <c r="F703">
        <v>11</v>
      </c>
      <c r="G703" t="str">
        <f>IFERROR(VLOOKUP(B703, Data!H:H, 1, FALSE), "")</f>
        <v/>
      </c>
    </row>
    <row r="704" spans="1:7" x14ac:dyDescent="0.25">
      <c r="A704" t="s">
        <v>1836</v>
      </c>
      <c r="B704" t="s">
        <v>3023</v>
      </c>
      <c r="C704">
        <v>51.515446793750002</v>
      </c>
      <c r="D704">
        <v>-8.5662656249999997E-2</v>
      </c>
      <c r="F704">
        <v>16</v>
      </c>
      <c r="G704" t="str">
        <f>IFERROR(VLOOKUP(B704, Data!H:H, 1, FALSE), "")</f>
        <v/>
      </c>
    </row>
    <row r="705" spans="1:7" x14ac:dyDescent="0.25">
      <c r="A705" t="s">
        <v>1209</v>
      </c>
      <c r="B705" t="s">
        <v>3024</v>
      </c>
      <c r="C705">
        <v>51.437707314285703</v>
      </c>
      <c r="D705">
        <v>-0.161912957142857</v>
      </c>
      <c r="E705" t="s">
        <v>1206</v>
      </c>
      <c r="F705">
        <v>7</v>
      </c>
      <c r="G705" t="str">
        <f>IFERROR(VLOOKUP(B705, Data!H:H, 1, FALSE), "")</f>
        <v/>
      </c>
    </row>
    <row r="706" spans="1:7" x14ac:dyDescent="0.25">
      <c r="A706" t="s">
        <v>1837</v>
      </c>
      <c r="B706" t="s">
        <v>3025</v>
      </c>
      <c r="C706">
        <v>51.555581680000003</v>
      </c>
      <c r="D706">
        <v>-0.156974799999999</v>
      </c>
      <c r="E706" t="s">
        <v>1206</v>
      </c>
      <c r="F706">
        <v>5</v>
      </c>
      <c r="G706" t="str">
        <f>IFERROR(VLOOKUP(B706, Data!H:H, 1, FALSE), "")</f>
        <v/>
      </c>
    </row>
    <row r="707" spans="1:7" x14ac:dyDescent="0.25">
      <c r="A707" t="s">
        <v>1838</v>
      </c>
      <c r="B707" t="s">
        <v>3026</v>
      </c>
      <c r="C707">
        <v>51.551881223809502</v>
      </c>
      <c r="D707">
        <v>-0.152806561904761</v>
      </c>
      <c r="E707" t="s">
        <v>1206</v>
      </c>
      <c r="F707">
        <v>21</v>
      </c>
      <c r="G707" t="str">
        <f>IFERROR(VLOOKUP(B707, Data!H:H, 1, FALSE), "")</f>
        <v/>
      </c>
    </row>
    <row r="708" spans="1:7" x14ac:dyDescent="0.25">
      <c r="A708" t="s">
        <v>1237</v>
      </c>
      <c r="B708" t="s">
        <v>3027</v>
      </c>
      <c r="C708">
        <v>51.468895400000001</v>
      </c>
      <c r="D708">
        <v>-0.14028118260869499</v>
      </c>
      <c r="E708" t="s">
        <v>1206</v>
      </c>
      <c r="F708">
        <v>23</v>
      </c>
      <c r="G708" t="str">
        <f>IFERROR(VLOOKUP(B708, Data!H:H, 1, FALSE), "")</f>
        <v/>
      </c>
    </row>
    <row r="709" spans="1:7" x14ac:dyDescent="0.25">
      <c r="A709" t="s">
        <v>1839</v>
      </c>
      <c r="B709" t="s">
        <v>3028</v>
      </c>
      <c r="C709">
        <v>51.465738514285697</v>
      </c>
      <c r="D709">
        <v>-0.14203682857142799</v>
      </c>
      <c r="F709">
        <v>7</v>
      </c>
      <c r="G709" t="str">
        <f>IFERROR(VLOOKUP(B709, Data!H:H, 1, FALSE), "")</f>
        <v/>
      </c>
    </row>
    <row r="710" spans="1:7" x14ac:dyDescent="0.25">
      <c r="A710" t="s">
        <v>1840</v>
      </c>
      <c r="B710" t="s">
        <v>3029</v>
      </c>
      <c r="C710">
        <v>51.463414280000002</v>
      </c>
      <c r="D710">
        <v>-0.13494682</v>
      </c>
      <c r="E710" t="s">
        <v>1206</v>
      </c>
      <c r="F710">
        <v>5</v>
      </c>
      <c r="G710" t="str">
        <f>IFERROR(VLOOKUP(B710, Data!H:H, 1, FALSE), "")</f>
        <v/>
      </c>
    </row>
    <row r="711" spans="1:7" x14ac:dyDescent="0.25">
      <c r="A711" t="s">
        <v>1841</v>
      </c>
      <c r="B711" t="s">
        <v>3030</v>
      </c>
      <c r="C711">
        <v>51.454948699999903</v>
      </c>
      <c r="D711">
        <v>-0.14002290000000001</v>
      </c>
      <c r="E711" t="s">
        <v>1206</v>
      </c>
      <c r="F711">
        <v>5</v>
      </c>
      <c r="G711" t="str">
        <f>IFERROR(VLOOKUP(B711, Data!H:H, 1, FALSE), "")</f>
        <v/>
      </c>
    </row>
    <row r="712" spans="1:7" x14ac:dyDescent="0.25">
      <c r="A712" t="s">
        <v>1842</v>
      </c>
      <c r="B712" t="s">
        <v>3031</v>
      </c>
      <c r="C712">
        <v>51.447319399999998</v>
      </c>
      <c r="D712">
        <v>-0.138983366666666</v>
      </c>
      <c r="E712" t="s">
        <v>1206</v>
      </c>
      <c r="F712">
        <v>6</v>
      </c>
      <c r="G712" t="str">
        <f>IFERROR(VLOOKUP(B712, Data!H:H, 1, FALSE), "")</f>
        <v/>
      </c>
    </row>
    <row r="713" spans="1:7" x14ac:dyDescent="0.25">
      <c r="A713" t="s">
        <v>1843</v>
      </c>
      <c r="B713" t="s">
        <v>3032</v>
      </c>
      <c r="C713">
        <v>51.544575669230703</v>
      </c>
      <c r="D713">
        <v>-0.21567926923076899</v>
      </c>
      <c r="F713">
        <v>13</v>
      </c>
      <c r="G713" t="str">
        <f>IFERROR(VLOOKUP(B713, Data!H:H, 1, FALSE), "")</f>
        <v/>
      </c>
    </row>
    <row r="714" spans="1:7" x14ac:dyDescent="0.25">
      <c r="A714" t="s">
        <v>1844</v>
      </c>
      <c r="B714" t="s">
        <v>3033</v>
      </c>
      <c r="C714">
        <v>51.535493000000002</v>
      </c>
      <c r="D714">
        <v>-0.25546576249999903</v>
      </c>
      <c r="F714">
        <v>8</v>
      </c>
      <c r="G714" t="str">
        <f>IFERROR(VLOOKUP(B714, Data!H:H, 1, FALSE), "")</f>
        <v/>
      </c>
    </row>
    <row r="715" spans="1:7" x14ac:dyDescent="0.25">
      <c r="A715" t="s">
        <v>1845</v>
      </c>
      <c r="B715" t="s">
        <v>3034</v>
      </c>
      <c r="C715">
        <v>51.592238669230703</v>
      </c>
      <c r="D715">
        <v>-0.18198000769230699</v>
      </c>
      <c r="E715" t="s">
        <v>1206</v>
      </c>
      <c r="F715">
        <v>13</v>
      </c>
      <c r="G715" t="str">
        <f>IFERROR(VLOOKUP(B715, Data!H:H, 1, FALSE), "")</f>
        <v/>
      </c>
    </row>
    <row r="716" spans="1:7" x14ac:dyDescent="0.25">
      <c r="A716" t="s">
        <v>1846</v>
      </c>
      <c r="B716" t="s">
        <v>3035</v>
      </c>
      <c r="C716">
        <v>51.592189092857097</v>
      </c>
      <c r="D716">
        <v>-0.17388595714285701</v>
      </c>
      <c r="E716" t="s">
        <v>1206</v>
      </c>
      <c r="F716">
        <v>14</v>
      </c>
      <c r="G716" t="str">
        <f>IFERROR(VLOOKUP(B716, Data!H:H, 1, FALSE), "")</f>
        <v/>
      </c>
    </row>
    <row r="717" spans="1:7" x14ac:dyDescent="0.25">
      <c r="A717" t="s">
        <v>1207</v>
      </c>
      <c r="B717" t="s">
        <v>3036</v>
      </c>
      <c r="C717">
        <v>51.595935463636302</v>
      </c>
      <c r="D717">
        <v>-0.278918872727272</v>
      </c>
      <c r="F717">
        <v>11</v>
      </c>
      <c r="G717" t="str">
        <f>IFERROR(VLOOKUP(B717, Data!H:H, 1, FALSE), "")</f>
        <v/>
      </c>
    </row>
    <row r="718" spans="1:7" x14ac:dyDescent="0.25">
      <c r="A718" t="s">
        <v>1847</v>
      </c>
      <c r="B718" t="s">
        <v>3037</v>
      </c>
      <c r="C718">
        <v>51.47524422</v>
      </c>
      <c r="D718">
        <v>-4.7911660000000002E-2</v>
      </c>
      <c r="F718">
        <v>5</v>
      </c>
      <c r="G718" t="str">
        <f>IFERROR(VLOOKUP(B718, Data!H:H, 1, FALSE), "")</f>
        <v/>
      </c>
    </row>
    <row r="719" spans="1:7" x14ac:dyDescent="0.25">
      <c r="A719" t="s">
        <v>1848</v>
      </c>
      <c r="B719" t="s">
        <v>2808</v>
      </c>
      <c r="C719">
        <v>51.480334288888798</v>
      </c>
      <c r="D719">
        <v>-3.9347788888888797E-2</v>
      </c>
      <c r="F719">
        <v>9</v>
      </c>
      <c r="G719" t="str">
        <f>IFERROR(VLOOKUP(B719, Data!H:H, 1, FALSE), "")</f>
        <v/>
      </c>
    </row>
    <row r="720" spans="1:7" x14ac:dyDescent="0.25">
      <c r="A720" t="s">
        <v>1849</v>
      </c>
      <c r="B720" t="s">
        <v>2808</v>
      </c>
      <c r="C720">
        <v>51.480713979999997</v>
      </c>
      <c r="D720">
        <v>-3.7288959999999899E-2</v>
      </c>
      <c r="F720">
        <v>5</v>
      </c>
      <c r="G720" t="str">
        <f>IFERROR(VLOOKUP(B720, Data!H:H, 1, FALSE), "")</f>
        <v/>
      </c>
    </row>
    <row r="721" spans="1:7" x14ac:dyDescent="0.25">
      <c r="A721" t="s">
        <v>1607</v>
      </c>
      <c r="B721" t="s">
        <v>3038</v>
      </c>
      <c r="C721">
        <v>51.484626971428497</v>
      </c>
      <c r="D721">
        <v>-3.3854799999999997E-2</v>
      </c>
      <c r="E721" t="s">
        <v>1206</v>
      </c>
      <c r="F721">
        <v>7</v>
      </c>
      <c r="G721" t="str">
        <f>IFERROR(VLOOKUP(B721, Data!H:H, 1, FALSE), "")</f>
        <v/>
      </c>
    </row>
    <row r="722" spans="1:7" x14ac:dyDescent="0.25">
      <c r="A722" t="s">
        <v>1547</v>
      </c>
      <c r="B722" t="s">
        <v>3039</v>
      </c>
      <c r="C722">
        <v>51.545687360000002</v>
      </c>
      <c r="D722">
        <v>-0.13078590000000001</v>
      </c>
      <c r="E722" t="s">
        <v>1206</v>
      </c>
      <c r="F722">
        <v>5</v>
      </c>
      <c r="G722" t="str">
        <f>IFERROR(VLOOKUP(B722, Data!H:H, 1, FALSE), "")</f>
        <v/>
      </c>
    </row>
    <row r="723" spans="1:7" x14ac:dyDescent="0.25">
      <c r="A723" t="s">
        <v>1850</v>
      </c>
      <c r="B723" t="s">
        <v>2808</v>
      </c>
      <c r="C723">
        <v>51.490869399999902</v>
      </c>
      <c r="D723">
        <v>-6.9020666666666605E-2</v>
      </c>
      <c r="E723" t="s">
        <v>1206</v>
      </c>
      <c r="F723">
        <v>15</v>
      </c>
      <c r="G723" t="str">
        <f>IFERROR(VLOOKUP(B723, Data!H:H, 1, FALSE), "")</f>
        <v/>
      </c>
    </row>
    <row r="724" spans="1:7" x14ac:dyDescent="0.25">
      <c r="A724" t="s">
        <v>1216</v>
      </c>
      <c r="B724" t="s">
        <v>3040</v>
      </c>
      <c r="C724">
        <v>51.673301940000002</v>
      </c>
      <c r="D724">
        <v>-9.4849539999999996E-2</v>
      </c>
      <c r="E724" t="s">
        <v>1206</v>
      </c>
      <c r="F724">
        <v>5</v>
      </c>
      <c r="G724" t="str">
        <f>IFERROR(VLOOKUP(B724, Data!H:H, 1, FALSE), "")</f>
        <v/>
      </c>
    </row>
    <row r="725" spans="1:7" x14ac:dyDescent="0.25">
      <c r="A725" t="s">
        <v>1851</v>
      </c>
      <c r="B725" t="s">
        <v>3041</v>
      </c>
      <c r="C725">
        <v>51.495791133333299</v>
      </c>
      <c r="D725">
        <v>-0.196072644444444</v>
      </c>
      <c r="E725" t="s">
        <v>1206</v>
      </c>
      <c r="F725">
        <v>9</v>
      </c>
      <c r="G725" t="str">
        <f>IFERROR(VLOOKUP(B725, Data!H:H, 1, FALSE), "")</f>
        <v/>
      </c>
    </row>
    <row r="726" spans="1:7" x14ac:dyDescent="0.25">
      <c r="A726" t="s">
        <v>1852</v>
      </c>
      <c r="B726" t="s">
        <v>3042</v>
      </c>
      <c r="C726">
        <v>51.539732908333299</v>
      </c>
      <c r="D726">
        <v>0.16205745833333299</v>
      </c>
      <c r="E726" t="s">
        <v>1206</v>
      </c>
      <c r="F726">
        <v>12</v>
      </c>
      <c r="G726" t="str">
        <f>IFERROR(VLOOKUP(B726, Data!H:H, 1, FALSE), "")</f>
        <v/>
      </c>
    </row>
    <row r="727" spans="1:7" x14ac:dyDescent="0.25">
      <c r="A727" t="s">
        <v>1602</v>
      </c>
      <c r="B727" t="s">
        <v>3043</v>
      </c>
      <c r="C727">
        <v>51.504406896428499</v>
      </c>
      <c r="D727">
        <v>-0.30548689642857102</v>
      </c>
      <c r="E727" t="s">
        <v>1206</v>
      </c>
      <c r="F727">
        <v>56</v>
      </c>
      <c r="G727" t="str">
        <f>IFERROR(VLOOKUP(B727, Data!H:H, 1, FALSE), "")</f>
        <v/>
      </c>
    </row>
    <row r="728" spans="1:7" x14ac:dyDescent="0.25">
      <c r="A728" t="s">
        <v>1829</v>
      </c>
      <c r="B728" t="s">
        <v>2808</v>
      </c>
      <c r="C728">
        <v>51.548872038461496</v>
      </c>
      <c r="D728">
        <v>-4.2691238461538397E-2</v>
      </c>
      <c r="E728" t="s">
        <v>1206</v>
      </c>
      <c r="F728">
        <v>13</v>
      </c>
      <c r="G728" t="str">
        <f>IFERROR(VLOOKUP(B728, Data!H:H, 1, FALSE), "")</f>
        <v/>
      </c>
    </row>
    <row r="729" spans="1:7" x14ac:dyDescent="0.25">
      <c r="A729" t="s">
        <v>1853</v>
      </c>
      <c r="B729" t="s">
        <v>3044</v>
      </c>
      <c r="C729">
        <v>51.456620255999901</v>
      </c>
      <c r="D729">
        <v>-9.0044020000000002E-2</v>
      </c>
      <c r="E729" t="s">
        <v>1206</v>
      </c>
      <c r="F729">
        <v>25</v>
      </c>
      <c r="G729" t="str">
        <f>IFERROR(VLOOKUP(B729, Data!H:H, 1, FALSE), "")</f>
        <v/>
      </c>
    </row>
    <row r="730" spans="1:7" x14ac:dyDescent="0.25">
      <c r="A730" t="s">
        <v>1854</v>
      </c>
      <c r="B730" t="s">
        <v>3045</v>
      </c>
      <c r="C730">
        <v>51.555943939999999</v>
      </c>
      <c r="D730">
        <v>-7.8905779999999995E-2</v>
      </c>
      <c r="F730">
        <v>5</v>
      </c>
      <c r="G730" t="str">
        <f>IFERROR(VLOOKUP(B730, Data!H:H, 1, FALSE), "")</f>
        <v/>
      </c>
    </row>
    <row r="731" spans="1:7" x14ac:dyDescent="0.25">
      <c r="A731" t="s">
        <v>1855</v>
      </c>
      <c r="B731" t="s">
        <v>3046</v>
      </c>
      <c r="C731">
        <v>51.513518499999897</v>
      </c>
      <c r="D731">
        <v>-0.30508818999999998</v>
      </c>
      <c r="E731" t="s">
        <v>1206</v>
      </c>
      <c r="F731">
        <v>30</v>
      </c>
      <c r="G731" t="str">
        <f>IFERROR(VLOOKUP(B731, Data!H:H, 1, FALSE), "")</f>
        <v/>
      </c>
    </row>
    <row r="732" spans="1:7" x14ac:dyDescent="0.25">
      <c r="A732" t="s">
        <v>1856</v>
      </c>
      <c r="B732" t="s">
        <v>2808</v>
      </c>
      <c r="C732">
        <v>51.495022307692302</v>
      </c>
      <c r="D732">
        <v>-9.4995830769230696E-2</v>
      </c>
      <c r="F732">
        <v>13</v>
      </c>
      <c r="G732" t="str">
        <f>IFERROR(VLOOKUP(B732, Data!H:H, 1, FALSE), "")</f>
        <v/>
      </c>
    </row>
    <row r="733" spans="1:7" x14ac:dyDescent="0.25">
      <c r="A733" t="s">
        <v>1857</v>
      </c>
      <c r="B733" t="s">
        <v>3047</v>
      </c>
      <c r="C733">
        <v>51.495050019999901</v>
      </c>
      <c r="D733">
        <v>-9.6587759999999995E-2</v>
      </c>
      <c r="E733" t="s">
        <v>1206</v>
      </c>
      <c r="F733">
        <v>5</v>
      </c>
      <c r="G733" t="str">
        <f>IFERROR(VLOOKUP(B733, Data!H:H, 1, FALSE), "")</f>
        <v/>
      </c>
    </row>
    <row r="734" spans="1:7" x14ac:dyDescent="0.25">
      <c r="A734" t="s">
        <v>718</v>
      </c>
      <c r="B734" t="s">
        <v>3048</v>
      </c>
      <c r="C734">
        <v>51.502364</v>
      </c>
      <c r="D734">
        <v>-0.106719685714285</v>
      </c>
      <c r="E734" t="s">
        <v>1206</v>
      </c>
      <c r="F734">
        <v>7</v>
      </c>
      <c r="G734" t="str">
        <f>IFERROR(VLOOKUP(B734, Data!H:H, 1, FALSE), "")</f>
        <v/>
      </c>
    </row>
    <row r="735" spans="1:7" x14ac:dyDescent="0.25">
      <c r="A735" t="s">
        <v>1419</v>
      </c>
      <c r="B735" t="s">
        <v>2808</v>
      </c>
      <c r="C735">
        <v>51.665912772727197</v>
      </c>
      <c r="D735">
        <v>-8.1689363636363602E-2</v>
      </c>
      <c r="F735">
        <v>11</v>
      </c>
      <c r="G735" t="str">
        <f>IFERROR(VLOOKUP(B735, Data!H:H, 1, FALSE), "")</f>
        <v/>
      </c>
    </row>
    <row r="736" spans="1:7" x14ac:dyDescent="0.25">
      <c r="A736" t="s">
        <v>1858</v>
      </c>
      <c r="B736" t="s">
        <v>3049</v>
      </c>
      <c r="C736">
        <v>51.592943060000003</v>
      </c>
      <c r="D736">
        <v>2.8556000000000002E-2</v>
      </c>
      <c r="F736">
        <v>5</v>
      </c>
      <c r="G736" t="str">
        <f>IFERROR(VLOOKUP(B736, Data!H:H, 1, FALSE), "")</f>
        <v/>
      </c>
    </row>
    <row r="737" spans="1:7" x14ac:dyDescent="0.25">
      <c r="A737" t="s">
        <v>1859</v>
      </c>
      <c r="B737" t="s">
        <v>3050</v>
      </c>
      <c r="C737">
        <v>51.582644080000001</v>
      </c>
      <c r="D737">
        <v>-0.25655285999999999</v>
      </c>
      <c r="F737">
        <v>5</v>
      </c>
      <c r="G737" t="str">
        <f>IFERROR(VLOOKUP(B737, Data!H:H, 1, FALSE), "")</f>
        <v/>
      </c>
    </row>
    <row r="738" spans="1:7" x14ac:dyDescent="0.25">
      <c r="A738" t="s">
        <v>1860</v>
      </c>
      <c r="B738" t="s">
        <v>3051</v>
      </c>
      <c r="C738">
        <v>51.5863536266666</v>
      </c>
      <c r="D738">
        <v>-0.24522487333333301</v>
      </c>
      <c r="E738" t="s">
        <v>1206</v>
      </c>
      <c r="F738">
        <v>15</v>
      </c>
      <c r="G738" t="str">
        <f>IFERROR(VLOOKUP(B738, Data!H:H, 1, FALSE), "")</f>
        <v/>
      </c>
    </row>
    <row r="739" spans="1:7" x14ac:dyDescent="0.25">
      <c r="A739" t="s">
        <v>1861</v>
      </c>
      <c r="B739" t="s">
        <v>3052</v>
      </c>
      <c r="C739">
        <v>51.600520971428502</v>
      </c>
      <c r="D739">
        <v>-0.31229414285714202</v>
      </c>
      <c r="E739" t="s">
        <v>1206</v>
      </c>
      <c r="F739">
        <v>7</v>
      </c>
      <c r="G739" t="str">
        <f>IFERROR(VLOOKUP(B739, Data!H:H, 1, FALSE), "")</f>
        <v/>
      </c>
    </row>
    <row r="740" spans="1:7" x14ac:dyDescent="0.25">
      <c r="A740" t="s">
        <v>1862</v>
      </c>
      <c r="B740" t="s">
        <v>3053</v>
      </c>
      <c r="C740">
        <v>51.600579060000001</v>
      </c>
      <c r="D740">
        <v>-0.30707469999999998</v>
      </c>
      <c r="F740">
        <v>5</v>
      </c>
      <c r="G740" t="str">
        <f>IFERROR(VLOOKUP(B740, Data!H:H, 1, FALSE), "")</f>
        <v/>
      </c>
    </row>
    <row r="741" spans="1:7" x14ac:dyDescent="0.25">
      <c r="A741" t="s">
        <v>1863</v>
      </c>
      <c r="B741" t="s">
        <v>3054</v>
      </c>
      <c r="C741">
        <v>51.501868281818098</v>
      </c>
      <c r="D741">
        <v>-0.102309618181818</v>
      </c>
      <c r="E741" t="s">
        <v>1206</v>
      </c>
      <c r="F741">
        <v>11</v>
      </c>
      <c r="G741" t="str">
        <f>IFERROR(VLOOKUP(B741, Data!H:H, 1, FALSE), "")</f>
        <v/>
      </c>
    </row>
    <row r="742" spans="1:7" x14ac:dyDescent="0.25">
      <c r="A742" t="s">
        <v>1864</v>
      </c>
      <c r="B742" t="s">
        <v>3055</v>
      </c>
      <c r="C742">
        <v>51.462822088888799</v>
      </c>
      <c r="D742">
        <v>-0.166274077777777</v>
      </c>
      <c r="F742">
        <v>9</v>
      </c>
      <c r="G742" t="str">
        <f>IFERROR(VLOOKUP(B742, Data!H:H, 1, FALSE), "")</f>
        <v/>
      </c>
    </row>
    <row r="743" spans="1:7" x14ac:dyDescent="0.25">
      <c r="A743" t="s">
        <v>1865</v>
      </c>
      <c r="B743" t="s">
        <v>2808</v>
      </c>
      <c r="C743">
        <v>51.578595515789402</v>
      </c>
      <c r="D743">
        <v>-1.13533157894736E-2</v>
      </c>
      <c r="E743" t="s">
        <v>1206</v>
      </c>
      <c r="F743">
        <v>19</v>
      </c>
      <c r="G743" t="str">
        <f>IFERROR(VLOOKUP(B743, Data!H:H, 1, FALSE), "")</f>
        <v/>
      </c>
    </row>
    <row r="744" spans="1:7" x14ac:dyDescent="0.25">
      <c r="A744" t="s">
        <v>1866</v>
      </c>
      <c r="B744" t="s">
        <v>2808</v>
      </c>
      <c r="C744">
        <v>51.566759430769203</v>
      </c>
      <c r="D744">
        <v>-5.3668615384615303E-3</v>
      </c>
      <c r="F744">
        <v>13</v>
      </c>
      <c r="G744" t="str">
        <f>IFERROR(VLOOKUP(B744, Data!H:H, 1, FALSE), "")</f>
        <v/>
      </c>
    </row>
    <row r="745" spans="1:7" x14ac:dyDescent="0.25">
      <c r="A745" t="s">
        <v>1867</v>
      </c>
      <c r="B745" t="s">
        <v>3056</v>
      </c>
      <c r="C745">
        <v>51.576815227777701</v>
      </c>
      <c r="D745">
        <v>-2.118505E-2</v>
      </c>
      <c r="E745" t="s">
        <v>1206</v>
      </c>
      <c r="F745">
        <v>18</v>
      </c>
      <c r="G745" t="str">
        <f>IFERROR(VLOOKUP(B745, Data!H:H, 1, FALSE), "")</f>
        <v/>
      </c>
    </row>
    <row r="746" spans="1:7" x14ac:dyDescent="0.25">
      <c r="A746" t="s">
        <v>1868</v>
      </c>
      <c r="B746" t="s">
        <v>3057</v>
      </c>
      <c r="C746">
        <v>51.612554288888802</v>
      </c>
      <c r="D746">
        <v>-0.33580292222222202</v>
      </c>
      <c r="F746">
        <v>9</v>
      </c>
      <c r="G746" t="str">
        <f>IFERROR(VLOOKUP(B746, Data!H:H, 1, FALSE), "")</f>
        <v/>
      </c>
    </row>
    <row r="747" spans="1:7" x14ac:dyDescent="0.25">
      <c r="A747" t="s">
        <v>1354</v>
      </c>
      <c r="B747" t="s">
        <v>3058</v>
      </c>
      <c r="C747">
        <v>51.382514257142802</v>
      </c>
      <c r="D747">
        <v>-0.157655214285714</v>
      </c>
      <c r="E747" t="s">
        <v>1206</v>
      </c>
      <c r="F747">
        <v>7</v>
      </c>
      <c r="G747" t="str">
        <f>IFERROR(VLOOKUP(B747, Data!H:H, 1, FALSE), "")</f>
        <v/>
      </c>
    </row>
    <row r="748" spans="1:7" x14ac:dyDescent="0.25">
      <c r="A748" t="s">
        <v>1869</v>
      </c>
      <c r="B748" t="s">
        <v>2808</v>
      </c>
      <c r="C748">
        <v>51.540514054545397</v>
      </c>
      <c r="D748">
        <v>-4.59513818181818E-2</v>
      </c>
      <c r="E748" t="s">
        <v>1206</v>
      </c>
      <c r="F748">
        <v>33</v>
      </c>
      <c r="G748" t="str">
        <f>IFERROR(VLOOKUP(B748, Data!H:H, 1, FALSE), "")</f>
        <v/>
      </c>
    </row>
    <row r="749" spans="1:7" x14ac:dyDescent="0.25">
      <c r="A749" t="s">
        <v>1870</v>
      </c>
      <c r="B749" t="s">
        <v>3059</v>
      </c>
      <c r="C749">
        <v>51.465678141176397</v>
      </c>
      <c r="D749">
        <v>-0.213735364705882</v>
      </c>
      <c r="E749" t="s">
        <v>1206</v>
      </c>
      <c r="F749">
        <v>17</v>
      </c>
      <c r="G749" t="str">
        <f>IFERROR(VLOOKUP(B749, Data!H:H, 1, FALSE), "")</f>
        <v/>
      </c>
    </row>
    <row r="750" spans="1:7" x14ac:dyDescent="0.25">
      <c r="A750" t="s">
        <v>1326</v>
      </c>
      <c r="B750" t="s">
        <v>3060</v>
      </c>
      <c r="C750">
        <v>51.508655407692302</v>
      </c>
      <c r="D750">
        <v>-0.13668307692307599</v>
      </c>
      <c r="F750">
        <v>13</v>
      </c>
      <c r="G750" t="str">
        <f>IFERROR(VLOOKUP(B750, Data!H:H, 1, FALSE), "")</f>
        <v/>
      </c>
    </row>
    <row r="751" spans="1:7" x14ac:dyDescent="0.25">
      <c r="A751" t="s">
        <v>1871</v>
      </c>
      <c r="B751" t="s">
        <v>3061</v>
      </c>
      <c r="C751">
        <v>51.513066411111097</v>
      </c>
      <c r="D751">
        <v>-0.47313103333333301</v>
      </c>
      <c r="F751">
        <v>9</v>
      </c>
      <c r="G751" t="str">
        <f>IFERROR(VLOOKUP(B751, Data!H:H, 1, FALSE), "")</f>
        <v/>
      </c>
    </row>
    <row r="752" spans="1:7" x14ac:dyDescent="0.25">
      <c r="A752" t="s">
        <v>1872</v>
      </c>
      <c r="B752" t="s">
        <v>3062</v>
      </c>
      <c r="C752">
        <v>51.361468193333302</v>
      </c>
      <c r="D752">
        <v>-0.19758025333333301</v>
      </c>
      <c r="F752">
        <v>15</v>
      </c>
      <c r="G752" t="str">
        <f>IFERROR(VLOOKUP(B752, Data!H:H, 1, FALSE), "")</f>
        <v/>
      </c>
    </row>
    <row r="753" spans="1:7" x14ac:dyDescent="0.25">
      <c r="A753" t="s">
        <v>1873</v>
      </c>
      <c r="B753" t="s">
        <v>3063</v>
      </c>
      <c r="C753">
        <v>51.361034191304299</v>
      </c>
      <c r="D753">
        <v>-0.19431706956521699</v>
      </c>
      <c r="F753">
        <v>23</v>
      </c>
      <c r="G753" t="str">
        <f>IFERROR(VLOOKUP(B753, Data!H:H, 1, FALSE), "")</f>
        <v/>
      </c>
    </row>
    <row r="754" spans="1:7" x14ac:dyDescent="0.25">
      <c r="A754" t="s">
        <v>1874</v>
      </c>
      <c r="B754" t="s">
        <v>3064</v>
      </c>
      <c r="C754">
        <v>51.514217651612903</v>
      </c>
      <c r="D754">
        <v>-0.110192909677419</v>
      </c>
      <c r="E754" t="s">
        <v>1875</v>
      </c>
      <c r="F754">
        <v>31</v>
      </c>
      <c r="G754" t="str">
        <f>IFERROR(VLOOKUP(B754, Data!H:H, 1, FALSE), "")</f>
        <v/>
      </c>
    </row>
    <row r="755" spans="1:7" x14ac:dyDescent="0.25">
      <c r="A755" t="s">
        <v>1876</v>
      </c>
      <c r="B755" t="s">
        <v>3065</v>
      </c>
      <c r="C755">
        <v>51.569439227999901</v>
      </c>
      <c r="D755">
        <v>-0.13569135199999999</v>
      </c>
      <c r="F755">
        <v>25</v>
      </c>
      <c r="G755" t="str">
        <f>IFERROR(VLOOKUP(B755, Data!H:H, 1, FALSE), "")</f>
        <v/>
      </c>
    </row>
    <row r="756" spans="1:7" x14ac:dyDescent="0.25">
      <c r="A756" t="s">
        <v>1877</v>
      </c>
      <c r="B756" t="s">
        <v>3066</v>
      </c>
      <c r="C756">
        <v>51.5414291266666</v>
      </c>
      <c r="D756">
        <v>-5.4730180000000003E-2</v>
      </c>
      <c r="F756">
        <v>15</v>
      </c>
      <c r="G756" t="str">
        <f>IFERROR(VLOOKUP(B756, Data!H:H, 1, FALSE), "")</f>
        <v/>
      </c>
    </row>
    <row r="757" spans="1:7" x14ac:dyDescent="0.25">
      <c r="A757" t="s">
        <v>1878</v>
      </c>
      <c r="B757" t="s">
        <v>2778</v>
      </c>
      <c r="C757">
        <v>51.5431104166666</v>
      </c>
      <c r="D757">
        <v>-5.3790449999999997E-2</v>
      </c>
      <c r="F757">
        <v>6</v>
      </c>
      <c r="G757" t="str">
        <f>IFERROR(VLOOKUP(B757, Data!H:H, 1, FALSE), "")</f>
        <v/>
      </c>
    </row>
    <row r="758" spans="1:7" x14ac:dyDescent="0.25">
      <c r="A758" t="s">
        <v>1329</v>
      </c>
      <c r="B758" t="s">
        <v>3067</v>
      </c>
      <c r="C758">
        <v>51.384546857142801</v>
      </c>
      <c r="D758">
        <v>0.109015614285714</v>
      </c>
      <c r="E758" t="s">
        <v>1206</v>
      </c>
      <c r="F758">
        <v>14</v>
      </c>
      <c r="G758" t="str">
        <f>IFERROR(VLOOKUP(B758, Data!H:H, 1, FALSE), "")</f>
        <v/>
      </c>
    </row>
    <row r="759" spans="1:7" x14ac:dyDescent="0.25">
      <c r="A759" t="s">
        <v>1879</v>
      </c>
      <c r="B759" t="s">
        <v>2808</v>
      </c>
      <c r="C759">
        <v>51.497490419999998</v>
      </c>
      <c r="D759">
        <v>-9.4410819999999895E-2</v>
      </c>
      <c r="F759">
        <v>20</v>
      </c>
      <c r="G759" t="str">
        <f>IFERROR(VLOOKUP(B759, Data!H:H, 1, FALSE), "")</f>
        <v/>
      </c>
    </row>
    <row r="760" spans="1:7" x14ac:dyDescent="0.25">
      <c r="A760" t="s">
        <v>1880</v>
      </c>
      <c r="B760" t="s">
        <v>3068</v>
      </c>
      <c r="C760">
        <v>51.560251100000002</v>
      </c>
      <c r="D760">
        <v>4.5035749999999999E-2</v>
      </c>
      <c r="F760">
        <v>6</v>
      </c>
      <c r="G760" t="str">
        <f>IFERROR(VLOOKUP(B760, Data!H:H, 1, FALSE), "")</f>
        <v/>
      </c>
    </row>
    <row r="761" spans="1:7" x14ac:dyDescent="0.25">
      <c r="A761" t="s">
        <v>1881</v>
      </c>
      <c r="B761" t="s">
        <v>2808</v>
      </c>
      <c r="C761">
        <v>51.560347759999999</v>
      </c>
      <c r="D761">
        <v>4.7781119999999899E-2</v>
      </c>
      <c r="F761">
        <v>5</v>
      </c>
      <c r="G761" t="str">
        <f>IFERROR(VLOOKUP(B761, Data!H:H, 1, FALSE), "")</f>
        <v/>
      </c>
    </row>
    <row r="762" spans="1:7" x14ac:dyDescent="0.25">
      <c r="A762" t="s">
        <v>1882</v>
      </c>
      <c r="B762" t="s">
        <v>3069</v>
      </c>
      <c r="C762">
        <v>51.510101800000001</v>
      </c>
      <c r="D762">
        <v>-6.7952979999999996E-2</v>
      </c>
      <c r="F762">
        <v>5</v>
      </c>
      <c r="G762" t="str">
        <f>IFERROR(VLOOKUP(B762, Data!H:H, 1, FALSE), "")</f>
        <v/>
      </c>
    </row>
    <row r="763" spans="1:7" x14ac:dyDescent="0.25">
      <c r="A763" t="s">
        <v>1883</v>
      </c>
      <c r="B763" t="s">
        <v>2808</v>
      </c>
      <c r="C763">
        <v>51.511707114285699</v>
      </c>
      <c r="D763">
        <v>-6.43428142857142E-2</v>
      </c>
      <c r="F763">
        <v>7</v>
      </c>
      <c r="G763" t="str">
        <f>IFERROR(VLOOKUP(B763, Data!H:H, 1, FALSE), "")</f>
        <v/>
      </c>
    </row>
    <row r="764" spans="1:7" x14ac:dyDescent="0.25">
      <c r="A764" t="s">
        <v>1884</v>
      </c>
      <c r="B764" t="s">
        <v>2808</v>
      </c>
      <c r="C764">
        <v>51.498360011764703</v>
      </c>
      <c r="D764">
        <v>-8.0860229411764697E-2</v>
      </c>
      <c r="E764" t="s">
        <v>1206</v>
      </c>
      <c r="F764">
        <v>17</v>
      </c>
      <c r="G764" t="str">
        <f>IFERROR(VLOOKUP(B764, Data!H:H, 1, FALSE), "")</f>
        <v/>
      </c>
    </row>
    <row r="765" spans="1:7" x14ac:dyDescent="0.25">
      <c r="A765" t="s">
        <v>1885</v>
      </c>
      <c r="B765" t="s">
        <v>3070</v>
      </c>
      <c r="C765">
        <v>51.508243663157799</v>
      </c>
      <c r="D765">
        <v>-0.21322623157894699</v>
      </c>
      <c r="E765" t="s">
        <v>1206</v>
      </c>
      <c r="F765">
        <v>19</v>
      </c>
      <c r="G765" t="str">
        <f>IFERROR(VLOOKUP(B765, Data!H:H, 1, FALSE), "")</f>
        <v/>
      </c>
    </row>
    <row r="766" spans="1:7" x14ac:dyDescent="0.25">
      <c r="A766" t="s">
        <v>1886</v>
      </c>
      <c r="B766" t="s">
        <v>3071</v>
      </c>
      <c r="C766">
        <v>51.546952984615302</v>
      </c>
      <c r="D766">
        <v>-0.17913240769230701</v>
      </c>
      <c r="E766" t="s">
        <v>1206</v>
      </c>
      <c r="F766">
        <v>13</v>
      </c>
      <c r="G766" t="str">
        <f>IFERROR(VLOOKUP(B766, Data!H:H, 1, FALSE), "")</f>
        <v/>
      </c>
    </row>
    <row r="767" spans="1:7" x14ac:dyDescent="0.25">
      <c r="A767" t="s">
        <v>1887</v>
      </c>
      <c r="B767" t="s">
        <v>3072</v>
      </c>
      <c r="C767">
        <v>51.555137819999999</v>
      </c>
      <c r="D767">
        <v>-0.19399616</v>
      </c>
      <c r="F767">
        <v>5</v>
      </c>
      <c r="G767" t="str">
        <f>IFERROR(VLOOKUP(B767, Data!H:H, 1, FALSE), "")</f>
        <v/>
      </c>
    </row>
    <row r="768" spans="1:7" x14ac:dyDescent="0.25">
      <c r="A768" t="s">
        <v>1888</v>
      </c>
      <c r="B768" t="s">
        <v>3073</v>
      </c>
      <c r="C768">
        <v>51.552702644444402</v>
      </c>
      <c r="D768">
        <v>-0.19255287777777699</v>
      </c>
      <c r="E768" t="s">
        <v>1206</v>
      </c>
      <c r="F768">
        <v>9</v>
      </c>
      <c r="G768" t="str">
        <f>IFERROR(VLOOKUP(B768, Data!H:H, 1, FALSE), "")</f>
        <v/>
      </c>
    </row>
    <row r="769" spans="1:7" x14ac:dyDescent="0.25">
      <c r="A769" t="s">
        <v>1889</v>
      </c>
      <c r="B769" t="s">
        <v>3074</v>
      </c>
      <c r="C769">
        <v>51.404274200000003</v>
      </c>
      <c r="D769">
        <v>-0.29468919999999998</v>
      </c>
      <c r="F769">
        <v>5</v>
      </c>
      <c r="G769" t="str">
        <f>IFERROR(VLOOKUP(B769, Data!H:H, 1, FALSE), "")</f>
        <v/>
      </c>
    </row>
    <row r="770" spans="1:7" x14ac:dyDescent="0.25">
      <c r="A770" t="s">
        <v>1633</v>
      </c>
      <c r="B770" t="s">
        <v>3075</v>
      </c>
      <c r="C770">
        <v>51.428421788235198</v>
      </c>
      <c r="D770">
        <v>-0.21060385294117601</v>
      </c>
      <c r="E770" t="s">
        <v>1206</v>
      </c>
      <c r="F770">
        <v>17</v>
      </c>
      <c r="G770" t="str">
        <f>IFERROR(VLOOKUP(B770, Data!H:H, 1, FALSE), "")</f>
        <v/>
      </c>
    </row>
    <row r="771" spans="1:7" x14ac:dyDescent="0.25">
      <c r="A771" t="s">
        <v>48</v>
      </c>
      <c r="B771" t="s">
        <v>2808</v>
      </c>
      <c r="C771">
        <v>51.527589444444402</v>
      </c>
      <c r="D771">
        <v>-5.48269444444444E-2</v>
      </c>
      <c r="E771" t="s">
        <v>1206</v>
      </c>
      <c r="F771">
        <v>9</v>
      </c>
      <c r="G771" t="str">
        <f>IFERROR(VLOOKUP(B771, Data!H:H, 1, FALSE), "")</f>
        <v/>
      </c>
    </row>
    <row r="772" spans="1:7" x14ac:dyDescent="0.25">
      <c r="A772" t="s">
        <v>1890</v>
      </c>
      <c r="B772" t="s">
        <v>2808</v>
      </c>
      <c r="C772">
        <v>51.668634342857104</v>
      </c>
      <c r="D772">
        <v>-4.1000857142857103E-2</v>
      </c>
      <c r="F772">
        <v>7</v>
      </c>
      <c r="G772" t="str">
        <f>IFERROR(VLOOKUP(B772, Data!H:H, 1, FALSE), "")</f>
        <v/>
      </c>
    </row>
    <row r="773" spans="1:7" x14ac:dyDescent="0.25">
      <c r="A773" t="s">
        <v>1891</v>
      </c>
      <c r="B773" t="s">
        <v>3076</v>
      </c>
      <c r="C773">
        <v>51.436362500000001</v>
      </c>
      <c r="D773">
        <v>-0.31958226000000001</v>
      </c>
      <c r="F773">
        <v>15</v>
      </c>
      <c r="G773" t="str">
        <f>IFERROR(VLOOKUP(B773, Data!H:H, 1, FALSE), "")</f>
        <v/>
      </c>
    </row>
    <row r="774" spans="1:7" x14ac:dyDescent="0.25">
      <c r="A774" t="s">
        <v>1892</v>
      </c>
      <c r="B774" t="s">
        <v>3077</v>
      </c>
      <c r="C774">
        <v>51.527487212499999</v>
      </c>
      <c r="D774">
        <v>-0.1233139375</v>
      </c>
      <c r="E774" t="s">
        <v>1206</v>
      </c>
      <c r="F774">
        <v>8</v>
      </c>
      <c r="G774" t="str">
        <f>IFERROR(VLOOKUP(B774, Data!H:H, 1, FALSE), "")</f>
        <v/>
      </c>
    </row>
    <row r="775" spans="1:7" x14ac:dyDescent="0.25">
      <c r="A775" t="s">
        <v>1893</v>
      </c>
      <c r="B775" t="s">
        <v>3078</v>
      </c>
      <c r="C775">
        <v>51.537027459999997</v>
      </c>
      <c r="D775">
        <v>-4.26042E-3</v>
      </c>
      <c r="F775">
        <v>5</v>
      </c>
      <c r="G775" t="str">
        <f>IFERROR(VLOOKUP(B775, Data!H:H, 1, FALSE), "")</f>
        <v/>
      </c>
    </row>
    <row r="776" spans="1:7" x14ac:dyDescent="0.25">
      <c r="A776" t="s">
        <v>1894</v>
      </c>
      <c r="B776" t="s">
        <v>3079</v>
      </c>
      <c r="C776">
        <v>51.540169672727203</v>
      </c>
      <c r="D776">
        <v>-0.141529727272727</v>
      </c>
      <c r="E776" t="s">
        <v>1206</v>
      </c>
      <c r="F776">
        <v>11</v>
      </c>
      <c r="G776" t="str">
        <f>IFERROR(VLOOKUP(B776, Data!H:H, 1, FALSE), "")</f>
        <v/>
      </c>
    </row>
    <row r="777" spans="1:7" x14ac:dyDescent="0.25">
      <c r="A777" t="s">
        <v>1731</v>
      </c>
      <c r="B777" t="s">
        <v>3080</v>
      </c>
      <c r="C777">
        <v>51.489733603571402</v>
      </c>
      <c r="D777">
        <v>-0.142253660714285</v>
      </c>
      <c r="E777" t="s">
        <v>1206</v>
      </c>
      <c r="F777">
        <v>28</v>
      </c>
      <c r="G777" t="str">
        <f>IFERROR(VLOOKUP(B777, Data!H:H, 1, FALSE), "")</f>
        <v/>
      </c>
    </row>
    <row r="778" spans="1:7" x14ac:dyDescent="0.25">
      <c r="A778" t="s">
        <v>1895</v>
      </c>
      <c r="B778" t="s">
        <v>3081</v>
      </c>
      <c r="C778">
        <v>51.508776533333297</v>
      </c>
      <c r="D778">
        <v>-0.27284591666666602</v>
      </c>
      <c r="F778">
        <v>12</v>
      </c>
      <c r="G778" t="str">
        <f>IFERROR(VLOOKUP(B778, Data!H:H, 1, FALSE), "")</f>
        <v/>
      </c>
    </row>
    <row r="779" spans="1:7" x14ac:dyDescent="0.25">
      <c r="A779" t="s">
        <v>1609</v>
      </c>
      <c r="B779" t="s">
        <v>3082</v>
      </c>
      <c r="C779">
        <v>51.507724711111102</v>
      </c>
      <c r="D779">
        <v>-0.27189467222222202</v>
      </c>
      <c r="E779" t="s">
        <v>1206</v>
      </c>
      <c r="F779">
        <v>18</v>
      </c>
      <c r="G779" t="str">
        <f>IFERROR(VLOOKUP(B779, Data!H:H, 1, FALSE), "")</f>
        <v/>
      </c>
    </row>
    <row r="780" spans="1:7" x14ac:dyDescent="0.25">
      <c r="A780" t="s">
        <v>1896</v>
      </c>
      <c r="B780" t="s">
        <v>3083</v>
      </c>
      <c r="C780">
        <v>51.4749982444444</v>
      </c>
      <c r="D780">
        <v>-0.214616011111111</v>
      </c>
      <c r="E780" t="s">
        <v>1206</v>
      </c>
      <c r="F780">
        <v>9</v>
      </c>
      <c r="G780" t="str">
        <f>IFERROR(VLOOKUP(B780, Data!H:H, 1, FALSE), "")</f>
        <v/>
      </c>
    </row>
    <row r="781" spans="1:7" x14ac:dyDescent="0.25">
      <c r="A781" t="s">
        <v>1897</v>
      </c>
      <c r="B781" t="s">
        <v>3084</v>
      </c>
      <c r="C781">
        <v>51.5140846749999</v>
      </c>
      <c r="D781">
        <v>-7.6184712500000001E-2</v>
      </c>
      <c r="F781">
        <v>16</v>
      </c>
      <c r="G781" t="str">
        <f>IFERROR(VLOOKUP(B781, Data!H:H, 1, FALSE), "")</f>
        <v/>
      </c>
    </row>
    <row r="782" spans="1:7" x14ac:dyDescent="0.25">
      <c r="A782" t="s">
        <v>1639</v>
      </c>
      <c r="B782" t="s">
        <v>2808</v>
      </c>
      <c r="C782">
        <v>51.585302281818102</v>
      </c>
      <c r="D782">
        <v>-2.9529163636363601E-2</v>
      </c>
      <c r="E782" t="s">
        <v>1206</v>
      </c>
      <c r="F782">
        <v>11</v>
      </c>
      <c r="G782" t="str">
        <f>IFERROR(VLOOKUP(B782, Data!H:H, 1, FALSE), "")</f>
        <v/>
      </c>
    </row>
    <row r="783" spans="1:7" x14ac:dyDescent="0.25">
      <c r="A783" t="s">
        <v>1898</v>
      </c>
      <c r="B783" t="s">
        <v>2808</v>
      </c>
      <c r="C783">
        <v>51.557388838461499</v>
      </c>
      <c r="D783">
        <v>-5.63738384615384E-2</v>
      </c>
      <c r="E783" t="s">
        <v>1206</v>
      </c>
      <c r="F783">
        <v>13</v>
      </c>
      <c r="G783" t="str">
        <f>IFERROR(VLOOKUP(B783, Data!H:H, 1, FALSE), "")</f>
        <v/>
      </c>
    </row>
    <row r="784" spans="1:7" x14ac:dyDescent="0.25">
      <c r="A784" t="s">
        <v>1899</v>
      </c>
      <c r="B784" t="s">
        <v>3085</v>
      </c>
      <c r="C784">
        <v>51.555292812903197</v>
      </c>
      <c r="D784">
        <v>-0.18115025161290299</v>
      </c>
      <c r="F784">
        <v>31</v>
      </c>
      <c r="G784" t="str">
        <f>IFERROR(VLOOKUP(B784, Data!H:H, 1, FALSE), "")</f>
        <v/>
      </c>
    </row>
    <row r="785" spans="1:7" x14ac:dyDescent="0.25">
      <c r="A785" t="s">
        <v>1900</v>
      </c>
      <c r="B785" t="s">
        <v>2808</v>
      </c>
      <c r="C785">
        <v>51.512133355555498</v>
      </c>
      <c r="D785">
        <v>-9.6885266666666595E-2</v>
      </c>
      <c r="F785">
        <v>9</v>
      </c>
      <c r="G785" t="str">
        <f>IFERROR(VLOOKUP(B785, Data!H:H, 1, FALSE), "")</f>
        <v/>
      </c>
    </row>
    <row r="786" spans="1:7" x14ac:dyDescent="0.25">
      <c r="A786" t="s">
        <v>1901</v>
      </c>
      <c r="B786" t="s">
        <v>3086</v>
      </c>
      <c r="C786">
        <v>51.481721405263102</v>
      </c>
      <c r="D786">
        <v>-0.180487615789473</v>
      </c>
      <c r="E786" t="s">
        <v>1206</v>
      </c>
      <c r="F786">
        <v>19</v>
      </c>
      <c r="G786" t="str">
        <f>IFERROR(VLOOKUP(B786, Data!H:H, 1, FALSE), "")</f>
        <v/>
      </c>
    </row>
    <row r="787" spans="1:7" x14ac:dyDescent="0.25">
      <c r="A787" t="s">
        <v>1902</v>
      </c>
      <c r="B787" t="s">
        <v>2808</v>
      </c>
      <c r="C787">
        <v>51.526797326666603</v>
      </c>
      <c r="D787">
        <v>-7.7203446666666606E-2</v>
      </c>
      <c r="E787" t="s">
        <v>1206</v>
      </c>
      <c r="F787">
        <v>15</v>
      </c>
      <c r="G787" t="str">
        <f>IFERROR(VLOOKUP(B787, Data!H:H, 1, FALSE), "")</f>
        <v/>
      </c>
    </row>
    <row r="788" spans="1:7" x14ac:dyDescent="0.25">
      <c r="A788" t="s">
        <v>1903</v>
      </c>
      <c r="B788" t="s">
        <v>3087</v>
      </c>
      <c r="C788">
        <v>51.494577790000001</v>
      </c>
      <c r="D788">
        <v>-0.16219962999999901</v>
      </c>
      <c r="E788" t="s">
        <v>1206</v>
      </c>
      <c r="F788">
        <v>20</v>
      </c>
      <c r="G788" t="str">
        <f>IFERROR(VLOOKUP(B788, Data!H:H, 1, FALSE), "")</f>
        <v/>
      </c>
    </row>
    <row r="789" spans="1:7" x14ac:dyDescent="0.25">
      <c r="A789" t="s">
        <v>1904</v>
      </c>
      <c r="B789" t="s">
        <v>3088</v>
      </c>
      <c r="C789">
        <v>51.50660886</v>
      </c>
      <c r="D789">
        <v>-0.23091133999999999</v>
      </c>
      <c r="F789">
        <v>5</v>
      </c>
      <c r="G789" t="str">
        <f>IFERROR(VLOOKUP(B789, Data!H:H, 1, FALSE), "")</f>
        <v/>
      </c>
    </row>
    <row r="790" spans="1:7" x14ac:dyDescent="0.25">
      <c r="A790" t="s">
        <v>1905</v>
      </c>
      <c r="B790" t="s">
        <v>3089</v>
      </c>
      <c r="C790">
        <v>51.502210679999997</v>
      </c>
      <c r="D790">
        <v>-0.21959152666666601</v>
      </c>
      <c r="E790" t="s">
        <v>1206</v>
      </c>
      <c r="F790">
        <v>15</v>
      </c>
      <c r="G790" t="str">
        <f>IFERROR(VLOOKUP(B790, Data!H:H, 1, FALSE), "")</f>
        <v/>
      </c>
    </row>
    <row r="791" spans="1:7" x14ac:dyDescent="0.25">
      <c r="A791" t="s">
        <v>1906</v>
      </c>
      <c r="B791" t="s">
        <v>3090</v>
      </c>
      <c r="C791">
        <v>51.506673438461497</v>
      </c>
      <c r="D791">
        <v>-0.21582156923076901</v>
      </c>
      <c r="F791">
        <v>13</v>
      </c>
      <c r="G791" t="str">
        <f>IFERROR(VLOOKUP(B791, Data!H:H, 1, FALSE), "")</f>
        <v/>
      </c>
    </row>
    <row r="792" spans="1:7" x14ac:dyDescent="0.25">
      <c r="A792" t="s">
        <v>1907</v>
      </c>
      <c r="B792" t="s">
        <v>3091</v>
      </c>
      <c r="C792">
        <v>51.508427857894702</v>
      </c>
      <c r="D792">
        <v>-0.19335390526315699</v>
      </c>
      <c r="F792">
        <v>19</v>
      </c>
      <c r="G792" t="str">
        <f>IFERROR(VLOOKUP(B792, Data!H:H, 1, FALSE), "")</f>
        <v/>
      </c>
    </row>
    <row r="793" spans="1:7" x14ac:dyDescent="0.25">
      <c r="A793" t="s">
        <v>1908</v>
      </c>
      <c r="B793" t="s">
        <v>3092</v>
      </c>
      <c r="C793">
        <v>51.527877366666601</v>
      </c>
      <c r="D793">
        <v>-0.2310228</v>
      </c>
      <c r="F793">
        <v>9</v>
      </c>
      <c r="G793" t="str">
        <f>IFERROR(VLOOKUP(B793, Data!H:H, 1, FALSE), "")</f>
        <v/>
      </c>
    </row>
    <row r="794" spans="1:7" x14ac:dyDescent="0.25">
      <c r="A794" t="s">
        <v>1909</v>
      </c>
      <c r="B794" t="s">
        <v>3093</v>
      </c>
      <c r="C794">
        <v>51.531218439999897</v>
      </c>
      <c r="D794">
        <v>-0.22400074</v>
      </c>
      <c r="E794" t="s">
        <v>1206</v>
      </c>
      <c r="F794">
        <v>5</v>
      </c>
      <c r="G794" t="str">
        <f>IFERROR(VLOOKUP(B794, Data!H:H, 1, FALSE), "")</f>
        <v/>
      </c>
    </row>
    <row r="795" spans="1:7" x14ac:dyDescent="0.25">
      <c r="A795" t="s">
        <v>1910</v>
      </c>
      <c r="B795" t="s">
        <v>3094</v>
      </c>
      <c r="C795">
        <v>51.574073339999998</v>
      </c>
      <c r="D795">
        <v>-0.20760898</v>
      </c>
      <c r="F795">
        <v>5</v>
      </c>
      <c r="G795" t="str">
        <f>IFERROR(VLOOKUP(B795, Data!H:H, 1, FALSE), "")</f>
        <v/>
      </c>
    </row>
    <row r="796" spans="1:7" x14ac:dyDescent="0.25">
      <c r="A796" t="s">
        <v>1911</v>
      </c>
      <c r="B796" t="s">
        <v>3095</v>
      </c>
      <c r="C796">
        <v>51.574417320000002</v>
      </c>
      <c r="D796">
        <v>-0.20077523999999899</v>
      </c>
      <c r="F796">
        <v>5</v>
      </c>
      <c r="G796" t="str">
        <f>IFERROR(VLOOKUP(B796, Data!H:H, 1, FALSE), "")</f>
        <v/>
      </c>
    </row>
    <row r="797" spans="1:7" x14ac:dyDescent="0.25">
      <c r="A797" t="s">
        <v>1912</v>
      </c>
      <c r="B797" t="s">
        <v>3096</v>
      </c>
      <c r="C797">
        <v>51.553607857142801</v>
      </c>
      <c r="D797">
        <v>-0.217046449999999</v>
      </c>
      <c r="F797">
        <v>14</v>
      </c>
      <c r="G797" t="str">
        <f>IFERROR(VLOOKUP(B797, Data!H:H, 1, FALSE), "")</f>
        <v/>
      </c>
    </row>
    <row r="798" spans="1:7" x14ac:dyDescent="0.25">
      <c r="A798" t="s">
        <v>1346</v>
      </c>
      <c r="B798" t="s">
        <v>3097</v>
      </c>
      <c r="C798">
        <v>51.499182995454497</v>
      </c>
      <c r="D798">
        <v>-0.20630028636363601</v>
      </c>
      <c r="E798" t="s">
        <v>1206</v>
      </c>
      <c r="F798">
        <v>22</v>
      </c>
      <c r="G798" t="str">
        <f>IFERROR(VLOOKUP(B798, Data!H:H, 1, FALSE), "")</f>
        <v/>
      </c>
    </row>
    <row r="799" spans="1:7" x14ac:dyDescent="0.25">
      <c r="A799" t="s">
        <v>1913</v>
      </c>
      <c r="B799" t="s">
        <v>3098</v>
      </c>
      <c r="C799">
        <v>51.481833333333299</v>
      </c>
      <c r="D799">
        <v>-0.21289284999999999</v>
      </c>
      <c r="F799">
        <v>6</v>
      </c>
      <c r="G799" t="str">
        <f>IFERROR(VLOOKUP(B799, Data!H:H, 1, FALSE), "")</f>
        <v/>
      </c>
    </row>
    <row r="800" spans="1:7" x14ac:dyDescent="0.25">
      <c r="A800" t="s">
        <v>1914</v>
      </c>
      <c r="B800" t="s">
        <v>3099</v>
      </c>
      <c r="C800">
        <v>51.568941058333301</v>
      </c>
      <c r="D800">
        <v>-0.15038713333333301</v>
      </c>
      <c r="E800" t="s">
        <v>1206</v>
      </c>
      <c r="F800">
        <v>12</v>
      </c>
      <c r="G800" t="str">
        <f>IFERROR(VLOOKUP(B800, Data!H:H, 1, FALSE), "")</f>
        <v/>
      </c>
    </row>
    <row r="801" spans="1:7" x14ac:dyDescent="0.25">
      <c r="A801" t="s">
        <v>1915</v>
      </c>
      <c r="B801" t="s">
        <v>3100</v>
      </c>
      <c r="C801">
        <v>51.536557136842099</v>
      </c>
      <c r="D801">
        <v>0.132944005263157</v>
      </c>
      <c r="E801" t="s">
        <v>1206</v>
      </c>
      <c r="F801">
        <v>19</v>
      </c>
      <c r="G801" t="str">
        <f>IFERROR(VLOOKUP(B801, Data!H:H, 1, FALSE), "")</f>
        <v/>
      </c>
    </row>
    <row r="802" spans="1:7" x14ac:dyDescent="0.25">
      <c r="A802" t="s">
        <v>1916</v>
      </c>
      <c r="B802" t="s">
        <v>3101</v>
      </c>
      <c r="C802">
        <v>51.540743900000002</v>
      </c>
      <c r="D802">
        <v>0.157785485714285</v>
      </c>
      <c r="F802">
        <v>7</v>
      </c>
      <c r="G802" t="str">
        <f>IFERROR(VLOOKUP(B802, Data!H:H, 1, FALSE), "")</f>
        <v/>
      </c>
    </row>
    <row r="803" spans="1:7" x14ac:dyDescent="0.25">
      <c r="A803" t="s">
        <v>1917</v>
      </c>
      <c r="B803" t="s">
        <v>3102</v>
      </c>
      <c r="C803">
        <v>51.529716128571401</v>
      </c>
      <c r="D803">
        <v>0.154422728571428</v>
      </c>
      <c r="F803">
        <v>7</v>
      </c>
      <c r="G803" t="str">
        <f>IFERROR(VLOOKUP(B803, Data!H:H, 1, FALSE), "")</f>
        <v/>
      </c>
    </row>
    <row r="804" spans="1:7" x14ac:dyDescent="0.25">
      <c r="A804" t="s">
        <v>1918</v>
      </c>
      <c r="B804" t="s">
        <v>3103</v>
      </c>
      <c r="C804">
        <v>51.523564313043501</v>
      </c>
      <c r="D804">
        <v>-0.184245460869565</v>
      </c>
      <c r="E804" t="s">
        <v>1206</v>
      </c>
      <c r="F804">
        <v>23</v>
      </c>
      <c r="G804" t="str">
        <f>IFERROR(VLOOKUP(B804, Data!H:H, 1, FALSE), "")</f>
        <v/>
      </c>
    </row>
    <row r="805" spans="1:7" x14ac:dyDescent="0.25">
      <c r="A805" t="s">
        <v>1919</v>
      </c>
      <c r="B805" t="s">
        <v>3104</v>
      </c>
      <c r="C805">
        <v>51.532228573333299</v>
      </c>
      <c r="D805">
        <v>0.14544232666666601</v>
      </c>
      <c r="E805" t="s">
        <v>1206</v>
      </c>
      <c r="F805">
        <v>15</v>
      </c>
      <c r="G805" t="str">
        <f>IFERROR(VLOOKUP(B805, Data!H:H, 1, FALSE), "")</f>
        <v/>
      </c>
    </row>
    <row r="806" spans="1:7" x14ac:dyDescent="0.25">
      <c r="A806" t="s">
        <v>1920</v>
      </c>
      <c r="B806" t="s">
        <v>3105</v>
      </c>
      <c r="C806">
        <v>51.551371036363598</v>
      </c>
      <c r="D806">
        <v>0.12842071818181799</v>
      </c>
      <c r="E806" t="s">
        <v>1206</v>
      </c>
      <c r="F806">
        <v>11</v>
      </c>
      <c r="G806" t="str">
        <f>IFERROR(VLOOKUP(B806, Data!H:H, 1, FALSE), "")</f>
        <v/>
      </c>
    </row>
    <row r="807" spans="1:7" x14ac:dyDescent="0.25">
      <c r="A807" t="s">
        <v>1921</v>
      </c>
      <c r="B807" t="s">
        <v>3106</v>
      </c>
      <c r="C807">
        <v>51.403062870833303</v>
      </c>
      <c r="D807">
        <v>-0.30065344999999999</v>
      </c>
      <c r="E807" t="s">
        <v>1206</v>
      </c>
      <c r="F807">
        <v>24</v>
      </c>
      <c r="G807" t="str">
        <f>IFERROR(VLOOKUP(B807, Data!H:H, 1, FALSE), "")</f>
        <v/>
      </c>
    </row>
    <row r="808" spans="1:7" x14ac:dyDescent="0.25">
      <c r="A808" t="s">
        <v>1922</v>
      </c>
      <c r="B808" t="s">
        <v>3107</v>
      </c>
      <c r="C808">
        <v>51.5442606444444</v>
      </c>
      <c r="D808">
        <v>0.113740394444444</v>
      </c>
      <c r="E808" t="s">
        <v>1206</v>
      </c>
      <c r="F808">
        <v>18</v>
      </c>
      <c r="G808" t="str">
        <f>IFERROR(VLOOKUP(B808, Data!H:H, 1, FALSE), "")</f>
        <v/>
      </c>
    </row>
    <row r="809" spans="1:7" x14ac:dyDescent="0.25">
      <c r="A809" t="s">
        <v>1923</v>
      </c>
      <c r="B809" t="s">
        <v>3108</v>
      </c>
      <c r="C809">
        <v>51.555757057142799</v>
      </c>
      <c r="D809">
        <v>0.12009202857142801</v>
      </c>
      <c r="F809">
        <v>7</v>
      </c>
      <c r="G809" t="str">
        <f>IFERROR(VLOOKUP(B809, Data!H:H, 1, FALSE), "")</f>
        <v/>
      </c>
    </row>
    <row r="810" spans="1:7" x14ac:dyDescent="0.25">
      <c r="A810" t="s">
        <v>1924</v>
      </c>
      <c r="B810" t="s">
        <v>3109</v>
      </c>
      <c r="C810">
        <v>51.559008979166599</v>
      </c>
      <c r="D810">
        <v>0.12284200416666601</v>
      </c>
      <c r="E810" t="s">
        <v>1206</v>
      </c>
      <c r="F810">
        <v>24</v>
      </c>
      <c r="G810" t="str">
        <f>IFERROR(VLOOKUP(B810, Data!H:H, 1, FALSE), "")</f>
        <v/>
      </c>
    </row>
    <row r="811" spans="1:7" x14ac:dyDescent="0.25">
      <c r="A811" t="s">
        <v>1925</v>
      </c>
      <c r="B811" t="s">
        <v>3110</v>
      </c>
      <c r="C811">
        <v>51.567848866666601</v>
      </c>
      <c r="D811">
        <v>0.149476266666666</v>
      </c>
      <c r="E811" t="s">
        <v>1206</v>
      </c>
      <c r="F811">
        <v>9</v>
      </c>
      <c r="G811" t="str">
        <f>IFERROR(VLOOKUP(B811, Data!H:H, 1, FALSE), "")</f>
        <v/>
      </c>
    </row>
    <row r="812" spans="1:7" x14ac:dyDescent="0.25">
      <c r="A812" t="s">
        <v>1926</v>
      </c>
      <c r="B812" t="s">
        <v>3111</v>
      </c>
      <c r="C812">
        <v>51.534593659999999</v>
      </c>
      <c r="D812">
        <v>0.118842319999999</v>
      </c>
      <c r="E812" t="s">
        <v>1206</v>
      </c>
      <c r="F812">
        <v>5</v>
      </c>
      <c r="G812" t="str">
        <f>IFERROR(VLOOKUP(B812, Data!H:H, 1, FALSE), "")</f>
        <v/>
      </c>
    </row>
    <row r="813" spans="1:7" x14ac:dyDescent="0.25">
      <c r="A813" t="s">
        <v>1927</v>
      </c>
      <c r="B813" t="s">
        <v>3112</v>
      </c>
      <c r="C813">
        <v>51.515294659999903</v>
      </c>
      <c r="D813">
        <v>-9.2480779999999999E-2</v>
      </c>
      <c r="E813" t="s">
        <v>1206</v>
      </c>
      <c r="F813">
        <v>10</v>
      </c>
      <c r="G813" t="str">
        <f>IFERROR(VLOOKUP(B813, Data!H:H, 1, FALSE), "")</f>
        <v/>
      </c>
    </row>
    <row r="814" spans="1:7" x14ac:dyDescent="0.25">
      <c r="A814" t="s">
        <v>1928</v>
      </c>
      <c r="B814" t="s">
        <v>3113</v>
      </c>
      <c r="C814">
        <v>51.511568400000002</v>
      </c>
      <c r="D814">
        <v>-8.0452480000000007E-2</v>
      </c>
      <c r="E814" t="s">
        <v>1206</v>
      </c>
      <c r="F814">
        <v>5</v>
      </c>
      <c r="G814" t="str">
        <f>IFERROR(VLOOKUP(B814, Data!H:H, 1, FALSE), "")</f>
        <v/>
      </c>
    </row>
    <row r="815" spans="1:7" x14ac:dyDescent="0.25">
      <c r="A815" t="s">
        <v>1929</v>
      </c>
      <c r="B815" t="s">
        <v>2808</v>
      </c>
      <c r="C815">
        <v>51.5194200785714</v>
      </c>
      <c r="D815">
        <v>-7.2020564285714198E-2</v>
      </c>
      <c r="F815">
        <v>14</v>
      </c>
      <c r="G815" t="str">
        <f>IFERROR(VLOOKUP(B815, Data!H:H, 1, FALSE), "")</f>
        <v/>
      </c>
    </row>
    <row r="816" spans="1:7" x14ac:dyDescent="0.25">
      <c r="A816" t="s">
        <v>1930</v>
      </c>
      <c r="B816" t="s">
        <v>2808</v>
      </c>
      <c r="C816">
        <v>51.454827534782602</v>
      </c>
      <c r="D816">
        <v>-9.9297721739130401E-2</v>
      </c>
      <c r="E816" t="s">
        <v>1206</v>
      </c>
      <c r="F816">
        <v>23</v>
      </c>
      <c r="G816" t="str">
        <f>IFERROR(VLOOKUP(B816, Data!H:H, 1, FALSE), "")</f>
        <v/>
      </c>
    </row>
    <row r="817" spans="1:7" x14ac:dyDescent="0.25">
      <c r="A817" t="s">
        <v>1931</v>
      </c>
      <c r="B817" t="s">
        <v>3114</v>
      </c>
      <c r="C817">
        <v>51.513232005555501</v>
      </c>
      <c r="D817">
        <v>-0.110305030555555</v>
      </c>
      <c r="E817" t="s">
        <v>1206</v>
      </c>
      <c r="F817">
        <v>36</v>
      </c>
      <c r="G817" t="str">
        <f>IFERROR(VLOOKUP(B817, Data!H:H, 1, FALSE), "")</f>
        <v/>
      </c>
    </row>
    <row r="818" spans="1:7" x14ac:dyDescent="0.25">
      <c r="A818" t="s">
        <v>1932</v>
      </c>
      <c r="B818" t="s">
        <v>3115</v>
      </c>
      <c r="C818">
        <v>51.577597750000002</v>
      </c>
      <c r="D818">
        <v>-0.12354087</v>
      </c>
      <c r="F818">
        <v>20</v>
      </c>
      <c r="G818" t="str">
        <f>IFERROR(VLOOKUP(B818, Data!H:H, 1, FALSE), "")</f>
        <v/>
      </c>
    </row>
    <row r="819" spans="1:7" x14ac:dyDescent="0.25">
      <c r="A819" t="s">
        <v>1933</v>
      </c>
      <c r="B819" t="s">
        <v>3116</v>
      </c>
      <c r="C819">
        <v>51.509931088235199</v>
      </c>
      <c r="D819">
        <v>-0.317050047058823</v>
      </c>
      <c r="F819">
        <v>17</v>
      </c>
      <c r="G819" t="str">
        <f>IFERROR(VLOOKUP(B819, Data!H:H, 1, FALSE), "")</f>
        <v/>
      </c>
    </row>
    <row r="820" spans="1:7" x14ac:dyDescent="0.25">
      <c r="A820" t="s">
        <v>1934</v>
      </c>
      <c r="B820" t="s">
        <v>3117</v>
      </c>
      <c r="C820">
        <v>51.510377194736797</v>
      </c>
      <c r="D820">
        <v>-0.31795306315789401</v>
      </c>
      <c r="F820">
        <v>19</v>
      </c>
      <c r="G820" t="str">
        <f>IFERROR(VLOOKUP(B820, Data!H:H, 1, FALSE), "")</f>
        <v/>
      </c>
    </row>
    <row r="821" spans="1:7" x14ac:dyDescent="0.25">
      <c r="A821" t="s">
        <v>1935</v>
      </c>
      <c r="B821" t="s">
        <v>3118</v>
      </c>
      <c r="C821">
        <v>51.555880223076898</v>
      </c>
      <c r="D821">
        <v>-0.16974200769230699</v>
      </c>
      <c r="E821" t="s">
        <v>1206</v>
      </c>
      <c r="F821">
        <v>13</v>
      </c>
      <c r="G821" t="str">
        <f>IFERROR(VLOOKUP(B821, Data!H:H, 1, FALSE), "")</f>
        <v/>
      </c>
    </row>
    <row r="822" spans="1:7" x14ac:dyDescent="0.25">
      <c r="A822" t="s">
        <v>1871</v>
      </c>
      <c r="B822" t="s">
        <v>3119</v>
      </c>
      <c r="C822">
        <v>51.5133233263157</v>
      </c>
      <c r="D822">
        <v>-0.29568180526315702</v>
      </c>
      <c r="E822" t="s">
        <v>1206</v>
      </c>
      <c r="F822">
        <v>19</v>
      </c>
      <c r="G822" t="str">
        <f>IFERROR(VLOOKUP(B822, Data!H:H, 1, FALSE), "")</f>
        <v/>
      </c>
    </row>
    <row r="823" spans="1:7" x14ac:dyDescent="0.25">
      <c r="A823" t="s">
        <v>1936</v>
      </c>
      <c r="B823" t="s">
        <v>3120</v>
      </c>
      <c r="C823">
        <v>51.48683484</v>
      </c>
      <c r="D823">
        <v>-0.11870660666666601</v>
      </c>
      <c r="E823" t="s">
        <v>1206</v>
      </c>
      <c r="F823">
        <v>30</v>
      </c>
      <c r="G823" t="str">
        <f>IFERROR(VLOOKUP(B823, Data!H:H, 1, FALSE), "")</f>
        <v/>
      </c>
    </row>
    <row r="824" spans="1:7" x14ac:dyDescent="0.25">
      <c r="A824" t="s">
        <v>1283</v>
      </c>
      <c r="B824" t="s">
        <v>3121</v>
      </c>
      <c r="C824">
        <v>51.341600919999998</v>
      </c>
      <c r="D824">
        <v>-0.11025359999999999</v>
      </c>
      <c r="E824" t="s">
        <v>1206</v>
      </c>
      <c r="F824">
        <v>5</v>
      </c>
      <c r="G824" t="str">
        <f>IFERROR(VLOOKUP(B824, Data!H:H, 1, FALSE), "")</f>
        <v/>
      </c>
    </row>
    <row r="825" spans="1:7" x14ac:dyDescent="0.25">
      <c r="A825" t="s">
        <v>1292</v>
      </c>
      <c r="B825" t="s">
        <v>3122</v>
      </c>
      <c r="C825">
        <v>51.588308579999897</v>
      </c>
      <c r="D825">
        <v>-7.1455939999999996E-2</v>
      </c>
      <c r="E825" t="s">
        <v>1206</v>
      </c>
      <c r="F825">
        <v>5</v>
      </c>
      <c r="G825" t="str">
        <f>IFERROR(VLOOKUP(B825, Data!H:H, 1, FALSE), "")</f>
        <v/>
      </c>
    </row>
    <row r="826" spans="1:7" x14ac:dyDescent="0.25">
      <c r="A826" t="s">
        <v>1413</v>
      </c>
      <c r="B826" t="s">
        <v>2808</v>
      </c>
      <c r="C826">
        <v>51.590291915384597</v>
      </c>
      <c r="D826">
        <v>-7.0763253846153798E-2</v>
      </c>
      <c r="F826">
        <v>13</v>
      </c>
      <c r="G826" t="str">
        <f>IFERROR(VLOOKUP(B826, Data!H:H, 1, FALSE), "")</f>
        <v/>
      </c>
    </row>
    <row r="827" spans="1:7" x14ac:dyDescent="0.25">
      <c r="A827" t="s">
        <v>1937</v>
      </c>
      <c r="B827" t="s">
        <v>2808</v>
      </c>
      <c r="C827">
        <v>51.5911681533333</v>
      </c>
      <c r="D827">
        <v>-7.0534346666666595E-2</v>
      </c>
      <c r="F827">
        <v>15</v>
      </c>
      <c r="G827" t="str">
        <f>IFERROR(VLOOKUP(B827, Data!H:H, 1, FALSE), "")</f>
        <v/>
      </c>
    </row>
    <row r="828" spans="1:7" x14ac:dyDescent="0.25">
      <c r="A828" t="s">
        <v>1938</v>
      </c>
      <c r="B828" t="s">
        <v>3123</v>
      </c>
      <c r="C828">
        <v>51.580039609090903</v>
      </c>
      <c r="D828">
        <v>-0.117612827272727</v>
      </c>
      <c r="F828">
        <v>11</v>
      </c>
      <c r="G828" t="str">
        <f>IFERROR(VLOOKUP(B828, Data!H:H, 1, FALSE), "")</f>
        <v/>
      </c>
    </row>
    <row r="829" spans="1:7" x14ac:dyDescent="0.25">
      <c r="A829" t="s">
        <v>1939</v>
      </c>
      <c r="B829" t="s">
        <v>3124</v>
      </c>
      <c r="C829">
        <v>51.491165835294098</v>
      </c>
      <c r="D829">
        <v>-0.2005072</v>
      </c>
      <c r="E829" t="s">
        <v>1206</v>
      </c>
      <c r="F829">
        <v>17</v>
      </c>
      <c r="G829" t="str">
        <f>IFERROR(VLOOKUP(B829, Data!H:H, 1, FALSE), "")</f>
        <v/>
      </c>
    </row>
    <row r="830" spans="1:7" x14ac:dyDescent="0.25">
      <c r="A830" t="s">
        <v>1940</v>
      </c>
      <c r="B830" t="s">
        <v>3125</v>
      </c>
      <c r="C830">
        <v>51.372655643750001</v>
      </c>
      <c r="D830">
        <v>-0.10595840625</v>
      </c>
      <c r="E830" t="s">
        <v>1206</v>
      </c>
      <c r="F830">
        <v>16</v>
      </c>
      <c r="G830" t="str">
        <f>IFERROR(VLOOKUP(B830, Data!H:H, 1, FALSE), "")</f>
        <v/>
      </c>
    </row>
    <row r="831" spans="1:7" x14ac:dyDescent="0.25">
      <c r="A831" t="s">
        <v>1423</v>
      </c>
      <c r="B831" t="s">
        <v>3126</v>
      </c>
      <c r="C831">
        <v>51.371510379999997</v>
      </c>
      <c r="D831">
        <v>-0.13989621999999899</v>
      </c>
      <c r="E831" t="s">
        <v>1206</v>
      </c>
      <c r="F831">
        <v>15</v>
      </c>
      <c r="G831" t="str">
        <f>IFERROR(VLOOKUP(B831, Data!H:H, 1, FALSE), "")</f>
        <v/>
      </c>
    </row>
    <row r="832" spans="1:7" x14ac:dyDescent="0.25">
      <c r="A832" t="s">
        <v>1941</v>
      </c>
      <c r="B832" t="s">
        <v>3127</v>
      </c>
      <c r="C832">
        <v>51.5107888799999</v>
      </c>
      <c r="D832">
        <v>-8.2966590000000007E-2</v>
      </c>
      <c r="E832" t="s">
        <v>1206</v>
      </c>
      <c r="F832">
        <v>10</v>
      </c>
      <c r="G832" t="str">
        <f>IFERROR(VLOOKUP(B832, Data!H:H, 1, FALSE), "")</f>
        <v/>
      </c>
    </row>
    <row r="833" spans="1:7" x14ac:dyDescent="0.25">
      <c r="A833" t="s">
        <v>1942</v>
      </c>
      <c r="B833" t="s">
        <v>2808</v>
      </c>
      <c r="C833">
        <v>51.510808457142801</v>
      </c>
      <c r="D833">
        <v>-7.9491471428571395E-2</v>
      </c>
      <c r="E833" t="s">
        <v>1206</v>
      </c>
      <c r="F833">
        <v>14</v>
      </c>
      <c r="G833" t="str">
        <f>IFERROR(VLOOKUP(B833, Data!H:H, 1, FALSE), "")</f>
        <v/>
      </c>
    </row>
    <row r="834" spans="1:7" x14ac:dyDescent="0.25">
      <c r="A834" t="s">
        <v>1943</v>
      </c>
      <c r="B834" t="s">
        <v>2808</v>
      </c>
      <c r="C834">
        <v>51.572559639999902</v>
      </c>
      <c r="D834">
        <v>-1.29512799999999E-2</v>
      </c>
      <c r="F834">
        <v>5</v>
      </c>
      <c r="G834" t="str">
        <f>IFERROR(VLOOKUP(B834, Data!H:H, 1, FALSE), "")</f>
        <v/>
      </c>
    </row>
    <row r="835" spans="1:7" x14ac:dyDescent="0.25">
      <c r="A835" t="s">
        <v>1944</v>
      </c>
      <c r="B835" t="s">
        <v>2808</v>
      </c>
      <c r="C835">
        <v>51.511371514285699</v>
      </c>
      <c r="D835">
        <v>-8.6783599999999905E-2</v>
      </c>
      <c r="E835" t="s">
        <v>1206</v>
      </c>
      <c r="F835">
        <v>7</v>
      </c>
      <c r="G835" t="str">
        <f>IFERROR(VLOOKUP(B835, Data!H:H, 1, FALSE), "")</f>
        <v/>
      </c>
    </row>
    <row r="836" spans="1:7" x14ac:dyDescent="0.25">
      <c r="A836" t="s">
        <v>1945</v>
      </c>
      <c r="B836" t="s">
        <v>2808</v>
      </c>
      <c r="C836">
        <v>51.509294554545399</v>
      </c>
      <c r="D836">
        <v>-8.6238781818181801E-2</v>
      </c>
      <c r="E836" t="s">
        <v>1206</v>
      </c>
      <c r="F836">
        <v>11</v>
      </c>
      <c r="G836" t="str">
        <f>IFERROR(VLOOKUP(B836, Data!H:H, 1, FALSE), "")</f>
        <v/>
      </c>
    </row>
    <row r="837" spans="1:7" x14ac:dyDescent="0.25">
      <c r="A837" t="s">
        <v>1946</v>
      </c>
      <c r="B837" t="s">
        <v>2808</v>
      </c>
      <c r="C837">
        <v>51.511139809999896</v>
      </c>
      <c r="D837">
        <v>-9.3665014999999893E-2</v>
      </c>
      <c r="E837" t="s">
        <v>1206</v>
      </c>
      <c r="F837">
        <v>20</v>
      </c>
      <c r="G837" t="str">
        <f>IFERROR(VLOOKUP(B837, Data!H:H, 1, FALSE), "")</f>
        <v/>
      </c>
    </row>
    <row r="838" spans="1:7" x14ac:dyDescent="0.25">
      <c r="A838" t="s">
        <v>1947</v>
      </c>
      <c r="B838" t="s">
        <v>3128</v>
      </c>
      <c r="C838">
        <v>51.6072488571428</v>
      </c>
      <c r="D838">
        <v>-0.37716757142857099</v>
      </c>
      <c r="F838">
        <v>7</v>
      </c>
      <c r="G838" t="str">
        <f>IFERROR(VLOOKUP(B838, Data!H:H, 1, FALSE), "")</f>
        <v/>
      </c>
    </row>
    <row r="839" spans="1:7" x14ac:dyDescent="0.25">
      <c r="A839" t="s">
        <v>1268</v>
      </c>
      <c r="B839" t="s">
        <v>2808</v>
      </c>
      <c r="C839">
        <v>51.546201765217397</v>
      </c>
      <c r="D839">
        <v>2.6409030434782599E-2</v>
      </c>
      <c r="E839" t="s">
        <v>1206</v>
      </c>
      <c r="F839">
        <v>23</v>
      </c>
      <c r="G839" t="str">
        <f>IFERROR(VLOOKUP(B839, Data!H:H, 1, FALSE), "")</f>
        <v/>
      </c>
    </row>
    <row r="840" spans="1:7" x14ac:dyDescent="0.25">
      <c r="A840" t="s">
        <v>1526</v>
      </c>
      <c r="B840" t="s">
        <v>2808</v>
      </c>
      <c r="C840">
        <v>51.543242482352902</v>
      </c>
      <c r="D840">
        <v>1.4690111764705799E-2</v>
      </c>
      <c r="E840" t="s">
        <v>1206</v>
      </c>
      <c r="F840">
        <v>17</v>
      </c>
      <c r="G840" t="str">
        <f>IFERROR(VLOOKUP(B840, Data!H:H, 1, FALSE), "")</f>
        <v/>
      </c>
    </row>
    <row r="841" spans="1:7" x14ac:dyDescent="0.25">
      <c r="A841" t="s">
        <v>1948</v>
      </c>
      <c r="B841" t="s">
        <v>3129</v>
      </c>
      <c r="C841">
        <v>51.536399618181797</v>
      </c>
      <c r="D841">
        <v>8.6408000000000006E-3</v>
      </c>
      <c r="E841" t="s">
        <v>1206</v>
      </c>
      <c r="F841">
        <v>11</v>
      </c>
      <c r="G841" t="str">
        <f>IFERROR(VLOOKUP(B841, Data!H:H, 1, FALSE), "")</f>
        <v/>
      </c>
    </row>
    <row r="842" spans="1:7" x14ac:dyDescent="0.25">
      <c r="A842" t="s">
        <v>1949</v>
      </c>
      <c r="B842" t="s">
        <v>3130</v>
      </c>
      <c r="C842">
        <v>51.54609258</v>
      </c>
      <c r="D842">
        <v>2.4824220000000001E-2</v>
      </c>
      <c r="F842">
        <v>5</v>
      </c>
      <c r="G842" t="str">
        <f>IFERROR(VLOOKUP(B842, Data!H:H, 1, FALSE), "")</f>
        <v/>
      </c>
    </row>
    <row r="843" spans="1:7" x14ac:dyDescent="0.25">
      <c r="A843" t="s">
        <v>1950</v>
      </c>
      <c r="B843" t="s">
        <v>2808</v>
      </c>
      <c r="C843">
        <v>51.544465057142801</v>
      </c>
      <c r="D843">
        <v>2.5825157142857099E-2</v>
      </c>
      <c r="F843">
        <v>7</v>
      </c>
      <c r="G843" t="str">
        <f>IFERROR(VLOOKUP(B843, Data!H:H, 1, FALSE), "")</f>
        <v/>
      </c>
    </row>
    <row r="844" spans="1:7" x14ac:dyDescent="0.25">
      <c r="A844" t="s">
        <v>1951</v>
      </c>
      <c r="B844" t="s">
        <v>3131</v>
      </c>
      <c r="C844">
        <v>51.543415959999997</v>
      </c>
      <c r="D844">
        <v>2.5901299999999999E-2</v>
      </c>
      <c r="F844">
        <v>5</v>
      </c>
      <c r="G844" t="str">
        <f>IFERROR(VLOOKUP(B844, Data!H:H, 1, FALSE), "")</f>
        <v/>
      </c>
    </row>
    <row r="845" spans="1:7" x14ac:dyDescent="0.25">
      <c r="A845" t="s">
        <v>1952</v>
      </c>
      <c r="B845" t="s">
        <v>3132</v>
      </c>
      <c r="C845">
        <v>51.543262479999903</v>
      </c>
      <c r="D845">
        <v>2.583912E-2</v>
      </c>
      <c r="F845">
        <v>5</v>
      </c>
      <c r="G845" t="str">
        <f>IFERROR(VLOOKUP(B845, Data!H:H, 1, FALSE), "")</f>
        <v/>
      </c>
    </row>
    <row r="846" spans="1:7" x14ac:dyDescent="0.25">
      <c r="A846" t="s">
        <v>1953</v>
      </c>
      <c r="B846" t="s">
        <v>3133</v>
      </c>
      <c r="C846">
        <v>51.546493579999897</v>
      </c>
      <c r="D846">
        <v>2.8600799999999999E-2</v>
      </c>
      <c r="F846">
        <v>5</v>
      </c>
      <c r="G846" t="str">
        <f>IFERROR(VLOOKUP(B846, Data!H:H, 1, FALSE), "")</f>
        <v/>
      </c>
    </row>
    <row r="847" spans="1:7" x14ac:dyDescent="0.25">
      <c r="A847" t="s">
        <v>1954</v>
      </c>
      <c r="B847" t="s">
        <v>3134</v>
      </c>
      <c r="C847">
        <v>51.547725449999902</v>
      </c>
      <c r="D847">
        <v>3.4769462500000001E-2</v>
      </c>
      <c r="F847">
        <v>8</v>
      </c>
      <c r="G847" t="str">
        <f>IFERROR(VLOOKUP(B847, Data!H:H, 1, FALSE), "")</f>
        <v/>
      </c>
    </row>
    <row r="848" spans="1:7" x14ac:dyDescent="0.25">
      <c r="A848" t="s">
        <v>1955</v>
      </c>
      <c r="B848" t="s">
        <v>2808</v>
      </c>
      <c r="C848">
        <v>51.551969833333303</v>
      </c>
      <c r="D848">
        <v>2.10086777777777E-2</v>
      </c>
      <c r="E848" t="s">
        <v>1206</v>
      </c>
      <c r="F848">
        <v>9</v>
      </c>
      <c r="G848" t="str">
        <f>IFERROR(VLOOKUP(B848, Data!H:H, 1, FALSE), "")</f>
        <v/>
      </c>
    </row>
    <row r="849" spans="1:7" x14ac:dyDescent="0.25">
      <c r="A849" t="s">
        <v>1956</v>
      </c>
      <c r="B849" t="s">
        <v>2808</v>
      </c>
      <c r="C849">
        <v>51.446309783333298</v>
      </c>
      <c r="D849">
        <v>-8.6109338888888803E-2</v>
      </c>
      <c r="E849" t="s">
        <v>1206</v>
      </c>
      <c r="F849">
        <v>18</v>
      </c>
      <c r="G849" t="str">
        <f>IFERROR(VLOOKUP(B849, Data!H:H, 1, FALSE), "")</f>
        <v/>
      </c>
    </row>
    <row r="850" spans="1:7" x14ac:dyDescent="0.25">
      <c r="A850" t="s">
        <v>1957</v>
      </c>
      <c r="B850" t="s">
        <v>3135</v>
      </c>
      <c r="C850">
        <v>51.4935762818181</v>
      </c>
      <c r="D850">
        <v>-0.21440168181818101</v>
      </c>
      <c r="E850" t="s">
        <v>1206</v>
      </c>
      <c r="F850">
        <v>11</v>
      </c>
      <c r="G850" t="str">
        <f>IFERROR(VLOOKUP(B850, Data!H:H, 1, FALSE), "")</f>
        <v/>
      </c>
    </row>
    <row r="851" spans="1:7" x14ac:dyDescent="0.25">
      <c r="A851" t="s">
        <v>1958</v>
      </c>
      <c r="B851" t="s">
        <v>3136</v>
      </c>
      <c r="C851">
        <v>51.441929546153801</v>
      </c>
      <c r="D851">
        <v>-0.13427020769230699</v>
      </c>
      <c r="E851" t="s">
        <v>1206</v>
      </c>
      <c r="F851">
        <v>13</v>
      </c>
      <c r="G851" t="str">
        <f>IFERROR(VLOOKUP(B851, Data!H:H, 1, FALSE), "")</f>
        <v/>
      </c>
    </row>
    <row r="852" spans="1:7" x14ac:dyDescent="0.25">
      <c r="A852" t="s">
        <v>1959</v>
      </c>
      <c r="B852" t="s">
        <v>3137</v>
      </c>
      <c r="C852">
        <v>51.431794642857099</v>
      </c>
      <c r="D852">
        <v>-0.1148189</v>
      </c>
      <c r="E852" t="s">
        <v>1206</v>
      </c>
      <c r="F852">
        <v>14</v>
      </c>
      <c r="G852" t="str">
        <f>IFERROR(VLOOKUP(B852, Data!H:H, 1, FALSE), "")</f>
        <v/>
      </c>
    </row>
    <row r="853" spans="1:7" x14ac:dyDescent="0.25">
      <c r="A853" t="s">
        <v>1960</v>
      </c>
      <c r="B853" t="s">
        <v>3138</v>
      </c>
      <c r="C853">
        <v>51.373173420000001</v>
      </c>
      <c r="D853">
        <v>-0.13097702</v>
      </c>
      <c r="F853">
        <v>5</v>
      </c>
      <c r="G853" t="str">
        <f>IFERROR(VLOOKUP(B853, Data!H:H, 1, FALSE), "")</f>
        <v/>
      </c>
    </row>
    <row r="854" spans="1:7" x14ac:dyDescent="0.25">
      <c r="A854" t="s">
        <v>1961</v>
      </c>
      <c r="B854" t="s">
        <v>2808</v>
      </c>
      <c r="C854">
        <v>51.5486098857142</v>
      </c>
      <c r="D854">
        <v>2.2050257142857101E-2</v>
      </c>
      <c r="F854">
        <v>7</v>
      </c>
      <c r="G854" t="str">
        <f>IFERROR(VLOOKUP(B854, Data!H:H, 1, FALSE), "")</f>
        <v/>
      </c>
    </row>
    <row r="855" spans="1:7" x14ac:dyDescent="0.25">
      <c r="A855" t="s">
        <v>1249</v>
      </c>
      <c r="B855" t="s">
        <v>3139</v>
      </c>
      <c r="C855">
        <v>51.384632955555503</v>
      </c>
      <c r="D855">
        <v>-0.15972655555555501</v>
      </c>
      <c r="F855">
        <v>9</v>
      </c>
      <c r="G855" t="str">
        <f>IFERROR(VLOOKUP(B855, Data!H:H, 1, FALSE), "")</f>
        <v/>
      </c>
    </row>
    <row r="856" spans="1:7" x14ac:dyDescent="0.25">
      <c r="A856" t="s">
        <v>1962</v>
      </c>
      <c r="B856" t="s">
        <v>3140</v>
      </c>
      <c r="C856">
        <v>51.648031130769198</v>
      </c>
      <c r="D856">
        <v>-0.21472913846153799</v>
      </c>
      <c r="E856" t="s">
        <v>1206</v>
      </c>
      <c r="F856">
        <v>13</v>
      </c>
      <c r="G856" t="str">
        <f>IFERROR(VLOOKUP(B856, Data!H:H, 1, FALSE), "")</f>
        <v/>
      </c>
    </row>
    <row r="857" spans="1:7" x14ac:dyDescent="0.25">
      <c r="A857" t="s">
        <v>1963</v>
      </c>
      <c r="B857" t="s">
        <v>3141</v>
      </c>
      <c r="C857">
        <v>51.380077180000001</v>
      </c>
      <c r="D857">
        <v>-0.15564207999999999</v>
      </c>
      <c r="F857">
        <v>5</v>
      </c>
      <c r="G857" t="str">
        <f>IFERROR(VLOOKUP(B857, Data!H:H, 1, FALSE), "")</f>
        <v/>
      </c>
    </row>
    <row r="858" spans="1:7" x14ac:dyDescent="0.25">
      <c r="A858" t="s">
        <v>1964</v>
      </c>
      <c r="B858" t="s">
        <v>3142</v>
      </c>
      <c r="C858">
        <v>51.646985255555499</v>
      </c>
      <c r="D858">
        <v>-0.19659572222222199</v>
      </c>
      <c r="F858">
        <v>9</v>
      </c>
      <c r="G858" t="str">
        <f>IFERROR(VLOOKUP(B858, Data!H:H, 1, FALSE), "")</f>
        <v/>
      </c>
    </row>
    <row r="859" spans="1:7" x14ac:dyDescent="0.25">
      <c r="A859" t="s">
        <v>1965</v>
      </c>
      <c r="B859" t="s">
        <v>3143</v>
      </c>
      <c r="C859">
        <v>51.653166741176399</v>
      </c>
      <c r="D859">
        <v>-0.20092354117646999</v>
      </c>
      <c r="F859">
        <v>17</v>
      </c>
      <c r="G859" t="str">
        <f>IFERROR(VLOOKUP(B859, Data!H:H, 1, FALSE), "")</f>
        <v/>
      </c>
    </row>
    <row r="860" spans="1:7" x14ac:dyDescent="0.25">
      <c r="A860" t="s">
        <v>1966</v>
      </c>
      <c r="B860" t="s">
        <v>3144</v>
      </c>
      <c r="C860">
        <v>51.653423157142797</v>
      </c>
      <c r="D860">
        <v>-0.20441429285714199</v>
      </c>
      <c r="F860">
        <v>14</v>
      </c>
      <c r="G860" t="str">
        <f>IFERROR(VLOOKUP(B860, Data!H:H, 1, FALSE), "")</f>
        <v/>
      </c>
    </row>
    <row r="861" spans="1:7" x14ac:dyDescent="0.25">
      <c r="A861" t="s">
        <v>1967</v>
      </c>
      <c r="B861" t="s">
        <v>3145</v>
      </c>
      <c r="C861">
        <v>51.653905904166599</v>
      </c>
      <c r="D861">
        <v>-0.20525072499999999</v>
      </c>
      <c r="F861">
        <v>24</v>
      </c>
      <c r="G861" t="str">
        <f>IFERROR(VLOOKUP(B861, Data!H:H, 1, FALSE), "")</f>
        <v/>
      </c>
    </row>
    <row r="862" spans="1:7" x14ac:dyDescent="0.25">
      <c r="A862" t="s">
        <v>1968</v>
      </c>
      <c r="B862" t="s">
        <v>3146</v>
      </c>
      <c r="C862">
        <v>51.655610125000003</v>
      </c>
      <c r="D862">
        <v>-0.2048690125</v>
      </c>
      <c r="F862">
        <v>8</v>
      </c>
      <c r="G862" t="str">
        <f>IFERROR(VLOOKUP(B862, Data!H:H, 1, FALSE), "")</f>
        <v/>
      </c>
    </row>
    <row r="863" spans="1:7" x14ac:dyDescent="0.25">
      <c r="A863" t="s">
        <v>1969</v>
      </c>
      <c r="B863" t="s">
        <v>3147</v>
      </c>
      <c r="C863">
        <v>51.605644847058798</v>
      </c>
      <c r="D863">
        <v>0.23572921176470499</v>
      </c>
      <c r="E863" t="s">
        <v>1206</v>
      </c>
      <c r="F863">
        <v>17</v>
      </c>
      <c r="G863" t="str">
        <f>IFERROR(VLOOKUP(B863, Data!H:H, 1, FALSE), "")</f>
        <v/>
      </c>
    </row>
    <row r="864" spans="1:7" x14ac:dyDescent="0.25">
      <c r="A864" t="s">
        <v>1970</v>
      </c>
      <c r="B864" t="s">
        <v>3148</v>
      </c>
      <c r="C864">
        <v>51.515314466666602</v>
      </c>
      <c r="D864">
        <v>-0.12626053333333301</v>
      </c>
      <c r="F864">
        <v>6</v>
      </c>
      <c r="G864" t="str">
        <f>IFERROR(VLOOKUP(B864, Data!H:H, 1, FALSE), "")</f>
        <v/>
      </c>
    </row>
    <row r="865" spans="1:7" x14ac:dyDescent="0.25">
      <c r="A865" t="s">
        <v>1971</v>
      </c>
      <c r="B865" t="s">
        <v>3149</v>
      </c>
      <c r="C865">
        <v>51.659070237930997</v>
      </c>
      <c r="D865">
        <v>-0.22904038965517201</v>
      </c>
      <c r="F865">
        <v>29</v>
      </c>
      <c r="G865" t="str">
        <f>IFERROR(VLOOKUP(B865, Data!H:H, 1, FALSE), "")</f>
        <v/>
      </c>
    </row>
    <row r="866" spans="1:7" x14ac:dyDescent="0.25">
      <c r="A866" t="s">
        <v>1972</v>
      </c>
      <c r="B866" t="s">
        <v>3150</v>
      </c>
      <c r="C866">
        <v>51.503266771052601</v>
      </c>
      <c r="D866">
        <v>-0.21413629736842099</v>
      </c>
      <c r="E866" t="s">
        <v>1206</v>
      </c>
      <c r="F866">
        <v>38</v>
      </c>
      <c r="G866" t="str">
        <f>IFERROR(VLOOKUP(B866, Data!H:H, 1, FALSE), "")</f>
        <v/>
      </c>
    </row>
    <row r="867" spans="1:7" x14ac:dyDescent="0.25">
      <c r="A867" t="s">
        <v>1207</v>
      </c>
      <c r="B867" t="s">
        <v>3151</v>
      </c>
      <c r="C867">
        <v>51.364890104999901</v>
      </c>
      <c r="D867">
        <v>-0.163069399999999</v>
      </c>
      <c r="E867" t="s">
        <v>1206</v>
      </c>
      <c r="F867">
        <v>20</v>
      </c>
      <c r="G867" t="str">
        <f>IFERROR(VLOOKUP(B867, Data!H:H, 1, FALSE), "")</f>
        <v/>
      </c>
    </row>
    <row r="868" spans="1:7" x14ac:dyDescent="0.25">
      <c r="A868" t="s">
        <v>1973</v>
      </c>
      <c r="B868" t="s">
        <v>3152</v>
      </c>
      <c r="C868">
        <v>51.647400594117599</v>
      </c>
      <c r="D868">
        <v>-0.23208638823529401</v>
      </c>
      <c r="F868">
        <v>17</v>
      </c>
      <c r="G868" t="str">
        <f>IFERROR(VLOOKUP(B868, Data!H:H, 1, FALSE), "")</f>
        <v/>
      </c>
    </row>
    <row r="869" spans="1:7" x14ac:dyDescent="0.25">
      <c r="A869" t="s">
        <v>1974</v>
      </c>
      <c r="B869" t="s">
        <v>3152</v>
      </c>
      <c r="C869">
        <v>51.647219700000001</v>
      </c>
      <c r="D869">
        <v>-0.23196395789473601</v>
      </c>
      <c r="F869">
        <v>19</v>
      </c>
      <c r="G869" t="str">
        <f>IFERROR(VLOOKUP(B869, Data!H:H, 1, FALSE), "")</f>
        <v/>
      </c>
    </row>
    <row r="870" spans="1:7" x14ac:dyDescent="0.25">
      <c r="A870" t="s">
        <v>1975</v>
      </c>
      <c r="B870" t="s">
        <v>2808</v>
      </c>
      <c r="C870">
        <v>51.556613157142799</v>
      </c>
      <c r="D870">
        <v>7.6166292857142798E-2</v>
      </c>
      <c r="E870" t="s">
        <v>1206</v>
      </c>
      <c r="F870">
        <v>14</v>
      </c>
      <c r="G870" t="str">
        <f>IFERROR(VLOOKUP(B870, Data!H:H, 1, FALSE), "")</f>
        <v/>
      </c>
    </row>
    <row r="871" spans="1:7" x14ac:dyDescent="0.25">
      <c r="A871" t="s">
        <v>1976</v>
      </c>
      <c r="B871" t="s">
        <v>2808</v>
      </c>
      <c r="C871">
        <v>51.571311522222203</v>
      </c>
      <c r="D871">
        <v>9.5126744444444397E-2</v>
      </c>
      <c r="F871">
        <v>18</v>
      </c>
      <c r="G871" t="str">
        <f>IFERROR(VLOOKUP(B871, Data!H:H, 1, FALSE), "")</f>
        <v/>
      </c>
    </row>
    <row r="872" spans="1:7" x14ac:dyDescent="0.25">
      <c r="A872" t="s">
        <v>1977</v>
      </c>
      <c r="B872" t="s">
        <v>3153</v>
      </c>
      <c r="C872">
        <v>51.533657018181799</v>
      </c>
      <c r="D872">
        <v>9.5319709090909005E-2</v>
      </c>
      <c r="E872" t="s">
        <v>1206</v>
      </c>
      <c r="F872">
        <v>44</v>
      </c>
      <c r="G872" t="str">
        <f>IFERROR(VLOOKUP(B872, Data!H:H, 1, FALSE), "")</f>
        <v/>
      </c>
    </row>
    <row r="873" spans="1:7" x14ac:dyDescent="0.25">
      <c r="A873" t="s">
        <v>1978</v>
      </c>
      <c r="B873" t="s">
        <v>3154</v>
      </c>
      <c r="C873">
        <v>51.567550199999999</v>
      </c>
      <c r="D873">
        <v>0.267606061538461</v>
      </c>
      <c r="E873" t="s">
        <v>1206</v>
      </c>
      <c r="F873">
        <v>13</v>
      </c>
      <c r="G873" t="str">
        <f>IFERROR(VLOOKUP(B873, Data!H:H, 1, FALSE), "")</f>
        <v/>
      </c>
    </row>
    <row r="874" spans="1:7" x14ac:dyDescent="0.25">
      <c r="A874" t="s">
        <v>1518</v>
      </c>
      <c r="B874" t="s">
        <v>3155</v>
      </c>
      <c r="C874">
        <v>51.658320918181801</v>
      </c>
      <c r="D874">
        <v>-0.20143618181818099</v>
      </c>
      <c r="F874">
        <v>11</v>
      </c>
      <c r="G874" t="str">
        <f>IFERROR(VLOOKUP(B874, Data!H:H, 1, FALSE), "")</f>
        <v/>
      </c>
    </row>
    <row r="875" spans="1:7" x14ac:dyDescent="0.25">
      <c r="A875" t="s">
        <v>1979</v>
      </c>
      <c r="B875" t="s">
        <v>3156</v>
      </c>
      <c r="C875">
        <v>51.658677511111101</v>
      </c>
      <c r="D875">
        <v>-0.204375722222222</v>
      </c>
      <c r="F875">
        <v>9</v>
      </c>
      <c r="G875" t="str">
        <f>IFERROR(VLOOKUP(B875, Data!H:H, 1, FALSE), "")</f>
        <v/>
      </c>
    </row>
    <row r="876" spans="1:7" x14ac:dyDescent="0.25">
      <c r="A876" t="s">
        <v>1980</v>
      </c>
      <c r="B876" t="s">
        <v>2808</v>
      </c>
      <c r="C876">
        <v>51.513700786666597</v>
      </c>
      <c r="D876">
        <v>-8.1080133333333304E-2</v>
      </c>
      <c r="F876">
        <v>15</v>
      </c>
      <c r="G876" t="str">
        <f>IFERROR(VLOOKUP(B876, Data!H:H, 1, FALSE), "")</f>
        <v/>
      </c>
    </row>
    <row r="877" spans="1:7" x14ac:dyDescent="0.25">
      <c r="A877" t="s">
        <v>1981</v>
      </c>
      <c r="B877" t="s">
        <v>3157</v>
      </c>
      <c r="C877">
        <v>51.5711192999999</v>
      </c>
      <c r="D877">
        <v>0.13635194</v>
      </c>
      <c r="E877" t="s">
        <v>1206</v>
      </c>
      <c r="F877">
        <v>15</v>
      </c>
      <c r="G877" t="str">
        <f>IFERROR(VLOOKUP(B877, Data!H:H, 1, FALSE), "")</f>
        <v/>
      </c>
    </row>
    <row r="878" spans="1:7" x14ac:dyDescent="0.25">
      <c r="A878" t="s">
        <v>1982</v>
      </c>
      <c r="B878" t="s">
        <v>3158</v>
      </c>
      <c r="C878">
        <v>51.598858110000002</v>
      </c>
      <c r="D878">
        <v>0.16015267999999999</v>
      </c>
      <c r="E878" t="s">
        <v>1206</v>
      </c>
      <c r="F878">
        <v>10</v>
      </c>
      <c r="G878" t="str">
        <f>IFERROR(VLOOKUP(B878, Data!H:H, 1, FALSE), "")</f>
        <v/>
      </c>
    </row>
    <row r="879" spans="1:7" x14ac:dyDescent="0.25">
      <c r="A879" t="s">
        <v>1983</v>
      </c>
      <c r="B879" t="s">
        <v>3159</v>
      </c>
      <c r="C879">
        <v>51.582738345454501</v>
      </c>
      <c r="D879">
        <v>0.22085216363636301</v>
      </c>
      <c r="E879" t="s">
        <v>1206</v>
      </c>
      <c r="F879">
        <v>11</v>
      </c>
      <c r="G879" t="str">
        <f>IFERROR(VLOOKUP(B879, Data!H:H, 1, FALSE), "")</f>
        <v/>
      </c>
    </row>
    <row r="880" spans="1:7" x14ac:dyDescent="0.25">
      <c r="A880" t="s">
        <v>1984</v>
      </c>
      <c r="B880" t="s">
        <v>3160</v>
      </c>
      <c r="C880">
        <v>51.610553350000004</v>
      </c>
      <c r="D880">
        <v>0.11001205999999999</v>
      </c>
      <c r="E880" t="s">
        <v>1206</v>
      </c>
      <c r="F880">
        <v>10</v>
      </c>
      <c r="G880" t="str">
        <f>IFERROR(VLOOKUP(B880, Data!H:H, 1, FALSE), "")</f>
        <v/>
      </c>
    </row>
    <row r="881" spans="1:7" x14ac:dyDescent="0.25">
      <c r="A881" t="s">
        <v>1480</v>
      </c>
      <c r="B881" t="s">
        <v>3161</v>
      </c>
      <c r="C881">
        <v>51.459449720000002</v>
      </c>
      <c r="D881">
        <v>0.112535279999999</v>
      </c>
      <c r="E881" t="s">
        <v>1206</v>
      </c>
      <c r="F881">
        <v>5</v>
      </c>
      <c r="G881" t="str">
        <f>IFERROR(VLOOKUP(B881, Data!H:H, 1, FALSE), "")</f>
        <v/>
      </c>
    </row>
    <row r="882" spans="1:7" x14ac:dyDescent="0.25">
      <c r="A882" t="s">
        <v>1985</v>
      </c>
      <c r="B882" t="s">
        <v>3162</v>
      </c>
      <c r="C882">
        <v>51.364838690908996</v>
      </c>
      <c r="D882">
        <v>-0.1515</v>
      </c>
      <c r="F882">
        <v>11</v>
      </c>
      <c r="G882" t="str">
        <f>IFERROR(VLOOKUP(B882, Data!H:H, 1, FALSE), "")</f>
        <v/>
      </c>
    </row>
    <row r="883" spans="1:7" x14ac:dyDescent="0.25">
      <c r="A883" t="s">
        <v>1986</v>
      </c>
      <c r="B883" t="s">
        <v>3163</v>
      </c>
      <c r="C883">
        <v>51.653048740000003</v>
      </c>
      <c r="D883">
        <v>-0.18497349333333299</v>
      </c>
      <c r="E883" t="s">
        <v>1206</v>
      </c>
      <c r="F883">
        <v>15</v>
      </c>
      <c r="G883" t="str">
        <f>IFERROR(VLOOKUP(B883, Data!H:H, 1, FALSE), "")</f>
        <v/>
      </c>
    </row>
    <row r="884" spans="1:7" x14ac:dyDescent="0.25">
      <c r="A884" t="s">
        <v>1987</v>
      </c>
      <c r="B884" t="s">
        <v>2808</v>
      </c>
      <c r="C884">
        <v>51.511698414285704</v>
      </c>
      <c r="D884">
        <v>-9.9268157142857097E-2</v>
      </c>
      <c r="E884" t="s">
        <v>1206</v>
      </c>
      <c r="F884">
        <v>7</v>
      </c>
      <c r="G884" t="str">
        <f>IFERROR(VLOOKUP(B884, Data!H:H, 1, FALSE), "")</f>
        <v/>
      </c>
    </row>
    <row r="885" spans="1:7" x14ac:dyDescent="0.25">
      <c r="A885" t="s">
        <v>1988</v>
      </c>
      <c r="B885" t="s">
        <v>3164</v>
      </c>
      <c r="C885">
        <v>51.516576788235298</v>
      </c>
      <c r="D885">
        <v>-8.4232799999999997E-2</v>
      </c>
      <c r="E885" t="s">
        <v>1206</v>
      </c>
      <c r="F885">
        <v>17</v>
      </c>
      <c r="G885" t="str">
        <f>IFERROR(VLOOKUP(B885, Data!H:H, 1, FALSE), "")</f>
        <v/>
      </c>
    </row>
    <row r="886" spans="1:7" x14ac:dyDescent="0.25">
      <c r="A886" t="s">
        <v>1989</v>
      </c>
      <c r="B886" t="s">
        <v>3165</v>
      </c>
      <c r="C886">
        <v>51.500134033333303</v>
      </c>
      <c r="D886">
        <v>-0.318169008333333</v>
      </c>
      <c r="E886" t="s">
        <v>1206</v>
      </c>
      <c r="F886">
        <v>12</v>
      </c>
      <c r="G886" t="str">
        <f>IFERROR(VLOOKUP(B886, Data!H:H, 1, FALSE), "")</f>
        <v/>
      </c>
    </row>
    <row r="887" spans="1:7" x14ac:dyDescent="0.25">
      <c r="A887" t="s">
        <v>1990</v>
      </c>
      <c r="B887" t="s">
        <v>3166</v>
      </c>
      <c r="C887">
        <v>51.3581376647059</v>
      </c>
      <c r="D887">
        <v>-0.1886787</v>
      </c>
      <c r="F887">
        <v>17</v>
      </c>
      <c r="G887" t="str">
        <f>IFERROR(VLOOKUP(B887, Data!H:H, 1, FALSE), "")</f>
        <v/>
      </c>
    </row>
    <row r="888" spans="1:7" x14ac:dyDescent="0.25">
      <c r="A888" t="s">
        <v>1868</v>
      </c>
      <c r="B888" t="s">
        <v>3167</v>
      </c>
      <c r="C888">
        <v>51.372655752499902</v>
      </c>
      <c r="D888">
        <v>-0.1931654575</v>
      </c>
      <c r="E888" t="s">
        <v>1206</v>
      </c>
      <c r="F888">
        <v>40</v>
      </c>
      <c r="G888" t="str">
        <f>IFERROR(VLOOKUP(B888, Data!H:H, 1, FALSE), "")</f>
        <v/>
      </c>
    </row>
    <row r="889" spans="1:7" x14ac:dyDescent="0.25">
      <c r="A889" t="s">
        <v>1991</v>
      </c>
      <c r="B889" t="s">
        <v>3168</v>
      </c>
      <c r="C889">
        <v>51.630545954545397</v>
      </c>
      <c r="D889">
        <v>-0.17068329090909001</v>
      </c>
      <c r="F889">
        <v>11</v>
      </c>
      <c r="G889" t="str">
        <f>IFERROR(VLOOKUP(B889, Data!H:H, 1, FALSE), "")</f>
        <v/>
      </c>
    </row>
    <row r="890" spans="1:7" x14ac:dyDescent="0.25">
      <c r="A890" t="s">
        <v>1992</v>
      </c>
      <c r="B890" t="s">
        <v>3169</v>
      </c>
      <c r="C890">
        <v>51.5133125714285</v>
      </c>
      <c r="D890">
        <v>-0.13447598571428501</v>
      </c>
      <c r="F890">
        <v>7</v>
      </c>
      <c r="G890" t="str">
        <f>IFERROR(VLOOKUP(B890, Data!H:H, 1, FALSE), "")</f>
        <v/>
      </c>
    </row>
    <row r="891" spans="1:7" x14ac:dyDescent="0.25">
      <c r="A891" t="s">
        <v>1494</v>
      </c>
      <c r="B891" t="s">
        <v>3170</v>
      </c>
      <c r="C891">
        <v>51.388093039130403</v>
      </c>
      <c r="D891">
        <v>-0.18138173043478201</v>
      </c>
      <c r="E891" t="s">
        <v>1206</v>
      </c>
      <c r="F891">
        <v>23</v>
      </c>
      <c r="G891" t="str">
        <f>IFERROR(VLOOKUP(B891, Data!H:H, 1, FALSE), "")</f>
        <v/>
      </c>
    </row>
    <row r="892" spans="1:7" x14ac:dyDescent="0.25">
      <c r="A892" t="s">
        <v>1993</v>
      </c>
      <c r="B892" t="s">
        <v>3171</v>
      </c>
      <c r="C892">
        <v>51.4566695866666</v>
      </c>
      <c r="D892">
        <v>-0.29572417333333301</v>
      </c>
      <c r="E892" t="s">
        <v>1206</v>
      </c>
      <c r="F892">
        <v>15</v>
      </c>
      <c r="G892" t="str">
        <f>IFERROR(VLOOKUP(B892, Data!H:H, 1, FALSE), "")</f>
        <v/>
      </c>
    </row>
    <row r="893" spans="1:7" x14ac:dyDescent="0.25">
      <c r="A893" t="s">
        <v>1994</v>
      </c>
      <c r="B893" t="s">
        <v>2808</v>
      </c>
      <c r="C893">
        <v>51.610492440000002</v>
      </c>
      <c r="D893">
        <v>-6.6615139999999906E-2</v>
      </c>
      <c r="F893">
        <v>5</v>
      </c>
      <c r="G893" t="str">
        <f>IFERROR(VLOOKUP(B893, Data!H:H, 1, FALSE), "")</f>
        <v/>
      </c>
    </row>
    <row r="894" spans="1:7" x14ac:dyDescent="0.25">
      <c r="A894" t="s">
        <v>1995</v>
      </c>
      <c r="B894" t="s">
        <v>3172</v>
      </c>
      <c r="C894">
        <v>51.639649499999898</v>
      </c>
      <c r="D894">
        <v>-0.16143750000000001</v>
      </c>
      <c r="F894">
        <v>9</v>
      </c>
      <c r="G894" t="str">
        <f>IFERROR(VLOOKUP(B894, Data!H:H, 1, FALSE), "")</f>
        <v/>
      </c>
    </row>
    <row r="895" spans="1:7" x14ac:dyDescent="0.25">
      <c r="A895" t="s">
        <v>1996</v>
      </c>
      <c r="B895" t="s">
        <v>3173</v>
      </c>
      <c r="C895">
        <v>51.480422779999898</v>
      </c>
      <c r="D895">
        <v>-9.7960719999999994E-3</v>
      </c>
      <c r="E895" t="s">
        <v>1206</v>
      </c>
      <c r="F895">
        <v>25</v>
      </c>
      <c r="G895" t="str">
        <f>IFERROR(VLOOKUP(B895, Data!H:H, 1, FALSE), "")</f>
        <v/>
      </c>
    </row>
    <row r="896" spans="1:7" x14ac:dyDescent="0.25">
      <c r="A896" t="s">
        <v>1997</v>
      </c>
      <c r="B896" t="s">
        <v>3174</v>
      </c>
      <c r="C896">
        <v>51.635303181818102</v>
      </c>
      <c r="D896">
        <v>-0.156104854545454</v>
      </c>
      <c r="F896">
        <v>11</v>
      </c>
      <c r="G896" t="str">
        <f>IFERROR(VLOOKUP(B896, Data!H:H, 1, FALSE), "")</f>
        <v/>
      </c>
    </row>
    <row r="897" spans="1:7" x14ac:dyDescent="0.25">
      <c r="A897" t="s">
        <v>1609</v>
      </c>
      <c r="B897" t="s">
        <v>2808</v>
      </c>
      <c r="C897">
        <v>51.528749663636297</v>
      </c>
      <c r="D897">
        <v>-1.6652690909090901E-2</v>
      </c>
      <c r="F897">
        <v>11</v>
      </c>
      <c r="G897" t="str">
        <f>IFERROR(VLOOKUP(B897, Data!H:H, 1, FALSE), "")</f>
        <v/>
      </c>
    </row>
    <row r="898" spans="1:7" x14ac:dyDescent="0.25">
      <c r="A898" t="s">
        <v>1283</v>
      </c>
      <c r="B898" t="s">
        <v>2808</v>
      </c>
      <c r="C898">
        <v>51.485415976923001</v>
      </c>
      <c r="D898">
        <v>5.1213923076923002E-3</v>
      </c>
      <c r="E898" t="s">
        <v>1206</v>
      </c>
      <c r="F898">
        <v>13</v>
      </c>
      <c r="G898" t="str">
        <f>IFERROR(VLOOKUP(B898, Data!H:H, 1, FALSE), "")</f>
        <v/>
      </c>
    </row>
    <row r="899" spans="1:7" x14ac:dyDescent="0.25">
      <c r="A899" t="s">
        <v>1998</v>
      </c>
      <c r="B899" t="s">
        <v>3175</v>
      </c>
      <c r="C899">
        <v>51.504904271428501</v>
      </c>
      <c r="D899">
        <v>-0.136863471428571</v>
      </c>
      <c r="E899" t="s">
        <v>1206</v>
      </c>
      <c r="F899">
        <v>7</v>
      </c>
      <c r="G899" t="str">
        <f>IFERROR(VLOOKUP(B899, Data!H:H, 1, FALSE), "")</f>
        <v/>
      </c>
    </row>
    <row r="900" spans="1:7" x14ac:dyDescent="0.25">
      <c r="A900" t="s">
        <v>1999</v>
      </c>
      <c r="B900" t="s">
        <v>2808</v>
      </c>
      <c r="C900">
        <v>51.4817887782608</v>
      </c>
      <c r="D900">
        <v>3.5753869565217297E-2</v>
      </c>
      <c r="F900">
        <v>23</v>
      </c>
      <c r="G900" t="str">
        <f>IFERROR(VLOOKUP(B900, Data!H:H, 1, FALSE), "")</f>
        <v/>
      </c>
    </row>
    <row r="901" spans="1:7" x14ac:dyDescent="0.25">
      <c r="A901" t="s">
        <v>2000</v>
      </c>
      <c r="B901" t="s">
        <v>3176</v>
      </c>
      <c r="C901">
        <v>51.587148669999998</v>
      </c>
      <c r="D901">
        <v>6.2507300000000003E-3</v>
      </c>
      <c r="E901" t="s">
        <v>1206</v>
      </c>
      <c r="F901">
        <v>10</v>
      </c>
      <c r="G901" t="str">
        <f>IFERROR(VLOOKUP(B901, Data!H:H, 1, FALSE), "")</f>
        <v/>
      </c>
    </row>
    <row r="902" spans="1:7" x14ac:dyDescent="0.25">
      <c r="A902" t="s">
        <v>2001</v>
      </c>
      <c r="B902" t="s">
        <v>3177</v>
      </c>
      <c r="C902">
        <v>51.378312637500002</v>
      </c>
      <c r="D902">
        <v>-0.100987156249999</v>
      </c>
      <c r="E902" t="s">
        <v>1206</v>
      </c>
      <c r="F902">
        <v>32</v>
      </c>
      <c r="G902" t="str">
        <f>IFERROR(VLOOKUP(B902, Data!H:H, 1, FALSE), "")</f>
        <v/>
      </c>
    </row>
    <row r="903" spans="1:7" x14ac:dyDescent="0.25">
      <c r="A903" t="s">
        <v>1527</v>
      </c>
      <c r="B903" t="s">
        <v>3178</v>
      </c>
      <c r="C903">
        <v>51.375317584615303</v>
      </c>
      <c r="D903">
        <v>-0.10600268461538399</v>
      </c>
      <c r="F903">
        <v>13</v>
      </c>
      <c r="G903" t="str">
        <f>IFERROR(VLOOKUP(B903, Data!H:H, 1, FALSE), "")</f>
        <v/>
      </c>
    </row>
    <row r="904" spans="1:7" x14ac:dyDescent="0.25">
      <c r="A904" t="s">
        <v>2002</v>
      </c>
      <c r="B904" t="s">
        <v>3179</v>
      </c>
      <c r="C904">
        <v>51.564901544444403</v>
      </c>
      <c r="D904">
        <v>-0.44398172222222199</v>
      </c>
      <c r="F904">
        <v>9</v>
      </c>
      <c r="G904" t="str">
        <f>IFERROR(VLOOKUP(B904, Data!H:H, 1, FALSE), "")</f>
        <v/>
      </c>
    </row>
    <row r="905" spans="1:7" x14ac:dyDescent="0.25">
      <c r="A905" t="s">
        <v>2003</v>
      </c>
      <c r="B905" t="s">
        <v>2808</v>
      </c>
      <c r="C905">
        <v>51.515488775000001</v>
      </c>
      <c r="D905">
        <v>-8.20253499999999E-2</v>
      </c>
      <c r="E905" t="s">
        <v>1206</v>
      </c>
      <c r="F905">
        <v>12</v>
      </c>
      <c r="G905" t="str">
        <f>IFERROR(VLOOKUP(B905, Data!H:H, 1, FALSE), "")</f>
        <v/>
      </c>
    </row>
    <row r="906" spans="1:7" x14ac:dyDescent="0.25">
      <c r="A906" t="s">
        <v>2004</v>
      </c>
      <c r="B906" t="s">
        <v>2808</v>
      </c>
      <c r="C906">
        <v>51.512463183333303</v>
      </c>
      <c r="D906">
        <v>-8.6250158333333299E-2</v>
      </c>
      <c r="E906" t="s">
        <v>1206</v>
      </c>
      <c r="F906">
        <v>12</v>
      </c>
      <c r="G906" t="str">
        <f>IFERROR(VLOOKUP(B906, Data!H:H, 1, FALSE), "")</f>
        <v/>
      </c>
    </row>
    <row r="907" spans="1:7" x14ac:dyDescent="0.25">
      <c r="A907" t="s">
        <v>2005</v>
      </c>
      <c r="B907" t="s">
        <v>2808</v>
      </c>
      <c r="C907">
        <v>51.513225766666601</v>
      </c>
      <c r="D907">
        <v>-8.4591844444444397E-2</v>
      </c>
      <c r="F907">
        <v>9</v>
      </c>
      <c r="G907" t="str">
        <f>IFERROR(VLOOKUP(B907, Data!H:H, 1, FALSE), "")</f>
        <v/>
      </c>
    </row>
    <row r="908" spans="1:7" x14ac:dyDescent="0.25">
      <c r="A908" t="s">
        <v>2006</v>
      </c>
      <c r="B908" t="s">
        <v>3180</v>
      </c>
      <c r="C908">
        <v>51.516490599999997</v>
      </c>
      <c r="D908">
        <v>-9.6366129999999994E-2</v>
      </c>
      <c r="E908" t="s">
        <v>1206</v>
      </c>
      <c r="F908">
        <v>10</v>
      </c>
      <c r="G908" t="str">
        <f>IFERROR(VLOOKUP(B908, Data!H:H, 1, FALSE), "")</f>
        <v/>
      </c>
    </row>
    <row r="909" spans="1:7" x14ac:dyDescent="0.25">
      <c r="A909" t="s">
        <v>2007</v>
      </c>
      <c r="B909" t="s">
        <v>2808</v>
      </c>
      <c r="C909">
        <v>51.5169825083333</v>
      </c>
      <c r="D909">
        <v>-9.73005166666666E-2</v>
      </c>
      <c r="F909">
        <v>12</v>
      </c>
      <c r="G909" t="str">
        <f>IFERROR(VLOOKUP(B909, Data!H:H, 1, FALSE), "")</f>
        <v/>
      </c>
    </row>
    <row r="910" spans="1:7" x14ac:dyDescent="0.25">
      <c r="A910" t="s">
        <v>2008</v>
      </c>
      <c r="B910" t="s">
        <v>3181</v>
      </c>
      <c r="C910">
        <v>51.51301935</v>
      </c>
      <c r="D910">
        <v>-0.17658643571428501</v>
      </c>
      <c r="E910" t="s">
        <v>1206</v>
      </c>
      <c r="F910">
        <v>14</v>
      </c>
      <c r="G910" t="str">
        <f>IFERROR(VLOOKUP(B910, Data!H:H, 1, FALSE), "")</f>
        <v/>
      </c>
    </row>
    <row r="911" spans="1:7" x14ac:dyDescent="0.25">
      <c r="A911" t="s">
        <v>1313</v>
      </c>
      <c r="B911" t="s">
        <v>3182</v>
      </c>
      <c r="C911">
        <v>51.471785481250002</v>
      </c>
      <c r="D911">
        <v>-0.11717095625</v>
      </c>
      <c r="F911">
        <v>16</v>
      </c>
      <c r="G911" t="str">
        <f>IFERROR(VLOOKUP(B911, Data!H:H, 1, FALSE), "")</f>
        <v/>
      </c>
    </row>
    <row r="912" spans="1:7" x14ac:dyDescent="0.25">
      <c r="A912" t="s">
        <v>1933</v>
      </c>
      <c r="B912" t="s">
        <v>2808</v>
      </c>
      <c r="C912">
        <v>51.365747842857097</v>
      </c>
      <c r="D912">
        <v>-6.1448642857142802E-3</v>
      </c>
      <c r="E912" t="s">
        <v>1206</v>
      </c>
      <c r="F912">
        <v>14</v>
      </c>
      <c r="G912" t="str">
        <f>IFERROR(VLOOKUP(B912, Data!H:H, 1, FALSE), "")</f>
        <v/>
      </c>
    </row>
    <row r="913" spans="1:7" x14ac:dyDescent="0.25">
      <c r="A913" t="s">
        <v>2009</v>
      </c>
      <c r="B913" t="s">
        <v>2808</v>
      </c>
      <c r="C913">
        <v>51.358407726666599</v>
      </c>
      <c r="D913">
        <v>-3.2239266666666599E-2</v>
      </c>
      <c r="E913" t="s">
        <v>1206</v>
      </c>
      <c r="F913">
        <v>15</v>
      </c>
      <c r="G913" t="str">
        <f>IFERROR(VLOOKUP(B913, Data!H:H, 1, FALSE), "")</f>
        <v/>
      </c>
    </row>
    <row r="914" spans="1:7" x14ac:dyDescent="0.25">
      <c r="A914" t="s">
        <v>1494</v>
      </c>
      <c r="B914" t="s">
        <v>2808</v>
      </c>
      <c r="C914">
        <v>51.3633699947368</v>
      </c>
      <c r="D914">
        <v>-9.54929105263157E-2</v>
      </c>
      <c r="E914" t="s">
        <v>1206</v>
      </c>
      <c r="F914">
        <v>19</v>
      </c>
      <c r="G914" t="str">
        <f>IFERROR(VLOOKUP(B914, Data!H:H, 1, FALSE), "")</f>
        <v/>
      </c>
    </row>
    <row r="915" spans="1:7" x14ac:dyDescent="0.25">
      <c r="A915" t="s">
        <v>1237</v>
      </c>
      <c r="B915" t="s">
        <v>3183</v>
      </c>
      <c r="C915">
        <v>51.511490868749902</v>
      </c>
      <c r="D915">
        <v>-0.12377295625</v>
      </c>
      <c r="E915" t="s">
        <v>1206</v>
      </c>
      <c r="F915">
        <v>16</v>
      </c>
      <c r="G915" t="str">
        <f>IFERROR(VLOOKUP(B915, Data!H:H, 1, FALSE), "")</f>
        <v/>
      </c>
    </row>
    <row r="916" spans="1:7" x14ac:dyDescent="0.25">
      <c r="A916" t="s">
        <v>1226</v>
      </c>
      <c r="B916" t="s">
        <v>3184</v>
      </c>
      <c r="C916">
        <v>51.353162328571401</v>
      </c>
      <c r="D916">
        <v>-0.13401940000000001</v>
      </c>
      <c r="E916" t="s">
        <v>1206</v>
      </c>
      <c r="F916">
        <v>7</v>
      </c>
      <c r="G916" t="str">
        <f>IFERROR(VLOOKUP(B916, Data!H:H, 1, FALSE), "")</f>
        <v/>
      </c>
    </row>
    <row r="917" spans="1:7" x14ac:dyDescent="0.25">
      <c r="A917" t="s">
        <v>2010</v>
      </c>
      <c r="B917" t="s">
        <v>3185</v>
      </c>
      <c r="C917">
        <v>51.516570836585302</v>
      </c>
      <c r="D917">
        <v>-0.1129255</v>
      </c>
      <c r="F917">
        <v>41</v>
      </c>
      <c r="G917" t="str">
        <f>IFERROR(VLOOKUP(B917, Data!H:H, 1, FALSE), "")</f>
        <v/>
      </c>
    </row>
    <row r="918" spans="1:7" x14ac:dyDescent="0.25">
      <c r="A918" t="s">
        <v>2011</v>
      </c>
      <c r="B918" t="s">
        <v>2808</v>
      </c>
      <c r="C918">
        <v>51.576787684615297</v>
      </c>
      <c r="D918">
        <v>1.0835384615384599E-2</v>
      </c>
      <c r="F918">
        <v>13</v>
      </c>
      <c r="G918" t="str">
        <f>IFERROR(VLOOKUP(B918, Data!H:H, 1, FALSE), "")</f>
        <v/>
      </c>
    </row>
    <row r="919" spans="1:7" x14ac:dyDescent="0.25">
      <c r="A919" t="s">
        <v>2012</v>
      </c>
      <c r="B919" t="s">
        <v>3186</v>
      </c>
      <c r="C919">
        <v>51.478191771428499</v>
      </c>
      <c r="D919">
        <v>-0.20265051428571401</v>
      </c>
      <c r="F919">
        <v>7</v>
      </c>
      <c r="G919" t="str">
        <f>IFERROR(VLOOKUP(B919, Data!H:H, 1, FALSE), "")</f>
        <v/>
      </c>
    </row>
    <row r="920" spans="1:7" x14ac:dyDescent="0.25">
      <c r="A920" t="s">
        <v>1607</v>
      </c>
      <c r="B920" t="s">
        <v>3187</v>
      </c>
      <c r="C920">
        <v>51.432298727272702</v>
      </c>
      <c r="D920">
        <v>-0.10343479090909</v>
      </c>
      <c r="E920" t="s">
        <v>1206</v>
      </c>
      <c r="F920">
        <v>11</v>
      </c>
      <c r="G920" t="str">
        <f>IFERROR(VLOOKUP(B920, Data!H:H, 1, FALSE), "")</f>
        <v/>
      </c>
    </row>
    <row r="921" spans="1:7" x14ac:dyDescent="0.25">
      <c r="A921" t="s">
        <v>2013</v>
      </c>
      <c r="B921" t="s">
        <v>2808</v>
      </c>
      <c r="C921">
        <v>51.465045046153797</v>
      </c>
      <c r="D921">
        <v>-3.0606715384615301E-2</v>
      </c>
      <c r="F921">
        <v>13</v>
      </c>
      <c r="G921" t="str">
        <f>IFERROR(VLOOKUP(B921, Data!H:H, 1, FALSE), "")</f>
        <v/>
      </c>
    </row>
    <row r="922" spans="1:7" x14ac:dyDescent="0.25">
      <c r="A922" t="s">
        <v>2014</v>
      </c>
      <c r="B922" t="s">
        <v>3188</v>
      </c>
      <c r="C922">
        <v>51.56492815</v>
      </c>
      <c r="D922">
        <v>-6.8826125000000002E-2</v>
      </c>
      <c r="F922">
        <v>8</v>
      </c>
      <c r="G922" t="str">
        <f>IFERROR(VLOOKUP(B922, Data!H:H, 1, FALSE), "")</f>
        <v/>
      </c>
    </row>
    <row r="923" spans="1:7" x14ac:dyDescent="0.25">
      <c r="A923" t="s">
        <v>2015</v>
      </c>
      <c r="B923" t="s">
        <v>3189</v>
      </c>
      <c r="C923">
        <v>51.649514099999998</v>
      </c>
      <c r="D923">
        <v>-0.16969680000000001</v>
      </c>
      <c r="F923">
        <v>15</v>
      </c>
      <c r="G923" t="str">
        <f>IFERROR(VLOOKUP(B923, Data!H:H, 1, FALSE), "")</f>
        <v/>
      </c>
    </row>
    <row r="924" spans="1:7" x14ac:dyDescent="0.25">
      <c r="A924" t="s">
        <v>2016</v>
      </c>
      <c r="B924" t="s">
        <v>3190</v>
      </c>
      <c r="C924">
        <v>51.651524517646997</v>
      </c>
      <c r="D924">
        <v>-0.15234450588235199</v>
      </c>
      <c r="E924" t="s">
        <v>1206</v>
      </c>
      <c r="F924">
        <v>17</v>
      </c>
      <c r="G924" t="str">
        <f>IFERROR(VLOOKUP(B924, Data!H:H, 1, FALSE), "")</f>
        <v/>
      </c>
    </row>
    <row r="925" spans="1:7" x14ac:dyDescent="0.25">
      <c r="A925" t="s">
        <v>2017</v>
      </c>
      <c r="B925" t="s">
        <v>3191</v>
      </c>
      <c r="C925">
        <v>51.563846040000001</v>
      </c>
      <c r="D925">
        <v>-0.12884519999999999</v>
      </c>
      <c r="F925">
        <v>5</v>
      </c>
      <c r="G925" t="str">
        <f>IFERROR(VLOOKUP(B925, Data!H:H, 1, FALSE), "")</f>
        <v/>
      </c>
    </row>
    <row r="926" spans="1:7" x14ac:dyDescent="0.25">
      <c r="A926" t="s">
        <v>2018</v>
      </c>
      <c r="B926" t="s">
        <v>2808</v>
      </c>
      <c r="C926">
        <v>51.467689490476197</v>
      </c>
      <c r="D926">
        <v>-4.4395242857142803E-2</v>
      </c>
      <c r="E926" t="s">
        <v>1206</v>
      </c>
      <c r="F926">
        <v>21</v>
      </c>
      <c r="G926" t="str">
        <f>IFERROR(VLOOKUP(B926, Data!H:H, 1, FALSE), "")</f>
        <v/>
      </c>
    </row>
    <row r="927" spans="1:7" x14ac:dyDescent="0.25">
      <c r="A927" t="s">
        <v>1799</v>
      </c>
      <c r="B927" t="s">
        <v>3192</v>
      </c>
      <c r="C927">
        <v>51.4970751785714</v>
      </c>
      <c r="D927">
        <v>-0.13071058571428501</v>
      </c>
      <c r="E927" t="s">
        <v>1206</v>
      </c>
      <c r="F927">
        <v>14</v>
      </c>
      <c r="G927" t="str">
        <f>IFERROR(VLOOKUP(B927, Data!H:H, 1, FALSE), "")</f>
        <v/>
      </c>
    </row>
    <row r="928" spans="1:7" x14ac:dyDescent="0.25">
      <c r="A928" t="s">
        <v>2019</v>
      </c>
      <c r="B928" t="s">
        <v>3193</v>
      </c>
      <c r="C928">
        <v>51.307713324999902</v>
      </c>
      <c r="D928">
        <v>-0.11808336</v>
      </c>
      <c r="E928" t="s">
        <v>1206</v>
      </c>
      <c r="F928">
        <v>20</v>
      </c>
      <c r="G928" t="str">
        <f>IFERROR(VLOOKUP(B928, Data!H:H, 1, FALSE), "")</f>
        <v/>
      </c>
    </row>
    <row r="929" spans="1:7" x14ac:dyDescent="0.25">
      <c r="A929" t="s">
        <v>2020</v>
      </c>
      <c r="B929" t="s">
        <v>3194</v>
      </c>
      <c r="C929">
        <v>51.506491711111103</v>
      </c>
      <c r="D929">
        <v>0.21744191666666601</v>
      </c>
      <c r="F929">
        <v>18</v>
      </c>
      <c r="G929" t="str">
        <f>IFERROR(VLOOKUP(B929, Data!H:H, 1, FALSE), "")</f>
        <v/>
      </c>
    </row>
    <row r="930" spans="1:7" x14ac:dyDescent="0.25">
      <c r="A930" t="s">
        <v>2021</v>
      </c>
      <c r="B930" t="s">
        <v>3195</v>
      </c>
      <c r="C930">
        <v>51.518304376922998</v>
      </c>
      <c r="D930">
        <v>0.190582176923076</v>
      </c>
      <c r="F930">
        <v>13</v>
      </c>
      <c r="G930" t="str">
        <f>IFERROR(VLOOKUP(B930, Data!H:H, 1, FALSE), "")</f>
        <v/>
      </c>
    </row>
    <row r="931" spans="1:7" x14ac:dyDescent="0.25">
      <c r="A931" t="s">
        <v>2022</v>
      </c>
      <c r="B931" t="s">
        <v>3196</v>
      </c>
      <c r="C931">
        <v>51.461448587500001</v>
      </c>
      <c r="D931">
        <v>-0.1609278375</v>
      </c>
      <c r="E931" t="s">
        <v>1206</v>
      </c>
      <c r="F931">
        <v>8</v>
      </c>
      <c r="G931" t="str">
        <f>IFERROR(VLOOKUP(B931, Data!H:H, 1, FALSE), "")</f>
        <v/>
      </c>
    </row>
    <row r="932" spans="1:7" x14ac:dyDescent="0.25">
      <c r="A932" t="s">
        <v>2023</v>
      </c>
      <c r="B932" t="s">
        <v>3197</v>
      </c>
      <c r="C932">
        <v>51.515484999999998</v>
      </c>
      <c r="D932">
        <v>-0.168209346153846</v>
      </c>
      <c r="F932">
        <v>13</v>
      </c>
      <c r="G932" t="str">
        <f>IFERROR(VLOOKUP(B932, Data!H:H, 1, FALSE), "")</f>
        <v/>
      </c>
    </row>
    <row r="933" spans="1:7" x14ac:dyDescent="0.25">
      <c r="A933" t="s">
        <v>2024</v>
      </c>
      <c r="B933" t="s">
        <v>3198</v>
      </c>
      <c r="C933">
        <v>51.516191333333303</v>
      </c>
      <c r="D933">
        <v>0.19639931666666599</v>
      </c>
      <c r="F933">
        <v>6</v>
      </c>
      <c r="G933" t="str">
        <f>IFERROR(VLOOKUP(B933, Data!H:H, 1, FALSE), "")</f>
        <v/>
      </c>
    </row>
    <row r="934" spans="1:7" x14ac:dyDescent="0.25">
      <c r="A934" t="s">
        <v>1679</v>
      </c>
      <c r="B934" t="s">
        <v>3199</v>
      </c>
      <c r="C934">
        <v>51.460461559259201</v>
      </c>
      <c r="D934">
        <v>-0.17017095925925901</v>
      </c>
      <c r="E934" t="s">
        <v>1206</v>
      </c>
      <c r="F934">
        <v>27</v>
      </c>
      <c r="G934" t="str">
        <f>IFERROR(VLOOKUP(B934, Data!H:H, 1, FALSE), "")</f>
        <v/>
      </c>
    </row>
    <row r="935" spans="1:7" x14ac:dyDescent="0.25">
      <c r="A935" t="s">
        <v>1999</v>
      </c>
      <c r="B935" t="s">
        <v>3200</v>
      </c>
      <c r="C935">
        <v>51.452339273684203</v>
      </c>
      <c r="D935">
        <v>-0.156582247368421</v>
      </c>
      <c r="E935" t="s">
        <v>1206</v>
      </c>
      <c r="F935">
        <v>19</v>
      </c>
      <c r="G935" t="str">
        <f>IFERROR(VLOOKUP(B935, Data!H:H, 1, FALSE), "")</f>
        <v/>
      </c>
    </row>
    <row r="936" spans="1:7" x14ac:dyDescent="0.25">
      <c r="A936" t="s">
        <v>2025</v>
      </c>
      <c r="B936" t="s">
        <v>2808</v>
      </c>
      <c r="C936">
        <v>51.481973556521702</v>
      </c>
      <c r="D936">
        <v>-2.2826182608695601E-2</v>
      </c>
      <c r="E936" t="s">
        <v>1206</v>
      </c>
      <c r="F936">
        <v>23</v>
      </c>
      <c r="G936" t="str">
        <f>IFERROR(VLOOKUP(B936, Data!H:H, 1, FALSE), "")</f>
        <v/>
      </c>
    </row>
    <row r="937" spans="1:7" x14ac:dyDescent="0.25">
      <c r="A937" t="s">
        <v>2026</v>
      </c>
      <c r="B937" t="s">
        <v>2808</v>
      </c>
      <c r="C937">
        <v>51.5251503799999</v>
      </c>
      <c r="D937">
        <v>-6.7219359999999895E-2</v>
      </c>
      <c r="F937">
        <v>5</v>
      </c>
      <c r="G937" t="str">
        <f>IFERROR(VLOOKUP(B937, Data!H:H, 1, FALSE), "")</f>
        <v/>
      </c>
    </row>
    <row r="938" spans="1:7" x14ac:dyDescent="0.25">
      <c r="A938" t="s">
        <v>2027</v>
      </c>
      <c r="B938" t="s">
        <v>3201</v>
      </c>
      <c r="C938">
        <v>51.450722207692301</v>
      </c>
      <c r="D938">
        <v>-0.14936035384615301</v>
      </c>
      <c r="E938" t="s">
        <v>1206</v>
      </c>
      <c r="F938">
        <v>13</v>
      </c>
      <c r="G938" t="str">
        <f>IFERROR(VLOOKUP(B938, Data!H:H, 1, FALSE), "")</f>
        <v/>
      </c>
    </row>
    <row r="939" spans="1:7" x14ac:dyDescent="0.25">
      <c r="A939" t="s">
        <v>2028</v>
      </c>
      <c r="B939" t="s">
        <v>2808</v>
      </c>
      <c r="C939">
        <v>51.397934686666602</v>
      </c>
      <c r="D939">
        <v>-9.2716553333333299E-2</v>
      </c>
      <c r="F939">
        <v>15</v>
      </c>
      <c r="G939" t="str">
        <f>IFERROR(VLOOKUP(B939, Data!H:H, 1, FALSE), "")</f>
        <v/>
      </c>
    </row>
    <row r="940" spans="1:7" x14ac:dyDescent="0.25">
      <c r="A940" t="s">
        <v>2029</v>
      </c>
      <c r="B940" t="s">
        <v>3202</v>
      </c>
      <c r="C940">
        <v>51.461026199999999</v>
      </c>
      <c r="D940">
        <v>-0.12829634444444399</v>
      </c>
      <c r="F940">
        <v>9</v>
      </c>
      <c r="G940" t="str">
        <f>IFERROR(VLOOKUP(B940, Data!H:H, 1, FALSE), "")</f>
        <v/>
      </c>
    </row>
    <row r="941" spans="1:7" x14ac:dyDescent="0.25">
      <c r="A941" t="s">
        <v>2030</v>
      </c>
      <c r="B941" t="s">
        <v>3203</v>
      </c>
      <c r="C941">
        <v>51.455319146666596</v>
      </c>
      <c r="D941">
        <v>-0.122528886666666</v>
      </c>
      <c r="F941">
        <v>15</v>
      </c>
      <c r="G941" t="str">
        <f>IFERROR(VLOOKUP(B941, Data!H:H, 1, FALSE), "")</f>
        <v/>
      </c>
    </row>
    <row r="942" spans="1:7" x14ac:dyDescent="0.25">
      <c r="A942" t="s">
        <v>2031</v>
      </c>
      <c r="B942" t="s">
        <v>3055</v>
      </c>
      <c r="C942">
        <v>51.457549685714199</v>
      </c>
      <c r="D942">
        <v>-0.16753795714285699</v>
      </c>
      <c r="F942">
        <v>7</v>
      </c>
      <c r="G942" t="str">
        <f>IFERROR(VLOOKUP(B942, Data!H:H, 1, FALSE), "")</f>
        <v/>
      </c>
    </row>
    <row r="943" spans="1:7" x14ac:dyDescent="0.25">
      <c r="A943" t="s">
        <v>2032</v>
      </c>
      <c r="B943" t="s">
        <v>3055</v>
      </c>
      <c r="C943">
        <v>51.454186323076897</v>
      </c>
      <c r="D943">
        <v>-0.166903807692307</v>
      </c>
      <c r="E943" t="s">
        <v>1206</v>
      </c>
      <c r="F943">
        <v>13</v>
      </c>
      <c r="G943" t="str">
        <f>IFERROR(VLOOKUP(B943, Data!H:H, 1, FALSE), "")</f>
        <v/>
      </c>
    </row>
    <row r="944" spans="1:7" x14ac:dyDescent="0.25">
      <c r="A944" t="s">
        <v>2033</v>
      </c>
      <c r="B944" t="s">
        <v>3204</v>
      </c>
      <c r="C944">
        <v>51.488772222222202</v>
      </c>
      <c r="D944">
        <v>-0.11170624444444401</v>
      </c>
      <c r="E944" t="s">
        <v>1206</v>
      </c>
      <c r="F944">
        <v>9</v>
      </c>
      <c r="G944" t="str">
        <f>IFERROR(VLOOKUP(B944, Data!H:H, 1, FALSE), "")</f>
        <v/>
      </c>
    </row>
    <row r="945" spans="1:7" x14ac:dyDescent="0.25">
      <c r="A945" t="s">
        <v>2034</v>
      </c>
      <c r="B945" t="s">
        <v>3205</v>
      </c>
      <c r="C945">
        <v>51.589144645454503</v>
      </c>
      <c r="D945">
        <v>-0.33228986363636298</v>
      </c>
      <c r="F945">
        <v>11</v>
      </c>
      <c r="G945" t="str">
        <f>IFERROR(VLOOKUP(B945, Data!H:H, 1, FALSE), "")</f>
        <v/>
      </c>
    </row>
    <row r="946" spans="1:7" x14ac:dyDescent="0.25">
      <c r="A946" t="s">
        <v>2035</v>
      </c>
      <c r="B946" t="s">
        <v>3206</v>
      </c>
      <c r="C946">
        <v>51.611463685714199</v>
      </c>
      <c r="D946">
        <v>-0.27872439285714201</v>
      </c>
      <c r="F946">
        <v>14</v>
      </c>
      <c r="G946" t="str">
        <f>IFERROR(VLOOKUP(B946, Data!H:H, 1, FALSE), "")</f>
        <v/>
      </c>
    </row>
    <row r="947" spans="1:7" x14ac:dyDescent="0.25">
      <c r="A947" t="s">
        <v>1283</v>
      </c>
      <c r="B947" t="s">
        <v>3207</v>
      </c>
      <c r="C947">
        <v>51.610862290908997</v>
      </c>
      <c r="D947">
        <v>-0.17484369999999999</v>
      </c>
      <c r="E947" t="s">
        <v>1206</v>
      </c>
      <c r="F947">
        <v>11</v>
      </c>
      <c r="G947" t="str">
        <f>IFERROR(VLOOKUP(B947, Data!H:H, 1, FALSE), "")</f>
        <v/>
      </c>
    </row>
    <row r="948" spans="1:7" x14ac:dyDescent="0.25">
      <c r="A948" t="s">
        <v>2036</v>
      </c>
      <c r="B948" t="s">
        <v>3208</v>
      </c>
      <c r="C948">
        <v>51.613108168421</v>
      </c>
      <c r="D948">
        <v>-0.15442902105263101</v>
      </c>
      <c r="F948">
        <v>19</v>
      </c>
      <c r="G948" t="str">
        <f>IFERROR(VLOOKUP(B948, Data!H:H, 1, FALSE), "")</f>
        <v/>
      </c>
    </row>
    <row r="949" spans="1:7" x14ac:dyDescent="0.25">
      <c r="A949" t="s">
        <v>2037</v>
      </c>
      <c r="B949" t="s">
        <v>3209</v>
      </c>
      <c r="C949">
        <v>51.615102449999902</v>
      </c>
      <c r="D949">
        <v>-0.14848187999999901</v>
      </c>
      <c r="F949">
        <v>10</v>
      </c>
      <c r="G949" t="str">
        <f>IFERROR(VLOOKUP(B949, Data!H:H, 1, FALSE), "")</f>
        <v/>
      </c>
    </row>
    <row r="950" spans="1:7" x14ac:dyDescent="0.25">
      <c r="A950" t="s">
        <v>2038</v>
      </c>
      <c r="B950" t="s">
        <v>3210</v>
      </c>
      <c r="C950">
        <v>51.627665871428498</v>
      </c>
      <c r="D950">
        <v>-0.16252161428571399</v>
      </c>
      <c r="F950">
        <v>7</v>
      </c>
      <c r="G950" t="str">
        <f>IFERROR(VLOOKUP(B950, Data!H:H, 1, FALSE), "")</f>
        <v/>
      </c>
    </row>
    <row r="951" spans="1:7" x14ac:dyDescent="0.25">
      <c r="A951" t="s">
        <v>2039</v>
      </c>
      <c r="B951" t="s">
        <v>3211</v>
      </c>
      <c r="C951">
        <v>51.629211857894703</v>
      </c>
      <c r="D951">
        <v>-0.16647287368420999</v>
      </c>
      <c r="E951" t="s">
        <v>1206</v>
      </c>
      <c r="F951">
        <v>19</v>
      </c>
      <c r="G951" t="str">
        <f>IFERROR(VLOOKUP(B951, Data!H:H, 1, FALSE), "")</f>
        <v/>
      </c>
    </row>
    <row r="952" spans="1:7" x14ac:dyDescent="0.25">
      <c r="A952" t="s">
        <v>2040</v>
      </c>
      <c r="B952" t="s">
        <v>3212</v>
      </c>
      <c r="C952">
        <v>51.471911442857099</v>
      </c>
      <c r="D952">
        <v>0.18885852857142801</v>
      </c>
      <c r="F952">
        <v>7</v>
      </c>
      <c r="G952" t="str">
        <f>IFERROR(VLOOKUP(B952, Data!H:H, 1, FALSE), "")</f>
        <v/>
      </c>
    </row>
    <row r="953" spans="1:7" x14ac:dyDescent="0.25">
      <c r="A953" t="s">
        <v>1258</v>
      </c>
      <c r="B953" t="s">
        <v>2808</v>
      </c>
      <c r="C953">
        <v>51.398402099999998</v>
      </c>
      <c r="D953">
        <v>1.5853755555555502E-2</v>
      </c>
      <c r="E953" t="s">
        <v>1206</v>
      </c>
      <c r="F953">
        <v>9</v>
      </c>
      <c r="G953" t="str">
        <f>IFERROR(VLOOKUP(B953, Data!H:H, 1, FALSE), "")</f>
        <v/>
      </c>
    </row>
    <row r="954" spans="1:7" x14ac:dyDescent="0.25">
      <c r="A954" t="s">
        <v>2041</v>
      </c>
      <c r="B954" t="s">
        <v>2808</v>
      </c>
      <c r="C954">
        <v>51.357858018181801</v>
      </c>
      <c r="D954">
        <v>7.2314890909090906E-2</v>
      </c>
      <c r="F954">
        <v>11</v>
      </c>
      <c r="G954" t="str">
        <f>IFERROR(VLOOKUP(B954, Data!H:H, 1, FALSE), "")</f>
        <v/>
      </c>
    </row>
    <row r="955" spans="1:7" x14ac:dyDescent="0.25">
      <c r="A955" t="s">
        <v>2042</v>
      </c>
      <c r="B955" t="s">
        <v>3213</v>
      </c>
      <c r="C955">
        <v>51.482675114285698</v>
      </c>
      <c r="D955">
        <v>-0.124432742857142</v>
      </c>
      <c r="E955" t="s">
        <v>1206</v>
      </c>
      <c r="F955">
        <v>7</v>
      </c>
      <c r="G955" t="str">
        <f>IFERROR(VLOOKUP(B955, Data!H:H, 1, FALSE), "")</f>
        <v/>
      </c>
    </row>
    <row r="956" spans="1:7" x14ac:dyDescent="0.25">
      <c r="A956" t="s">
        <v>2043</v>
      </c>
      <c r="B956" t="s">
        <v>3214</v>
      </c>
      <c r="C956">
        <v>51.516543491666603</v>
      </c>
      <c r="D956">
        <v>-4.8402599999999997E-2</v>
      </c>
      <c r="F956">
        <v>12</v>
      </c>
      <c r="G956" t="str">
        <f>IFERROR(VLOOKUP(B956, Data!H:H, 1, FALSE), "")</f>
        <v/>
      </c>
    </row>
    <row r="957" spans="1:7" x14ac:dyDescent="0.25">
      <c r="A957" t="s">
        <v>1283</v>
      </c>
      <c r="B957" t="s">
        <v>3215</v>
      </c>
      <c r="C957">
        <v>51.444552160000001</v>
      </c>
      <c r="D957">
        <v>-0.121604279999999</v>
      </c>
      <c r="E957" t="s">
        <v>1206</v>
      </c>
      <c r="F957">
        <v>5</v>
      </c>
      <c r="G957" t="str">
        <f>IFERROR(VLOOKUP(B957, Data!H:H, 1, FALSE), "")</f>
        <v/>
      </c>
    </row>
    <row r="958" spans="1:7" x14ac:dyDescent="0.25">
      <c r="A958" t="s">
        <v>1602</v>
      </c>
      <c r="B958" t="s">
        <v>2808</v>
      </c>
      <c r="C958">
        <v>51.511233728571398</v>
      </c>
      <c r="D958">
        <v>-5.0675785714285701E-2</v>
      </c>
      <c r="E958" t="s">
        <v>1206</v>
      </c>
      <c r="F958">
        <v>7</v>
      </c>
      <c r="G958" t="str">
        <f>IFERROR(VLOOKUP(B958, Data!H:H, 1, FALSE), "")</f>
        <v/>
      </c>
    </row>
    <row r="959" spans="1:7" x14ac:dyDescent="0.25">
      <c r="A959" t="s">
        <v>1762</v>
      </c>
      <c r="B959" t="s">
        <v>2808</v>
      </c>
      <c r="C959">
        <v>51.511370639999903</v>
      </c>
      <c r="D959">
        <v>-4.1130099999999899E-2</v>
      </c>
      <c r="E959" t="s">
        <v>1206</v>
      </c>
      <c r="F959">
        <v>10</v>
      </c>
      <c r="G959" t="str">
        <f>IFERROR(VLOOKUP(B959, Data!H:H, 1, FALSE), "")</f>
        <v/>
      </c>
    </row>
    <row r="960" spans="1:7" x14ac:dyDescent="0.25">
      <c r="A960" t="s">
        <v>2044</v>
      </c>
      <c r="B960" t="s">
        <v>2794</v>
      </c>
      <c r="C960">
        <v>51.3981925</v>
      </c>
      <c r="D960">
        <v>-0.23593521249999999</v>
      </c>
      <c r="E960" t="s">
        <v>1206</v>
      </c>
      <c r="F960">
        <v>8</v>
      </c>
      <c r="G960" t="str">
        <f>IFERROR(VLOOKUP(B960, Data!H:H, 1, FALSE), "")</f>
        <v/>
      </c>
    </row>
    <row r="961" spans="1:7" x14ac:dyDescent="0.25">
      <c r="A961" t="s">
        <v>2045</v>
      </c>
      <c r="B961" t="s">
        <v>3216</v>
      </c>
      <c r="C961">
        <v>51.511647371428502</v>
      </c>
      <c r="D961">
        <v>-0.37524864285714199</v>
      </c>
      <c r="F961">
        <v>7</v>
      </c>
      <c r="G961" t="str">
        <f>IFERROR(VLOOKUP(B961, Data!H:H, 1, FALSE), "")</f>
        <v/>
      </c>
    </row>
    <row r="962" spans="1:7" x14ac:dyDescent="0.25">
      <c r="A962" t="s">
        <v>2046</v>
      </c>
      <c r="B962" t="s">
        <v>3217</v>
      </c>
      <c r="C962">
        <v>51.506871739999902</v>
      </c>
      <c r="D962">
        <v>-0.37768565999999998</v>
      </c>
      <c r="F962">
        <v>5</v>
      </c>
      <c r="G962" t="str">
        <f>IFERROR(VLOOKUP(B962, Data!H:H, 1, FALSE), "")</f>
        <v/>
      </c>
    </row>
    <row r="963" spans="1:7" x14ac:dyDescent="0.25">
      <c r="A963" t="s">
        <v>2047</v>
      </c>
      <c r="B963" t="s">
        <v>3218</v>
      </c>
      <c r="C963">
        <v>51.51005</v>
      </c>
      <c r="D963">
        <v>-0.38129619999999997</v>
      </c>
      <c r="F963">
        <v>5</v>
      </c>
      <c r="G963" t="str">
        <f>IFERROR(VLOOKUP(B963, Data!H:H, 1, FALSE), "")</f>
        <v/>
      </c>
    </row>
    <row r="964" spans="1:7" x14ac:dyDescent="0.25">
      <c r="A964" t="s">
        <v>2048</v>
      </c>
      <c r="B964" t="s">
        <v>3219</v>
      </c>
      <c r="C964">
        <v>51.510000233333301</v>
      </c>
      <c r="D964">
        <v>-0.38088841666666601</v>
      </c>
      <c r="F964">
        <v>6</v>
      </c>
      <c r="G964" t="str">
        <f>IFERROR(VLOOKUP(B964, Data!H:H, 1, FALSE), "")</f>
        <v/>
      </c>
    </row>
    <row r="965" spans="1:7" x14ac:dyDescent="0.25">
      <c r="A965" t="s">
        <v>2049</v>
      </c>
      <c r="B965" t="s">
        <v>3220</v>
      </c>
      <c r="C965">
        <v>51.5077627285714</v>
      </c>
      <c r="D965">
        <v>-0.37461832857142802</v>
      </c>
      <c r="F965">
        <v>7</v>
      </c>
      <c r="G965" t="str">
        <f>IFERROR(VLOOKUP(B965, Data!H:H, 1, FALSE), "")</f>
        <v/>
      </c>
    </row>
    <row r="966" spans="1:7" x14ac:dyDescent="0.25">
      <c r="A966" t="s">
        <v>2050</v>
      </c>
      <c r="B966" t="s">
        <v>3221</v>
      </c>
      <c r="C966">
        <v>51.500379779999903</v>
      </c>
      <c r="D966">
        <v>-0.38106267999999999</v>
      </c>
      <c r="F966">
        <v>5</v>
      </c>
      <c r="G966" t="str">
        <f>IFERROR(VLOOKUP(B966, Data!H:H, 1, FALSE), "")</f>
        <v/>
      </c>
    </row>
    <row r="967" spans="1:7" x14ac:dyDescent="0.25">
      <c r="A967" t="s">
        <v>2051</v>
      </c>
      <c r="B967" t="s">
        <v>3222</v>
      </c>
      <c r="C967">
        <v>51.501510283333303</v>
      </c>
      <c r="D967">
        <v>-0.38275948333333298</v>
      </c>
      <c r="F967">
        <v>6</v>
      </c>
      <c r="G967" t="str">
        <f>IFERROR(VLOOKUP(B967, Data!H:H, 1, FALSE), "")</f>
        <v/>
      </c>
    </row>
    <row r="968" spans="1:7" x14ac:dyDescent="0.25">
      <c r="A968" t="s">
        <v>2052</v>
      </c>
      <c r="B968" t="s">
        <v>3223</v>
      </c>
      <c r="C968">
        <v>51.518971269999902</v>
      </c>
      <c r="D968">
        <v>-0.138260305</v>
      </c>
      <c r="F968">
        <v>20</v>
      </c>
      <c r="G968" t="str">
        <f>IFERROR(VLOOKUP(B968, Data!H:H, 1, FALSE), "")</f>
        <v/>
      </c>
    </row>
    <row r="969" spans="1:7" x14ac:dyDescent="0.25">
      <c r="A969" t="s">
        <v>2053</v>
      </c>
      <c r="B969" t="s">
        <v>2808</v>
      </c>
      <c r="C969">
        <v>51.589683880000003</v>
      </c>
      <c r="D969">
        <v>-1.90389999999999E-2</v>
      </c>
      <c r="F969">
        <v>5</v>
      </c>
      <c r="G969" t="str">
        <f>IFERROR(VLOOKUP(B969, Data!H:H, 1, FALSE), "")</f>
        <v/>
      </c>
    </row>
    <row r="970" spans="1:7" x14ac:dyDescent="0.25">
      <c r="A970" t="s">
        <v>1246</v>
      </c>
      <c r="B970" t="s">
        <v>2808</v>
      </c>
      <c r="C970">
        <v>51.654151041176398</v>
      </c>
      <c r="D970">
        <v>-9.7026311764705803E-2</v>
      </c>
      <c r="F970">
        <v>17</v>
      </c>
      <c r="G970" t="str">
        <f>IFERROR(VLOOKUP(B970, Data!H:H, 1, FALSE), "")</f>
        <v/>
      </c>
    </row>
    <row r="971" spans="1:7" x14ac:dyDescent="0.25">
      <c r="A971" t="s">
        <v>2054</v>
      </c>
      <c r="B971" t="s">
        <v>2808</v>
      </c>
      <c r="C971">
        <v>51.509733677777703</v>
      </c>
      <c r="D971">
        <v>1.84994111111111E-2</v>
      </c>
      <c r="F971">
        <v>9</v>
      </c>
      <c r="G971" t="str">
        <f>IFERROR(VLOOKUP(B971, Data!H:H, 1, FALSE), "")</f>
        <v/>
      </c>
    </row>
    <row r="972" spans="1:7" x14ac:dyDescent="0.25">
      <c r="A972" t="s">
        <v>2055</v>
      </c>
      <c r="B972" t="s">
        <v>3224</v>
      </c>
      <c r="C972">
        <v>51.58435573125</v>
      </c>
      <c r="D972">
        <v>-1.487413125E-2</v>
      </c>
      <c r="F972">
        <v>16</v>
      </c>
      <c r="G972" t="str">
        <f>IFERROR(VLOOKUP(B972, Data!H:H, 1, FALSE), "")</f>
        <v/>
      </c>
    </row>
    <row r="973" spans="1:7" x14ac:dyDescent="0.25">
      <c r="A973" t="s">
        <v>2056</v>
      </c>
      <c r="B973" t="s">
        <v>2808</v>
      </c>
      <c r="C973">
        <v>51.585440822222203</v>
      </c>
      <c r="D973">
        <v>-1.55176111111111E-2</v>
      </c>
      <c r="F973">
        <v>9</v>
      </c>
      <c r="G973" t="str">
        <f>IFERROR(VLOOKUP(B973, Data!H:H, 1, FALSE), "")</f>
        <v/>
      </c>
    </row>
    <row r="974" spans="1:7" x14ac:dyDescent="0.25">
      <c r="A974" t="s">
        <v>2057</v>
      </c>
      <c r="B974" t="s">
        <v>2808</v>
      </c>
      <c r="C974">
        <v>51.583815414285702</v>
      </c>
      <c r="D974">
        <v>-1.45326428571428E-2</v>
      </c>
      <c r="F974">
        <v>7</v>
      </c>
      <c r="G974" t="str">
        <f>IFERROR(VLOOKUP(B974, Data!H:H, 1, FALSE), "")</f>
        <v/>
      </c>
    </row>
    <row r="975" spans="1:7" x14ac:dyDescent="0.25">
      <c r="A975" t="s">
        <v>2058</v>
      </c>
      <c r="B975" t="s">
        <v>2808</v>
      </c>
      <c r="C975">
        <v>51.348315707692301</v>
      </c>
      <c r="D975">
        <v>3.5309215384615303E-2</v>
      </c>
      <c r="E975" t="s">
        <v>1206</v>
      </c>
      <c r="F975">
        <v>13</v>
      </c>
      <c r="G975" t="str">
        <f>IFERROR(VLOOKUP(B975, Data!H:H, 1, FALSE), "")</f>
        <v/>
      </c>
    </row>
    <row r="976" spans="1:7" x14ac:dyDescent="0.25">
      <c r="A976" t="s">
        <v>2059</v>
      </c>
      <c r="B976" t="s">
        <v>2808</v>
      </c>
      <c r="C976">
        <v>51.584869168421001</v>
      </c>
      <c r="D976">
        <v>-2.7536957894736799E-2</v>
      </c>
      <c r="F976">
        <v>19</v>
      </c>
      <c r="G976" t="str">
        <f>IFERROR(VLOOKUP(B976, Data!H:H, 1, FALSE), "")</f>
        <v/>
      </c>
    </row>
    <row r="977" spans="1:7" x14ac:dyDescent="0.25">
      <c r="A977" t="s">
        <v>2060</v>
      </c>
      <c r="B977" t="s">
        <v>2808</v>
      </c>
      <c r="C977">
        <v>51.514217231578897</v>
      </c>
      <c r="D977">
        <v>-5.5375315789473597E-3</v>
      </c>
      <c r="E977" t="s">
        <v>1206</v>
      </c>
      <c r="F977">
        <v>19</v>
      </c>
      <c r="G977" t="str">
        <f>IFERROR(VLOOKUP(B977, Data!H:H, 1, FALSE), "")</f>
        <v/>
      </c>
    </row>
    <row r="978" spans="1:7" x14ac:dyDescent="0.25">
      <c r="A978" t="s">
        <v>2061</v>
      </c>
      <c r="B978" t="s">
        <v>2808</v>
      </c>
      <c r="C978">
        <v>51.513069454545402</v>
      </c>
      <c r="D978">
        <v>-3.2915454545454498E-2</v>
      </c>
      <c r="F978">
        <v>11</v>
      </c>
      <c r="G978" t="str">
        <f>IFERROR(VLOOKUP(B978, Data!H:H, 1, FALSE), "")</f>
        <v/>
      </c>
    </row>
    <row r="979" spans="1:7" x14ac:dyDescent="0.25">
      <c r="A979" t="s">
        <v>2062</v>
      </c>
      <c r="B979" t="s">
        <v>2808</v>
      </c>
      <c r="C979">
        <v>51.582012738461501</v>
      </c>
      <c r="D979">
        <v>-1.52111615384615E-2</v>
      </c>
      <c r="F979">
        <v>13</v>
      </c>
      <c r="G979" t="str">
        <f>IFERROR(VLOOKUP(B979, Data!H:H, 1, FALSE), "")</f>
        <v/>
      </c>
    </row>
    <row r="980" spans="1:7" x14ac:dyDescent="0.25">
      <c r="A980" t="s">
        <v>2063</v>
      </c>
      <c r="B980" t="s">
        <v>3224</v>
      </c>
      <c r="C980">
        <v>51.584148413333303</v>
      </c>
      <c r="D980">
        <v>-1.2266579999999999E-2</v>
      </c>
      <c r="F980">
        <v>15</v>
      </c>
      <c r="G980" t="str">
        <f>IFERROR(VLOOKUP(B980, Data!H:H, 1, FALSE), "")</f>
        <v/>
      </c>
    </row>
    <row r="981" spans="1:7" x14ac:dyDescent="0.25">
      <c r="A981" t="s">
        <v>1209</v>
      </c>
      <c r="B981" t="s">
        <v>2808</v>
      </c>
      <c r="C981">
        <v>51.5893157</v>
      </c>
      <c r="D981">
        <v>3.0395171428571399E-2</v>
      </c>
      <c r="E981" t="s">
        <v>1206</v>
      </c>
      <c r="F981">
        <v>14</v>
      </c>
      <c r="G981" t="str">
        <f>IFERROR(VLOOKUP(B981, Data!H:H, 1, FALSE), "")</f>
        <v/>
      </c>
    </row>
    <row r="982" spans="1:7" x14ac:dyDescent="0.25">
      <c r="A982" t="s">
        <v>1933</v>
      </c>
      <c r="B982" t="s">
        <v>2808</v>
      </c>
      <c r="C982">
        <v>51.597067586666597</v>
      </c>
      <c r="D982">
        <v>-1.4781126666666601E-2</v>
      </c>
      <c r="E982" t="s">
        <v>1206</v>
      </c>
      <c r="F982">
        <v>15</v>
      </c>
      <c r="G982" t="str">
        <f>IFERROR(VLOOKUP(B982, Data!H:H, 1, FALSE), "")</f>
        <v/>
      </c>
    </row>
    <row r="983" spans="1:7" x14ac:dyDescent="0.25">
      <c r="A983" t="s">
        <v>1494</v>
      </c>
      <c r="B983" t="s">
        <v>1131</v>
      </c>
      <c r="C983">
        <v>51.507002893749998</v>
      </c>
      <c r="D983">
        <v>-2.3904993749999999E-2</v>
      </c>
      <c r="F983">
        <v>16</v>
      </c>
    </row>
    <row r="984" spans="1:7" x14ac:dyDescent="0.25">
      <c r="A984" t="s">
        <v>2064</v>
      </c>
      <c r="B984" t="s">
        <v>3225</v>
      </c>
      <c r="C984">
        <v>51.602921500000001</v>
      </c>
      <c r="D984">
        <v>-0.26271805999999998</v>
      </c>
      <c r="F984">
        <v>5</v>
      </c>
      <c r="G984" t="str">
        <f>IFERROR(VLOOKUP(B984, Data!H:H, 1, FALSE), "")</f>
        <v/>
      </c>
    </row>
    <row r="985" spans="1:7" x14ac:dyDescent="0.25">
      <c r="A985" t="s">
        <v>2065</v>
      </c>
      <c r="B985" t="s">
        <v>3226</v>
      </c>
      <c r="C985">
        <v>51.583060449999998</v>
      </c>
      <c r="D985">
        <v>-0.21609920714285699</v>
      </c>
      <c r="F985">
        <v>14</v>
      </c>
      <c r="G985" t="str">
        <f>IFERROR(VLOOKUP(B985, Data!H:H, 1, FALSE), "")</f>
        <v/>
      </c>
    </row>
    <row r="986" spans="1:7" x14ac:dyDescent="0.25">
      <c r="A986" t="s">
        <v>2066</v>
      </c>
      <c r="B986" t="s">
        <v>3227</v>
      </c>
      <c r="C986">
        <v>51.586481249999999</v>
      </c>
      <c r="D986">
        <v>-0.21996853333333299</v>
      </c>
      <c r="F986">
        <v>6</v>
      </c>
      <c r="G986" t="str">
        <f>IFERROR(VLOOKUP(B986, Data!H:H, 1, FALSE), "")</f>
        <v/>
      </c>
    </row>
    <row r="987" spans="1:7" x14ac:dyDescent="0.25">
      <c r="A987" t="s">
        <v>2067</v>
      </c>
      <c r="B987" t="s">
        <v>3228</v>
      </c>
      <c r="C987">
        <v>51.435029845454501</v>
      </c>
      <c r="D987">
        <v>-0.40086017272727198</v>
      </c>
      <c r="E987" t="s">
        <v>1206</v>
      </c>
      <c r="F987">
        <v>11</v>
      </c>
      <c r="G987" t="str">
        <f>IFERROR(VLOOKUP(B987, Data!H:H, 1, FALSE), "")</f>
        <v/>
      </c>
    </row>
    <row r="988" spans="1:7" x14ac:dyDescent="0.25">
      <c r="A988" t="s">
        <v>2068</v>
      </c>
      <c r="B988" t="s">
        <v>3229</v>
      </c>
      <c r="C988">
        <v>51.595217311111099</v>
      </c>
      <c r="D988">
        <v>-0.18927044444444399</v>
      </c>
      <c r="F988">
        <v>9</v>
      </c>
      <c r="G988" t="str">
        <f>IFERROR(VLOOKUP(B988, Data!H:H, 1, FALSE), "")</f>
        <v/>
      </c>
    </row>
    <row r="989" spans="1:7" x14ac:dyDescent="0.25">
      <c r="A989" t="s">
        <v>2069</v>
      </c>
      <c r="B989" t="s">
        <v>3230</v>
      </c>
      <c r="C989">
        <v>51.498093211111097</v>
      </c>
      <c r="D989">
        <v>-0.395080044444444</v>
      </c>
      <c r="F989">
        <v>9</v>
      </c>
      <c r="G989" t="str">
        <f>IFERROR(VLOOKUP(B989, Data!H:H, 1, FALSE), "")</f>
        <v/>
      </c>
    </row>
    <row r="990" spans="1:7" x14ac:dyDescent="0.25">
      <c r="A990" t="s">
        <v>2070</v>
      </c>
      <c r="B990" t="s">
        <v>3231</v>
      </c>
      <c r="C990">
        <v>51.602927929411699</v>
      </c>
      <c r="D990">
        <v>-0.18657962352941099</v>
      </c>
      <c r="F990">
        <v>17</v>
      </c>
      <c r="G990" t="str">
        <f>IFERROR(VLOOKUP(B990, Data!H:H, 1, FALSE), "")</f>
        <v/>
      </c>
    </row>
    <row r="991" spans="1:7" x14ac:dyDescent="0.25">
      <c r="A991" t="s">
        <v>2071</v>
      </c>
      <c r="B991" t="s">
        <v>3232</v>
      </c>
      <c r="C991">
        <v>51.611471711111101</v>
      </c>
      <c r="D991">
        <v>-0.17613664444444399</v>
      </c>
      <c r="F991">
        <v>9</v>
      </c>
      <c r="G991" t="str">
        <f>IFERROR(VLOOKUP(B991, Data!H:H, 1, FALSE), "")</f>
        <v/>
      </c>
    </row>
    <row r="992" spans="1:7" x14ac:dyDescent="0.25">
      <c r="A992" t="s">
        <v>2072</v>
      </c>
      <c r="B992" t="s">
        <v>3233</v>
      </c>
      <c r="C992">
        <v>51.6077872222222</v>
      </c>
      <c r="D992">
        <v>-0.181055377777777</v>
      </c>
      <c r="F992">
        <v>9</v>
      </c>
      <c r="G992" t="str">
        <f>IFERROR(VLOOKUP(B992, Data!H:H, 1, FALSE), "")</f>
        <v/>
      </c>
    </row>
    <row r="993" spans="1:7" x14ac:dyDescent="0.25">
      <c r="A993" t="s">
        <v>2073</v>
      </c>
      <c r="B993" t="s">
        <v>3234</v>
      </c>
      <c r="C993">
        <v>51.510517944444402</v>
      </c>
      <c r="D993">
        <v>-0.119855533333333</v>
      </c>
      <c r="E993" t="s">
        <v>1206</v>
      </c>
      <c r="F993">
        <v>9</v>
      </c>
      <c r="G993" t="str">
        <f>IFERROR(VLOOKUP(B993, Data!H:H, 1, FALSE), "")</f>
        <v/>
      </c>
    </row>
    <row r="994" spans="1:7" x14ac:dyDescent="0.25">
      <c r="A994" t="s">
        <v>2074</v>
      </c>
      <c r="B994" t="s">
        <v>2808</v>
      </c>
      <c r="C994">
        <v>51.5952864461538</v>
      </c>
      <c r="D994">
        <v>5.2609276923076903E-2</v>
      </c>
      <c r="F994">
        <v>13</v>
      </c>
      <c r="G994" t="str">
        <f>IFERROR(VLOOKUP(B994, Data!H:H, 1, FALSE), "")</f>
        <v/>
      </c>
    </row>
    <row r="995" spans="1:7" x14ac:dyDescent="0.25">
      <c r="A995" t="s">
        <v>1669</v>
      </c>
      <c r="B995" t="s">
        <v>2808</v>
      </c>
      <c r="C995">
        <v>51.3711524</v>
      </c>
      <c r="D995">
        <v>-4.9622476923076898E-2</v>
      </c>
      <c r="E995" t="s">
        <v>1206</v>
      </c>
      <c r="F995">
        <v>13</v>
      </c>
      <c r="G995" t="str">
        <f>IFERROR(VLOOKUP(B995, Data!H:H, 1, FALSE), "")</f>
        <v/>
      </c>
    </row>
    <row r="996" spans="1:7" x14ac:dyDescent="0.25">
      <c r="A996" t="s">
        <v>2075</v>
      </c>
      <c r="B996" t="s">
        <v>2808</v>
      </c>
      <c r="C996">
        <v>51.578748599999997</v>
      </c>
      <c r="D996">
        <v>-2.5341505263157899E-2</v>
      </c>
      <c r="F996">
        <v>19</v>
      </c>
      <c r="G996" t="str">
        <f>IFERROR(VLOOKUP(B996, Data!H:H, 1, FALSE), "")</f>
        <v/>
      </c>
    </row>
    <row r="997" spans="1:7" x14ac:dyDescent="0.25">
      <c r="A997" t="s">
        <v>2076</v>
      </c>
      <c r="B997" t="s">
        <v>2808</v>
      </c>
      <c r="C997">
        <v>51.336628926315697</v>
      </c>
      <c r="D997">
        <v>-7.5654078947368406E-2</v>
      </c>
      <c r="E997" t="s">
        <v>1206</v>
      </c>
      <c r="F997">
        <v>19</v>
      </c>
      <c r="G997" t="str">
        <f>IFERROR(VLOOKUP(B997, Data!H:H, 1, FALSE), "")</f>
        <v/>
      </c>
    </row>
    <row r="998" spans="1:7" x14ac:dyDescent="0.25">
      <c r="A998" t="s">
        <v>2077</v>
      </c>
      <c r="B998" t="s">
        <v>3235</v>
      </c>
      <c r="C998">
        <v>51.342360839999998</v>
      </c>
      <c r="D998">
        <v>-6.5971119999999994E-2</v>
      </c>
      <c r="E998" t="s">
        <v>1206</v>
      </c>
      <c r="F998">
        <v>15</v>
      </c>
      <c r="G998" t="str">
        <f>IFERROR(VLOOKUP(B998, Data!H:H, 1, FALSE), "")</f>
        <v/>
      </c>
    </row>
    <row r="999" spans="1:7" x14ac:dyDescent="0.25">
      <c r="A999" t="s">
        <v>2078</v>
      </c>
      <c r="B999" t="s">
        <v>2808</v>
      </c>
      <c r="C999">
        <v>51.344414347058802</v>
      </c>
      <c r="D999">
        <v>-9.3541970588235296E-2</v>
      </c>
      <c r="E999" t="s">
        <v>1206</v>
      </c>
      <c r="F999">
        <v>17</v>
      </c>
      <c r="G999" t="str">
        <f>IFERROR(VLOOKUP(B999, Data!H:H, 1, FALSE), "")</f>
        <v/>
      </c>
    </row>
    <row r="1000" spans="1:7" x14ac:dyDescent="0.25">
      <c r="A1000" t="s">
        <v>2079</v>
      </c>
      <c r="B1000" t="s">
        <v>3236</v>
      </c>
      <c r="C1000">
        <v>51.522114979999898</v>
      </c>
      <c r="D1000">
        <v>-0.37815157999999999</v>
      </c>
      <c r="F1000">
        <v>5</v>
      </c>
      <c r="G1000" t="str">
        <f>IFERROR(VLOOKUP(B1000, Data!H:H, 1, FALSE), "")</f>
        <v/>
      </c>
    </row>
    <row r="1001" spans="1:7" x14ac:dyDescent="0.25">
      <c r="A1001" t="s">
        <v>2080</v>
      </c>
      <c r="B1001" t="s">
        <v>3224</v>
      </c>
      <c r="C1001">
        <v>51.589237779999898</v>
      </c>
      <c r="D1001">
        <v>-5.4158599999999998E-3</v>
      </c>
      <c r="E1001" t="s">
        <v>1206</v>
      </c>
      <c r="F1001">
        <v>15</v>
      </c>
      <c r="G1001" t="str">
        <f>IFERROR(VLOOKUP(B1001, Data!H:H, 1, FALSE), "")</f>
        <v/>
      </c>
    </row>
    <row r="1002" spans="1:7" x14ac:dyDescent="0.25">
      <c r="A1002" t="s">
        <v>2081</v>
      </c>
      <c r="B1002" t="s">
        <v>3237</v>
      </c>
      <c r="C1002">
        <v>51.476540399999998</v>
      </c>
      <c r="D1002">
        <v>-0.17546728421052599</v>
      </c>
      <c r="E1002" t="s">
        <v>1206</v>
      </c>
      <c r="F1002">
        <v>19</v>
      </c>
      <c r="G1002" t="str">
        <f>IFERROR(VLOOKUP(B1002, Data!H:H, 1, FALSE), "")</f>
        <v/>
      </c>
    </row>
    <row r="1003" spans="1:7" x14ac:dyDescent="0.25">
      <c r="A1003" t="s">
        <v>2082</v>
      </c>
      <c r="B1003" t="s">
        <v>3238</v>
      </c>
      <c r="C1003">
        <v>51.407886536842099</v>
      </c>
      <c r="D1003">
        <v>-0.139928894736842</v>
      </c>
      <c r="F1003">
        <v>19</v>
      </c>
      <c r="G1003" t="str">
        <f>IFERROR(VLOOKUP(B1003, Data!H:H, 1, FALSE), "")</f>
        <v/>
      </c>
    </row>
    <row r="1004" spans="1:7" x14ac:dyDescent="0.25">
      <c r="A1004" t="s">
        <v>2083</v>
      </c>
      <c r="B1004" t="s">
        <v>3239</v>
      </c>
      <c r="C1004">
        <v>51.555757911111101</v>
      </c>
      <c r="D1004">
        <v>0.24795248888888799</v>
      </c>
      <c r="E1004" t="s">
        <v>1206</v>
      </c>
      <c r="F1004">
        <v>9</v>
      </c>
      <c r="G1004" t="str">
        <f>IFERROR(VLOOKUP(B1004, Data!H:H, 1, FALSE), "")</f>
        <v/>
      </c>
    </row>
    <row r="1005" spans="1:7" x14ac:dyDescent="0.25">
      <c r="A1005" t="s">
        <v>2084</v>
      </c>
      <c r="B1005" t="s">
        <v>3240</v>
      </c>
      <c r="C1005">
        <v>51.587643862499903</v>
      </c>
      <c r="D1005">
        <v>0.2015586375</v>
      </c>
      <c r="E1005" t="s">
        <v>1206</v>
      </c>
      <c r="F1005">
        <v>8</v>
      </c>
      <c r="G1005" t="str">
        <f>IFERROR(VLOOKUP(B1005, Data!H:H, 1, FALSE), "")</f>
        <v/>
      </c>
    </row>
    <row r="1006" spans="1:7" x14ac:dyDescent="0.25">
      <c r="A1006" t="s">
        <v>2085</v>
      </c>
      <c r="B1006" t="s">
        <v>2808</v>
      </c>
      <c r="C1006">
        <v>51.532545928571402</v>
      </c>
      <c r="D1006">
        <v>5.2296742857142801E-2</v>
      </c>
      <c r="E1006" t="s">
        <v>1206</v>
      </c>
      <c r="F1006">
        <v>7</v>
      </c>
      <c r="G1006" t="str">
        <f>IFERROR(VLOOKUP(B1006, Data!H:H, 1, FALSE), "")</f>
        <v/>
      </c>
    </row>
    <row r="1007" spans="1:7" x14ac:dyDescent="0.25">
      <c r="A1007" t="s">
        <v>2086</v>
      </c>
      <c r="B1007" t="s">
        <v>3241</v>
      </c>
      <c r="C1007">
        <v>51.517522790908998</v>
      </c>
      <c r="D1007">
        <v>-0.32983466363636299</v>
      </c>
      <c r="F1007">
        <v>11</v>
      </c>
      <c r="G1007" t="str">
        <f>IFERROR(VLOOKUP(B1007, Data!H:H, 1, FALSE), "")</f>
        <v/>
      </c>
    </row>
    <row r="1008" spans="1:7" x14ac:dyDescent="0.25">
      <c r="A1008" t="s">
        <v>2087</v>
      </c>
      <c r="B1008" t="s">
        <v>3242</v>
      </c>
      <c r="C1008">
        <v>51.522432379999998</v>
      </c>
      <c r="D1008">
        <v>-0.33848958000000001</v>
      </c>
      <c r="E1008" t="s">
        <v>1206</v>
      </c>
      <c r="F1008">
        <v>5</v>
      </c>
      <c r="G1008" t="str">
        <f>IFERROR(VLOOKUP(B1008, Data!H:H, 1, FALSE), "")</f>
        <v/>
      </c>
    </row>
    <row r="1009" spans="1:7" x14ac:dyDescent="0.25">
      <c r="A1009" t="s">
        <v>1258</v>
      </c>
      <c r="B1009" t="s">
        <v>3243</v>
      </c>
      <c r="C1009">
        <v>51.518371484615301</v>
      </c>
      <c r="D1009">
        <v>-0.16661143076922999</v>
      </c>
      <c r="E1009" t="s">
        <v>1206</v>
      </c>
      <c r="F1009">
        <v>13</v>
      </c>
      <c r="G1009" t="str">
        <f>IFERROR(VLOOKUP(B1009, Data!H:H, 1, FALSE), "")</f>
        <v/>
      </c>
    </row>
    <row r="1010" spans="1:7" x14ac:dyDescent="0.25">
      <c r="A1010" t="s">
        <v>2088</v>
      </c>
      <c r="B1010" t="s">
        <v>2945</v>
      </c>
      <c r="C1010">
        <v>51.617774599999898</v>
      </c>
      <c r="D1010">
        <v>-0.22688839999999999</v>
      </c>
      <c r="F1010">
        <v>15</v>
      </c>
      <c r="G1010" t="str">
        <f>IFERROR(VLOOKUP(B1010, Data!H:H, 1, FALSE), "")</f>
        <v/>
      </c>
    </row>
    <row r="1011" spans="1:7" x14ac:dyDescent="0.25">
      <c r="A1011" t="s">
        <v>1547</v>
      </c>
      <c r="B1011" t="s">
        <v>3244</v>
      </c>
      <c r="C1011">
        <v>51.415984912499901</v>
      </c>
      <c r="D1011">
        <v>-7.3081868750000001E-2</v>
      </c>
      <c r="E1011" t="s">
        <v>1206</v>
      </c>
      <c r="F1011">
        <v>16</v>
      </c>
      <c r="G1011" t="str">
        <f>IFERROR(VLOOKUP(B1011, Data!H:H, 1, FALSE), "")</f>
        <v/>
      </c>
    </row>
    <row r="1012" spans="1:7" x14ac:dyDescent="0.25">
      <c r="A1012" t="s">
        <v>2089</v>
      </c>
      <c r="B1012" t="s">
        <v>3245</v>
      </c>
      <c r="C1012">
        <v>51.496884899999998</v>
      </c>
      <c r="D1012">
        <v>-0.25625934</v>
      </c>
      <c r="F1012">
        <v>5</v>
      </c>
      <c r="G1012" t="str">
        <f>IFERROR(VLOOKUP(B1012, Data!H:H, 1, FALSE), "")</f>
        <v/>
      </c>
    </row>
    <row r="1013" spans="1:7" x14ac:dyDescent="0.25">
      <c r="A1013" t="s">
        <v>2090</v>
      </c>
      <c r="B1013" t="s">
        <v>3246</v>
      </c>
      <c r="C1013">
        <v>51.494680000000002</v>
      </c>
      <c r="D1013">
        <v>-0.22997019999999899</v>
      </c>
      <c r="E1013" t="s">
        <v>1206</v>
      </c>
      <c r="F1013">
        <v>7</v>
      </c>
      <c r="G1013" t="str">
        <f>IFERROR(VLOOKUP(B1013, Data!H:H, 1, FALSE), "")</f>
        <v/>
      </c>
    </row>
    <row r="1014" spans="1:7" x14ac:dyDescent="0.25">
      <c r="A1014" t="s">
        <v>2091</v>
      </c>
      <c r="B1014" t="s">
        <v>3247</v>
      </c>
      <c r="C1014">
        <v>51.485915438461497</v>
      </c>
      <c r="D1014">
        <v>-0.25054339230769201</v>
      </c>
      <c r="E1014" t="s">
        <v>1206</v>
      </c>
      <c r="F1014">
        <v>13</v>
      </c>
      <c r="G1014" t="str">
        <f>IFERROR(VLOOKUP(B1014, Data!H:H, 1, FALSE), "")</f>
        <v/>
      </c>
    </row>
    <row r="1015" spans="1:7" x14ac:dyDescent="0.25">
      <c r="A1015" t="s">
        <v>2092</v>
      </c>
      <c r="B1015" t="s">
        <v>3248</v>
      </c>
      <c r="C1015">
        <v>51.577579499999899</v>
      </c>
      <c r="D1015">
        <v>4.5030800000000003E-2</v>
      </c>
      <c r="F1015">
        <v>6</v>
      </c>
      <c r="G1015" t="str">
        <f>IFERROR(VLOOKUP(B1015, Data!H:H, 1, FALSE), "")</f>
        <v/>
      </c>
    </row>
    <row r="1016" spans="1:7" x14ac:dyDescent="0.25">
      <c r="A1016" t="s">
        <v>2093</v>
      </c>
      <c r="B1016" t="s">
        <v>3249</v>
      </c>
      <c r="C1016">
        <v>51.6007611</v>
      </c>
      <c r="D1016">
        <v>-8.8306659999999995E-2</v>
      </c>
      <c r="F1016">
        <v>5</v>
      </c>
      <c r="G1016" t="str">
        <f>IFERROR(VLOOKUP(B1016, Data!H:H, 1, FALSE), "")</f>
        <v/>
      </c>
    </row>
    <row r="1017" spans="1:7" x14ac:dyDescent="0.25">
      <c r="A1017" t="s">
        <v>2094</v>
      </c>
      <c r="B1017" t="s">
        <v>2808</v>
      </c>
      <c r="C1017">
        <v>51.582630979999998</v>
      </c>
      <c r="D1017">
        <v>-7.1579299999999901E-2</v>
      </c>
      <c r="F1017">
        <v>5</v>
      </c>
      <c r="G1017" t="str">
        <f>IFERROR(VLOOKUP(B1017, Data!H:H, 1, FALSE), "")</f>
        <v/>
      </c>
    </row>
    <row r="1018" spans="1:7" x14ac:dyDescent="0.25">
      <c r="A1018" t="s">
        <v>2095</v>
      </c>
      <c r="B1018" t="s">
        <v>2808</v>
      </c>
      <c r="C1018">
        <v>51.586396957142803</v>
      </c>
      <c r="D1018">
        <v>-4.6438285714285703E-3</v>
      </c>
      <c r="F1018">
        <v>7</v>
      </c>
      <c r="G1018" t="str">
        <f>IFERROR(VLOOKUP(B1018, Data!H:H, 1, FALSE), "")</f>
        <v/>
      </c>
    </row>
    <row r="1019" spans="1:7" x14ac:dyDescent="0.25">
      <c r="A1019" t="s">
        <v>2096</v>
      </c>
      <c r="B1019" t="s">
        <v>3250</v>
      </c>
      <c r="C1019">
        <v>51.590092470000002</v>
      </c>
      <c r="D1019">
        <v>-3.69031E-3</v>
      </c>
      <c r="F1019">
        <v>10</v>
      </c>
      <c r="G1019" t="str">
        <f>IFERROR(VLOOKUP(B1019, Data!H:H, 1, FALSE), "")</f>
        <v/>
      </c>
    </row>
    <row r="1020" spans="1:7" x14ac:dyDescent="0.25">
      <c r="A1020" t="s">
        <v>2097</v>
      </c>
      <c r="B1020" t="s">
        <v>2808</v>
      </c>
      <c r="C1020">
        <v>51.589123766666603</v>
      </c>
      <c r="D1020">
        <v>-1.01474444444444E-3</v>
      </c>
      <c r="F1020">
        <v>9</v>
      </c>
      <c r="G1020" t="str">
        <f>IFERROR(VLOOKUP(B1020, Data!H:H, 1, FALSE), "")</f>
        <v/>
      </c>
    </row>
    <row r="1021" spans="1:7" x14ac:dyDescent="0.25">
      <c r="A1021" t="s">
        <v>1420</v>
      </c>
      <c r="B1021" t="s">
        <v>3251</v>
      </c>
      <c r="C1021">
        <v>51.368012316666601</v>
      </c>
      <c r="D1021">
        <v>-0.102418675</v>
      </c>
      <c r="E1021" t="s">
        <v>1206</v>
      </c>
      <c r="F1021">
        <v>12</v>
      </c>
      <c r="G1021" t="str">
        <f>IFERROR(VLOOKUP(B1021, Data!H:H, 1, FALSE), "")</f>
        <v/>
      </c>
    </row>
    <row r="1022" spans="1:7" x14ac:dyDescent="0.25">
      <c r="A1022" t="s">
        <v>1354</v>
      </c>
      <c r="B1022" t="s">
        <v>2808</v>
      </c>
      <c r="C1022">
        <v>51.322055115789396</v>
      </c>
      <c r="D1022">
        <v>-9.9540742105263105E-2</v>
      </c>
      <c r="E1022" t="s">
        <v>1206</v>
      </c>
      <c r="F1022">
        <v>19</v>
      </c>
      <c r="G1022" t="str">
        <f>IFERROR(VLOOKUP(B1022, Data!H:H, 1, FALSE), "")</f>
        <v/>
      </c>
    </row>
    <row r="1023" spans="1:7" x14ac:dyDescent="0.25">
      <c r="A1023" t="s">
        <v>2098</v>
      </c>
      <c r="B1023" t="s">
        <v>3252</v>
      </c>
      <c r="C1023">
        <v>51.550972386956502</v>
      </c>
      <c r="D1023">
        <v>-0.33281348695652102</v>
      </c>
      <c r="E1023" t="s">
        <v>1206</v>
      </c>
      <c r="F1023">
        <v>23</v>
      </c>
      <c r="G1023" t="str">
        <f>IFERROR(VLOOKUP(B1023, Data!H:H, 1, FALSE), "")</f>
        <v/>
      </c>
    </row>
    <row r="1024" spans="1:7" x14ac:dyDescent="0.25">
      <c r="A1024" t="s">
        <v>2099</v>
      </c>
      <c r="B1024" t="s">
        <v>3253</v>
      </c>
      <c r="C1024">
        <v>51.514853180000003</v>
      </c>
      <c r="D1024">
        <v>-8.8798619999999995E-2</v>
      </c>
      <c r="F1024">
        <v>5</v>
      </c>
      <c r="G1024" t="str">
        <f>IFERROR(VLOOKUP(B1024, Data!H:H, 1, FALSE), "")</f>
        <v/>
      </c>
    </row>
    <row r="1025" spans="1:7" x14ac:dyDescent="0.25">
      <c r="A1025" t="s">
        <v>1892</v>
      </c>
      <c r="B1025" t="s">
        <v>3254</v>
      </c>
      <c r="C1025">
        <v>51.535758739999999</v>
      </c>
      <c r="D1025">
        <v>-0.35066414000000001</v>
      </c>
      <c r="E1025" t="s">
        <v>1206</v>
      </c>
      <c r="F1025">
        <v>5</v>
      </c>
      <c r="G1025" t="str">
        <f>IFERROR(VLOOKUP(B1025, Data!H:H, 1, FALSE), "")</f>
        <v/>
      </c>
    </row>
    <row r="1026" spans="1:7" x14ac:dyDescent="0.25">
      <c r="A1026" t="s">
        <v>2100</v>
      </c>
      <c r="B1026" t="s">
        <v>3255</v>
      </c>
      <c r="C1026">
        <v>51.531607899999997</v>
      </c>
      <c r="D1026">
        <v>-0.35327421999999897</v>
      </c>
      <c r="F1026">
        <v>10</v>
      </c>
      <c r="G1026" t="str">
        <f>IFERROR(VLOOKUP(B1026, Data!H:H, 1, FALSE), "")</f>
        <v/>
      </c>
    </row>
    <row r="1027" spans="1:7" x14ac:dyDescent="0.25">
      <c r="A1027" t="s">
        <v>2101</v>
      </c>
      <c r="B1027" t="s">
        <v>3256</v>
      </c>
      <c r="C1027">
        <v>51.513803328571399</v>
      </c>
      <c r="D1027">
        <v>-0.34744918571428501</v>
      </c>
      <c r="E1027" t="s">
        <v>1206</v>
      </c>
      <c r="F1027">
        <v>7</v>
      </c>
      <c r="G1027" t="str">
        <f>IFERROR(VLOOKUP(B1027, Data!H:H, 1, FALSE), "")</f>
        <v/>
      </c>
    </row>
    <row r="1028" spans="1:7" x14ac:dyDescent="0.25">
      <c r="A1028" t="s">
        <v>2102</v>
      </c>
      <c r="B1028" t="s">
        <v>2808</v>
      </c>
      <c r="C1028">
        <v>51.320326946666597</v>
      </c>
      <c r="D1028">
        <v>7.2212493333333294E-2</v>
      </c>
      <c r="E1028" t="s">
        <v>1206</v>
      </c>
      <c r="F1028">
        <v>15</v>
      </c>
      <c r="G1028" t="str">
        <f>IFERROR(VLOOKUP(B1028, Data!H:H, 1, FALSE), "")</f>
        <v/>
      </c>
    </row>
    <row r="1029" spans="1:7" x14ac:dyDescent="0.25">
      <c r="A1029" t="s">
        <v>1762</v>
      </c>
      <c r="B1029" t="s">
        <v>3257</v>
      </c>
      <c r="C1029">
        <v>51.507284300000002</v>
      </c>
      <c r="D1029">
        <v>-0.349598559999999</v>
      </c>
      <c r="F1029">
        <v>15</v>
      </c>
      <c r="G1029" t="str">
        <f>IFERROR(VLOOKUP(B1029, Data!H:H, 1, FALSE), "")</f>
        <v/>
      </c>
    </row>
    <row r="1030" spans="1:7" x14ac:dyDescent="0.25">
      <c r="A1030" t="s">
        <v>1762</v>
      </c>
      <c r="B1030" t="s">
        <v>3258</v>
      </c>
      <c r="C1030">
        <v>51.521977620000001</v>
      </c>
      <c r="D1030">
        <v>-0.35969308</v>
      </c>
      <c r="F1030">
        <v>5</v>
      </c>
      <c r="G1030" t="str">
        <f>IFERROR(VLOOKUP(B1030, Data!H:H, 1, FALSE), "")</f>
        <v/>
      </c>
    </row>
    <row r="1031" spans="1:7" x14ac:dyDescent="0.25">
      <c r="A1031" t="s">
        <v>2103</v>
      </c>
      <c r="B1031" t="s">
        <v>3259</v>
      </c>
      <c r="C1031">
        <v>51.526184113333301</v>
      </c>
      <c r="D1031">
        <v>-0.36593190666666597</v>
      </c>
      <c r="F1031">
        <v>15</v>
      </c>
      <c r="G1031" t="str">
        <f>IFERROR(VLOOKUP(B1031, Data!H:H, 1, FALSE), "")</f>
        <v/>
      </c>
    </row>
    <row r="1032" spans="1:7" x14ac:dyDescent="0.25">
      <c r="A1032" t="s">
        <v>1708</v>
      </c>
      <c r="B1032" t="s">
        <v>3260</v>
      </c>
      <c r="C1032">
        <v>51.543849771428498</v>
      </c>
      <c r="D1032">
        <v>-0.36892944285714202</v>
      </c>
      <c r="E1032" t="s">
        <v>1206</v>
      </c>
      <c r="F1032">
        <v>7</v>
      </c>
      <c r="G1032" t="str">
        <f>IFERROR(VLOOKUP(B1032, Data!H:H, 1, FALSE), "")</f>
        <v/>
      </c>
    </row>
    <row r="1033" spans="1:7" x14ac:dyDescent="0.25">
      <c r="A1033" t="s">
        <v>2104</v>
      </c>
      <c r="B1033" t="s">
        <v>2808</v>
      </c>
      <c r="C1033">
        <v>51.40989519</v>
      </c>
      <c r="D1033">
        <v>7.5156899999999902E-2</v>
      </c>
      <c r="E1033" t="s">
        <v>1206</v>
      </c>
      <c r="F1033">
        <v>10</v>
      </c>
      <c r="G1033" t="str">
        <f>IFERROR(VLOOKUP(B1033, Data!H:H, 1, FALSE), "")</f>
        <v/>
      </c>
    </row>
    <row r="1034" spans="1:7" x14ac:dyDescent="0.25">
      <c r="A1034" t="s">
        <v>1829</v>
      </c>
      <c r="B1034" t="s">
        <v>3261</v>
      </c>
      <c r="C1034">
        <v>51.550269857142801</v>
      </c>
      <c r="D1034">
        <v>-0.35323981428571399</v>
      </c>
      <c r="E1034" t="s">
        <v>1206</v>
      </c>
      <c r="F1034">
        <v>14</v>
      </c>
      <c r="G1034" t="str">
        <f>IFERROR(VLOOKUP(B1034, Data!H:H, 1, FALSE), "")</f>
        <v/>
      </c>
    </row>
    <row r="1035" spans="1:7" x14ac:dyDescent="0.25">
      <c r="A1035" t="s">
        <v>2105</v>
      </c>
      <c r="B1035" t="s">
        <v>3262</v>
      </c>
      <c r="C1035">
        <v>51.535029757142802</v>
      </c>
      <c r="D1035">
        <v>-0.39323811428571398</v>
      </c>
      <c r="E1035" t="s">
        <v>1206</v>
      </c>
      <c r="F1035">
        <v>7</v>
      </c>
      <c r="G1035" t="str">
        <f>IFERROR(VLOOKUP(B1035, Data!H:H, 1, FALSE), "")</f>
        <v/>
      </c>
    </row>
    <row r="1036" spans="1:7" x14ac:dyDescent="0.25">
      <c r="A1036" t="s">
        <v>1264</v>
      </c>
      <c r="B1036" t="s">
        <v>3263</v>
      </c>
      <c r="C1036">
        <v>51.5511984555555</v>
      </c>
      <c r="D1036">
        <v>-0.366626688888888</v>
      </c>
      <c r="E1036" t="s">
        <v>1206</v>
      </c>
      <c r="F1036">
        <v>9</v>
      </c>
      <c r="G1036" t="str">
        <f>IFERROR(VLOOKUP(B1036, Data!H:H, 1, FALSE), "")</f>
        <v/>
      </c>
    </row>
    <row r="1037" spans="1:7" x14ac:dyDescent="0.25">
      <c r="A1037" t="s">
        <v>1292</v>
      </c>
      <c r="B1037" t="s">
        <v>3264</v>
      </c>
      <c r="C1037">
        <v>51.493152918181799</v>
      </c>
      <c r="D1037">
        <v>-0.15742573636363599</v>
      </c>
      <c r="E1037" t="s">
        <v>1206</v>
      </c>
      <c r="F1037">
        <v>22</v>
      </c>
      <c r="G1037" t="str">
        <f>IFERROR(VLOOKUP(B1037, Data!H:H, 1, FALSE), "")</f>
        <v/>
      </c>
    </row>
    <row r="1038" spans="1:7" x14ac:dyDescent="0.25">
      <c r="A1038" t="s">
        <v>1744</v>
      </c>
      <c r="B1038" t="s">
        <v>2808</v>
      </c>
      <c r="C1038">
        <v>51.3970246444444</v>
      </c>
      <c r="D1038">
        <v>-7.9538444444444398E-2</v>
      </c>
      <c r="E1038" t="s">
        <v>1206</v>
      </c>
      <c r="F1038">
        <v>9</v>
      </c>
      <c r="G1038" t="str">
        <f>IFERROR(VLOOKUP(B1038, Data!H:H, 1, FALSE), "")</f>
        <v/>
      </c>
    </row>
    <row r="1039" spans="1:7" x14ac:dyDescent="0.25">
      <c r="A1039" t="s">
        <v>2106</v>
      </c>
      <c r="B1039" t="s">
        <v>3265</v>
      </c>
      <c r="C1039">
        <v>51.381136300000001</v>
      </c>
      <c r="D1039">
        <v>-0.105924285714285</v>
      </c>
      <c r="F1039">
        <v>7</v>
      </c>
      <c r="G1039" t="str">
        <f>IFERROR(VLOOKUP(B1039, Data!H:H, 1, FALSE), "")</f>
        <v/>
      </c>
    </row>
    <row r="1040" spans="1:7" x14ac:dyDescent="0.25">
      <c r="A1040" t="s">
        <v>2107</v>
      </c>
      <c r="B1040" t="s">
        <v>3266</v>
      </c>
      <c r="C1040">
        <v>51.524563162500002</v>
      </c>
      <c r="D1040">
        <v>-7.4813875000000002E-2</v>
      </c>
      <c r="F1040">
        <v>8</v>
      </c>
      <c r="G1040" t="str">
        <f>IFERROR(VLOOKUP(B1040, Data!H:H, 1, FALSE), "")</f>
        <v/>
      </c>
    </row>
    <row r="1041" spans="1:7" x14ac:dyDescent="0.25">
      <c r="A1041" t="s">
        <v>2108</v>
      </c>
      <c r="B1041" t="s">
        <v>2808</v>
      </c>
      <c r="C1041">
        <v>51.5144876111111</v>
      </c>
      <c r="D1041">
        <v>-7.8951822222222204E-2</v>
      </c>
      <c r="F1041">
        <v>9</v>
      </c>
      <c r="G1041" t="str">
        <f>IFERROR(VLOOKUP(B1041, Data!H:H, 1, FALSE), "")</f>
        <v/>
      </c>
    </row>
    <row r="1042" spans="1:7" x14ac:dyDescent="0.25">
      <c r="A1042" t="s">
        <v>2109</v>
      </c>
      <c r="B1042" t="s">
        <v>3267</v>
      </c>
      <c r="C1042">
        <v>51.382472173333298</v>
      </c>
      <c r="D1042">
        <v>-0.109394253333333</v>
      </c>
      <c r="F1042">
        <v>15</v>
      </c>
      <c r="G1042" t="str">
        <f>IFERROR(VLOOKUP(B1042, Data!H:H, 1, FALSE), "")</f>
        <v/>
      </c>
    </row>
    <row r="1043" spans="1:7" x14ac:dyDescent="0.25">
      <c r="A1043" t="s">
        <v>2110</v>
      </c>
      <c r="B1043" t="s">
        <v>3268</v>
      </c>
      <c r="C1043">
        <v>51.383409183333299</v>
      </c>
      <c r="D1043">
        <v>-0.108589299999999</v>
      </c>
      <c r="F1043">
        <v>6</v>
      </c>
      <c r="G1043" t="str">
        <f>IFERROR(VLOOKUP(B1043, Data!H:H, 1, FALSE), "")</f>
        <v/>
      </c>
    </row>
    <row r="1044" spans="1:7" x14ac:dyDescent="0.25">
      <c r="A1044" t="s">
        <v>1555</v>
      </c>
      <c r="B1044" t="s">
        <v>3269</v>
      </c>
      <c r="C1044">
        <v>51.383795259999999</v>
      </c>
      <c r="D1044">
        <v>-0.10905993999999999</v>
      </c>
      <c r="F1044">
        <v>5</v>
      </c>
      <c r="G1044" t="str">
        <f>IFERROR(VLOOKUP(B1044, Data!H:H, 1, FALSE), "")</f>
        <v/>
      </c>
    </row>
    <row r="1045" spans="1:7" x14ac:dyDescent="0.25">
      <c r="A1045" t="s">
        <v>2111</v>
      </c>
      <c r="B1045" t="s">
        <v>3224</v>
      </c>
      <c r="C1045">
        <v>51.592068553333299</v>
      </c>
      <c r="D1045">
        <v>-3.2728899999999998E-2</v>
      </c>
      <c r="F1045">
        <v>15</v>
      </c>
      <c r="G1045" t="str">
        <f>IFERROR(VLOOKUP(B1045, Data!H:H, 1, FALSE), "")</f>
        <v/>
      </c>
    </row>
    <row r="1046" spans="1:7" x14ac:dyDescent="0.25">
      <c r="A1046" t="s">
        <v>1375</v>
      </c>
      <c r="B1046" t="s">
        <v>2808</v>
      </c>
      <c r="C1046">
        <v>51.41841376</v>
      </c>
      <c r="D1046">
        <v>-8.0656633333333297E-2</v>
      </c>
      <c r="F1046">
        <v>15</v>
      </c>
      <c r="G1046" t="str">
        <f>IFERROR(VLOOKUP(B1046, Data!H:H, 1, FALSE), "")</f>
        <v/>
      </c>
    </row>
    <row r="1047" spans="1:7" x14ac:dyDescent="0.25">
      <c r="A1047" t="s">
        <v>2112</v>
      </c>
      <c r="B1047" t="s">
        <v>2808</v>
      </c>
      <c r="C1047">
        <v>51.330367199999998</v>
      </c>
      <c r="D1047">
        <v>-9.3681836363636306E-2</v>
      </c>
      <c r="E1047" t="s">
        <v>1206</v>
      </c>
      <c r="F1047">
        <v>11</v>
      </c>
      <c r="G1047" t="str">
        <f>IFERROR(VLOOKUP(B1047, Data!H:H, 1, FALSE), "")</f>
        <v/>
      </c>
    </row>
    <row r="1048" spans="1:7" x14ac:dyDescent="0.25">
      <c r="A1048" t="s">
        <v>2113</v>
      </c>
      <c r="B1048" t="s">
        <v>3270</v>
      </c>
      <c r="C1048">
        <v>51.383982157142803</v>
      </c>
      <c r="D1048">
        <v>-0.10374937142857101</v>
      </c>
      <c r="F1048">
        <v>7</v>
      </c>
      <c r="G1048" t="str">
        <f>IFERROR(VLOOKUP(B1048, Data!H:H, 1, FALSE), "")</f>
        <v/>
      </c>
    </row>
    <row r="1049" spans="1:7" x14ac:dyDescent="0.25">
      <c r="A1049" t="s">
        <v>2114</v>
      </c>
      <c r="B1049" t="s">
        <v>3271</v>
      </c>
      <c r="C1049">
        <v>51.383082299999998</v>
      </c>
      <c r="D1049">
        <v>-9.9152299999999999E-2</v>
      </c>
      <c r="F1049">
        <v>7</v>
      </c>
      <c r="G1049" t="str">
        <f>IFERROR(VLOOKUP(B1049, Data!H:H, 1, FALSE), "")</f>
        <v/>
      </c>
    </row>
    <row r="1050" spans="1:7" x14ac:dyDescent="0.25">
      <c r="A1050" t="s">
        <v>2115</v>
      </c>
      <c r="B1050" t="s">
        <v>460</v>
      </c>
      <c r="C1050">
        <v>51.5696727846153</v>
      </c>
      <c r="D1050">
        <v>-0.117359538461538</v>
      </c>
      <c r="E1050" t="s">
        <v>1206</v>
      </c>
      <c r="F1050">
        <v>13</v>
      </c>
    </row>
    <row r="1051" spans="1:7" x14ac:dyDescent="0.25">
      <c r="A1051" t="s">
        <v>1413</v>
      </c>
      <c r="B1051" t="s">
        <v>2808</v>
      </c>
      <c r="C1051">
        <v>51.563515299999999</v>
      </c>
      <c r="D1051">
        <v>1.09048399999999E-2</v>
      </c>
      <c r="F1051">
        <v>5</v>
      </c>
      <c r="G1051" t="str">
        <f>IFERROR(VLOOKUP(B1051, Data!H:H, 1, FALSE), "")</f>
        <v/>
      </c>
    </row>
    <row r="1052" spans="1:7" x14ac:dyDescent="0.25">
      <c r="A1052" t="s">
        <v>2116</v>
      </c>
      <c r="B1052" t="s">
        <v>3272</v>
      </c>
      <c r="C1052">
        <v>51.557124299999998</v>
      </c>
      <c r="D1052">
        <v>-0.31951173999999999</v>
      </c>
      <c r="F1052">
        <v>5</v>
      </c>
      <c r="G1052" t="str">
        <f>IFERROR(VLOOKUP(B1052, Data!H:H, 1, FALSE), "")</f>
        <v/>
      </c>
    </row>
    <row r="1053" spans="1:7" x14ac:dyDescent="0.25">
      <c r="A1053" t="s">
        <v>2117</v>
      </c>
      <c r="B1053" t="s">
        <v>2982</v>
      </c>
      <c r="C1053">
        <v>51.569659609523796</v>
      </c>
      <c r="D1053">
        <v>-0.320691476190476</v>
      </c>
      <c r="E1053" t="s">
        <v>1206</v>
      </c>
      <c r="F1053">
        <v>21</v>
      </c>
      <c r="G1053" t="str">
        <f>IFERROR(VLOOKUP(B1053, Data!H:H, 1, FALSE), "")</f>
        <v/>
      </c>
    </row>
    <row r="1054" spans="1:7" x14ac:dyDescent="0.25">
      <c r="A1054" t="s">
        <v>1292</v>
      </c>
      <c r="B1054" t="s">
        <v>3273</v>
      </c>
      <c r="C1054">
        <v>51.535909645454502</v>
      </c>
      <c r="D1054">
        <v>-0.33248710909090901</v>
      </c>
      <c r="E1054" t="s">
        <v>1692</v>
      </c>
      <c r="F1054">
        <v>11</v>
      </c>
      <c r="G1054" t="str">
        <f>IFERROR(VLOOKUP(B1054, Data!H:H, 1, FALSE), "")</f>
        <v/>
      </c>
    </row>
    <row r="1055" spans="1:7" x14ac:dyDescent="0.25">
      <c r="A1055" t="s">
        <v>1268</v>
      </c>
      <c r="B1055" t="s">
        <v>3274</v>
      </c>
      <c r="C1055">
        <v>51.518003507142801</v>
      </c>
      <c r="D1055">
        <v>-0.357320207142857</v>
      </c>
      <c r="E1055" t="s">
        <v>1206</v>
      </c>
      <c r="F1055">
        <v>14</v>
      </c>
      <c r="G1055" t="str">
        <f>IFERROR(VLOOKUP(B1055, Data!H:H, 1, FALSE), "")</f>
        <v/>
      </c>
    </row>
    <row r="1056" spans="1:7" x14ac:dyDescent="0.25">
      <c r="A1056" t="s">
        <v>2118</v>
      </c>
      <c r="B1056" t="s">
        <v>3275</v>
      </c>
      <c r="C1056">
        <v>51.540784780000003</v>
      </c>
      <c r="D1056">
        <v>-0.29826668000000001</v>
      </c>
      <c r="F1056">
        <v>5</v>
      </c>
      <c r="G1056" t="str">
        <f>IFERROR(VLOOKUP(B1056, Data!H:H, 1, FALSE), "")</f>
        <v/>
      </c>
    </row>
    <row r="1057" spans="1:7" x14ac:dyDescent="0.25">
      <c r="A1057" t="s">
        <v>2119</v>
      </c>
      <c r="B1057" t="s">
        <v>3276</v>
      </c>
      <c r="C1057">
        <v>51.54415478</v>
      </c>
      <c r="D1057">
        <v>0.25923074000000002</v>
      </c>
      <c r="F1057">
        <v>5</v>
      </c>
      <c r="G1057" t="str">
        <f>IFERROR(VLOOKUP(B1057, Data!H:H, 1, FALSE), "")</f>
        <v/>
      </c>
    </row>
    <row r="1058" spans="1:7" x14ac:dyDescent="0.25">
      <c r="A1058" t="s">
        <v>2120</v>
      </c>
      <c r="B1058" t="s">
        <v>3277</v>
      </c>
      <c r="C1058">
        <v>51.557532333333299</v>
      </c>
      <c r="D1058">
        <v>-0.120271666666666</v>
      </c>
      <c r="F1058">
        <v>15</v>
      </c>
      <c r="G1058" t="str">
        <f>IFERROR(VLOOKUP(B1058, Data!H:H, 1, FALSE), "")</f>
        <v/>
      </c>
    </row>
    <row r="1059" spans="1:7" x14ac:dyDescent="0.25">
      <c r="A1059" t="s">
        <v>2121</v>
      </c>
      <c r="B1059" t="s">
        <v>3278</v>
      </c>
      <c r="C1059">
        <v>51.386741352000001</v>
      </c>
      <c r="D1059">
        <v>-0.110297232</v>
      </c>
      <c r="F1059">
        <v>25</v>
      </c>
      <c r="G1059" t="str">
        <f>IFERROR(VLOOKUP(B1059, Data!H:H, 1, FALSE), "")</f>
        <v/>
      </c>
    </row>
    <row r="1060" spans="1:7" x14ac:dyDescent="0.25">
      <c r="A1060" t="s">
        <v>2122</v>
      </c>
      <c r="B1060" t="s">
        <v>3279</v>
      </c>
      <c r="C1060">
        <v>51.546567119999999</v>
      </c>
      <c r="D1060">
        <v>-8.8101960000000007E-2</v>
      </c>
      <c r="F1060">
        <v>5</v>
      </c>
      <c r="G1060" t="str">
        <f>IFERROR(VLOOKUP(B1060, Data!H:H, 1, FALSE), "")</f>
        <v/>
      </c>
    </row>
    <row r="1061" spans="1:7" x14ac:dyDescent="0.25">
      <c r="A1061" t="s">
        <v>2123</v>
      </c>
      <c r="B1061" t="s">
        <v>2808</v>
      </c>
      <c r="C1061">
        <v>51.481619466666601</v>
      </c>
      <c r="D1061">
        <v>8.7391277777777707E-2</v>
      </c>
      <c r="E1061" t="s">
        <v>1206</v>
      </c>
      <c r="F1061">
        <v>9</v>
      </c>
      <c r="G1061" t="str">
        <f>IFERROR(VLOOKUP(B1061, Data!H:H, 1, FALSE), "")</f>
        <v/>
      </c>
    </row>
    <row r="1062" spans="1:7" x14ac:dyDescent="0.25">
      <c r="A1062" t="s">
        <v>2124</v>
      </c>
      <c r="B1062" t="s">
        <v>3280</v>
      </c>
      <c r="C1062">
        <v>51.510036014285703</v>
      </c>
      <c r="D1062">
        <v>-0.37306295714285698</v>
      </c>
      <c r="F1062">
        <v>7</v>
      </c>
      <c r="G1062" t="str">
        <f>IFERROR(VLOOKUP(B1062, Data!H:H, 1, FALSE), "")</f>
        <v/>
      </c>
    </row>
    <row r="1063" spans="1:7" x14ac:dyDescent="0.25">
      <c r="A1063" t="s">
        <v>2125</v>
      </c>
      <c r="B1063" t="s">
        <v>3281</v>
      </c>
      <c r="C1063">
        <v>51.511166459999998</v>
      </c>
      <c r="D1063">
        <v>-0.370298979999999</v>
      </c>
      <c r="E1063" t="s">
        <v>1206</v>
      </c>
      <c r="F1063">
        <v>5</v>
      </c>
      <c r="G1063" t="str">
        <f>IFERROR(VLOOKUP(B1063, Data!H:H, 1, FALSE), "")</f>
        <v/>
      </c>
    </row>
    <row r="1064" spans="1:7" x14ac:dyDescent="0.25">
      <c r="A1064" t="s">
        <v>2126</v>
      </c>
      <c r="B1064" t="s">
        <v>3282</v>
      </c>
      <c r="C1064">
        <v>51.587779944444399</v>
      </c>
      <c r="D1064">
        <v>-0.30134523333333302</v>
      </c>
      <c r="F1064">
        <v>9</v>
      </c>
      <c r="G1064" t="str">
        <f>IFERROR(VLOOKUP(B1064, Data!H:H, 1, FALSE), "")</f>
        <v/>
      </c>
    </row>
    <row r="1065" spans="1:7" x14ac:dyDescent="0.25">
      <c r="A1065" t="s">
        <v>2127</v>
      </c>
      <c r="B1065" t="s">
        <v>3283</v>
      </c>
      <c r="C1065">
        <v>51.570699099999999</v>
      </c>
      <c r="D1065">
        <v>-0.28853521999999998</v>
      </c>
      <c r="E1065" t="s">
        <v>1206</v>
      </c>
      <c r="F1065">
        <v>5</v>
      </c>
      <c r="G1065" t="str">
        <f>IFERROR(VLOOKUP(B1065, Data!H:H, 1, FALSE), "")</f>
        <v/>
      </c>
    </row>
    <row r="1066" spans="1:7" x14ac:dyDescent="0.25">
      <c r="A1066" t="s">
        <v>2128</v>
      </c>
      <c r="B1066" t="s">
        <v>2808</v>
      </c>
      <c r="C1066">
        <v>51.430305999999902</v>
      </c>
      <c r="D1066">
        <v>-6.5631799999999907E-2</v>
      </c>
      <c r="F1066">
        <v>5</v>
      </c>
      <c r="G1066" t="str">
        <f>IFERROR(VLOOKUP(B1066, Data!H:H, 1, FALSE), "")</f>
        <v/>
      </c>
    </row>
    <row r="1067" spans="1:7" x14ac:dyDescent="0.25">
      <c r="A1067" t="s">
        <v>2129</v>
      </c>
      <c r="B1067" t="s">
        <v>3284</v>
      </c>
      <c r="C1067">
        <v>51.570993599999902</v>
      </c>
      <c r="D1067">
        <v>-0.29407896</v>
      </c>
      <c r="F1067">
        <v>5</v>
      </c>
      <c r="G1067" t="str">
        <f>IFERROR(VLOOKUP(B1067, Data!H:H, 1, FALSE), "")</f>
        <v/>
      </c>
    </row>
    <row r="1068" spans="1:7" x14ac:dyDescent="0.25">
      <c r="A1068" t="s">
        <v>1370</v>
      </c>
      <c r="B1068" t="s">
        <v>3285</v>
      </c>
      <c r="C1068">
        <v>51.568392619999997</v>
      </c>
      <c r="D1068">
        <v>-0.30643293999999999</v>
      </c>
      <c r="E1068" t="s">
        <v>1206</v>
      </c>
      <c r="F1068">
        <v>5</v>
      </c>
      <c r="G1068" t="str">
        <f>IFERROR(VLOOKUP(B1068, Data!H:H, 1, FALSE), "")</f>
        <v/>
      </c>
    </row>
    <row r="1069" spans="1:7" x14ac:dyDescent="0.25">
      <c r="A1069" t="s">
        <v>2130</v>
      </c>
      <c r="B1069" t="s">
        <v>3286</v>
      </c>
      <c r="C1069">
        <v>51.558416471428501</v>
      </c>
      <c r="D1069">
        <v>-0.248203714285714</v>
      </c>
      <c r="E1069" t="s">
        <v>1206</v>
      </c>
      <c r="F1069">
        <v>7</v>
      </c>
      <c r="G1069" t="str">
        <f>IFERROR(VLOOKUP(B1069, Data!H:H, 1, FALSE), "")</f>
        <v/>
      </c>
    </row>
    <row r="1070" spans="1:7" x14ac:dyDescent="0.25">
      <c r="A1070" t="s">
        <v>718</v>
      </c>
      <c r="B1070" t="s">
        <v>3287</v>
      </c>
      <c r="C1070">
        <v>51.632376286666599</v>
      </c>
      <c r="D1070">
        <v>-0.20013084</v>
      </c>
      <c r="E1070" t="s">
        <v>1206</v>
      </c>
      <c r="F1070">
        <v>15</v>
      </c>
      <c r="G1070" t="str">
        <f>IFERROR(VLOOKUP(B1070, Data!H:H, 1, FALSE), "")</f>
        <v/>
      </c>
    </row>
    <row r="1071" spans="1:7" x14ac:dyDescent="0.25">
      <c r="A1071" t="s">
        <v>2131</v>
      </c>
      <c r="B1071" t="s">
        <v>3288</v>
      </c>
      <c r="C1071">
        <v>51.515409742857102</v>
      </c>
      <c r="D1071">
        <v>-0.217308742857142</v>
      </c>
      <c r="F1071">
        <v>7</v>
      </c>
      <c r="G1071" t="str">
        <f>IFERROR(VLOOKUP(B1071, Data!H:H, 1, FALSE), "")</f>
        <v/>
      </c>
    </row>
    <row r="1072" spans="1:7" x14ac:dyDescent="0.25">
      <c r="A1072" t="s">
        <v>2132</v>
      </c>
      <c r="B1072" t="s">
        <v>2808</v>
      </c>
      <c r="C1072">
        <v>51.546882944444398</v>
      </c>
      <c r="D1072">
        <v>-6.7626511111111107E-2</v>
      </c>
      <c r="F1072">
        <v>9</v>
      </c>
      <c r="G1072" t="str">
        <f>IFERROR(VLOOKUP(B1072, Data!H:H, 1, FALSE), "")</f>
        <v/>
      </c>
    </row>
    <row r="1073" spans="1:7" x14ac:dyDescent="0.25">
      <c r="A1073" t="s">
        <v>2133</v>
      </c>
      <c r="B1073" t="s">
        <v>2808</v>
      </c>
      <c r="C1073">
        <v>51.453354014285701</v>
      </c>
      <c r="D1073">
        <v>6.2094099999999902E-2</v>
      </c>
      <c r="F1073">
        <v>7</v>
      </c>
      <c r="G1073" t="str">
        <f>IFERROR(VLOOKUP(B1073, Data!H:H, 1, FALSE), "")</f>
        <v/>
      </c>
    </row>
    <row r="1074" spans="1:7" x14ac:dyDescent="0.25">
      <c r="A1074" t="s">
        <v>2134</v>
      </c>
      <c r="B1074" t="s">
        <v>2808</v>
      </c>
      <c r="C1074">
        <v>51.5305547888888</v>
      </c>
      <c r="D1074">
        <v>-8.3436044444444399E-2</v>
      </c>
      <c r="E1074" t="s">
        <v>1206</v>
      </c>
      <c r="F1074">
        <v>9</v>
      </c>
      <c r="G1074" t="str">
        <f>IFERROR(VLOOKUP(B1074, Data!H:H, 1, FALSE), "")</f>
        <v/>
      </c>
    </row>
    <row r="1075" spans="1:7" x14ac:dyDescent="0.25">
      <c r="A1075" t="s">
        <v>2135</v>
      </c>
      <c r="B1075" t="s">
        <v>3289</v>
      </c>
      <c r="C1075">
        <v>51.486988888235203</v>
      </c>
      <c r="D1075">
        <v>-0.2086547</v>
      </c>
      <c r="E1075" t="s">
        <v>1206</v>
      </c>
      <c r="F1075">
        <v>17</v>
      </c>
      <c r="G1075" t="str">
        <f>IFERROR(VLOOKUP(B1075, Data!H:H, 1, FALSE), "")</f>
        <v/>
      </c>
    </row>
    <row r="1076" spans="1:7" x14ac:dyDescent="0.25">
      <c r="A1076" t="s">
        <v>1216</v>
      </c>
      <c r="B1076" t="s">
        <v>2808</v>
      </c>
      <c r="C1076">
        <v>51.451148523076903</v>
      </c>
      <c r="D1076">
        <v>5.1689053846153798E-2</v>
      </c>
      <c r="E1076" t="s">
        <v>1206</v>
      </c>
      <c r="F1076">
        <v>13</v>
      </c>
      <c r="G1076" t="str">
        <f>IFERROR(VLOOKUP(B1076, Data!H:H, 1, FALSE), "")</f>
        <v/>
      </c>
    </row>
    <row r="1077" spans="1:7" x14ac:dyDescent="0.25">
      <c r="A1077" t="s">
        <v>2136</v>
      </c>
      <c r="B1077" t="s">
        <v>3290</v>
      </c>
      <c r="C1077">
        <v>51.459784139999996</v>
      </c>
      <c r="D1077">
        <v>5.9089559999999999E-2</v>
      </c>
      <c r="F1077">
        <v>5</v>
      </c>
      <c r="G1077" t="str">
        <f>IFERROR(VLOOKUP(B1077, Data!H:H, 1, FALSE), "")</f>
        <v/>
      </c>
    </row>
    <row r="1078" spans="1:7" x14ac:dyDescent="0.25">
      <c r="A1078" t="s">
        <v>2137</v>
      </c>
      <c r="B1078" t="s">
        <v>2808</v>
      </c>
      <c r="C1078">
        <v>51.452910230769199</v>
      </c>
      <c r="D1078">
        <v>5.2185707692307598E-2</v>
      </c>
      <c r="F1078">
        <v>13</v>
      </c>
      <c r="G1078" t="str">
        <f>IFERROR(VLOOKUP(B1078, Data!H:H, 1, FALSE), "")</f>
        <v/>
      </c>
    </row>
    <row r="1079" spans="1:7" x14ac:dyDescent="0.25">
      <c r="A1079" t="s">
        <v>2138</v>
      </c>
      <c r="B1079" t="s">
        <v>2808</v>
      </c>
      <c r="C1079">
        <v>51.460419184210501</v>
      </c>
      <c r="D1079">
        <v>4.7656857894736802E-2</v>
      </c>
      <c r="E1079" t="s">
        <v>1206</v>
      </c>
      <c r="F1079">
        <v>19</v>
      </c>
      <c r="G1079" t="str">
        <f>IFERROR(VLOOKUP(B1079, Data!H:H, 1, FALSE), "")</f>
        <v/>
      </c>
    </row>
    <row r="1080" spans="1:7" x14ac:dyDescent="0.25">
      <c r="A1080" t="s">
        <v>1207</v>
      </c>
      <c r="B1080" t="s">
        <v>2808</v>
      </c>
      <c r="C1080">
        <v>51.614214183333303</v>
      </c>
      <c r="D1080">
        <v>2.64202333333333E-2</v>
      </c>
      <c r="F1080">
        <v>6</v>
      </c>
      <c r="G1080" t="str">
        <f>IFERROR(VLOOKUP(B1080, Data!H:H, 1, FALSE), "")</f>
        <v/>
      </c>
    </row>
    <row r="1081" spans="1:7" x14ac:dyDescent="0.25">
      <c r="A1081" t="s">
        <v>1668</v>
      </c>
      <c r="B1081" t="s">
        <v>2808</v>
      </c>
      <c r="C1081">
        <v>51.563790390909098</v>
      </c>
      <c r="D1081">
        <v>-1.50540727272727E-2</v>
      </c>
      <c r="E1081" t="s">
        <v>1206</v>
      </c>
      <c r="F1081">
        <v>11</v>
      </c>
      <c r="G1081" t="str">
        <f>IFERROR(VLOOKUP(B1081, Data!H:H, 1, FALSE), "")</f>
        <v/>
      </c>
    </row>
    <row r="1082" spans="1:7" x14ac:dyDescent="0.25">
      <c r="A1082" t="s">
        <v>2139</v>
      </c>
      <c r="B1082" t="s">
        <v>3291</v>
      </c>
      <c r="C1082">
        <v>51.488465214285696</v>
      </c>
      <c r="D1082">
        <v>-0.135305557142857</v>
      </c>
      <c r="F1082">
        <v>7</v>
      </c>
      <c r="G1082" t="str">
        <f>IFERROR(VLOOKUP(B1082, Data!H:H, 1, FALSE), "")</f>
        <v/>
      </c>
    </row>
    <row r="1083" spans="1:7" x14ac:dyDescent="0.25">
      <c r="A1083" t="s">
        <v>2140</v>
      </c>
      <c r="B1083" t="s">
        <v>3292</v>
      </c>
      <c r="C1083">
        <v>51.461842774999901</v>
      </c>
      <c r="D1083">
        <v>-8.6758249999999999E-3</v>
      </c>
      <c r="F1083">
        <v>8</v>
      </c>
      <c r="G1083" t="str">
        <f>IFERROR(VLOOKUP(B1083, Data!H:H, 1, FALSE), "")</f>
        <v/>
      </c>
    </row>
    <row r="1084" spans="1:7" x14ac:dyDescent="0.25">
      <c r="A1084" t="s">
        <v>1207</v>
      </c>
      <c r="B1084" t="s">
        <v>3293</v>
      </c>
      <c r="C1084">
        <v>51.448524830769202</v>
      </c>
      <c r="D1084">
        <v>-0.12610212307692301</v>
      </c>
      <c r="E1084" t="s">
        <v>1206</v>
      </c>
      <c r="F1084">
        <v>13</v>
      </c>
      <c r="G1084" t="str">
        <f>IFERROR(VLOOKUP(B1084, Data!H:H, 1, FALSE), "")</f>
        <v/>
      </c>
    </row>
    <row r="1085" spans="1:7" x14ac:dyDescent="0.25">
      <c r="A1085" t="s">
        <v>1258</v>
      </c>
      <c r="B1085" t="s">
        <v>2808</v>
      </c>
      <c r="C1085">
        <v>51.311838266666598</v>
      </c>
      <c r="D1085">
        <v>3.5476673333333299E-2</v>
      </c>
      <c r="E1085" t="s">
        <v>1206</v>
      </c>
      <c r="F1085">
        <v>15</v>
      </c>
      <c r="G1085" t="str">
        <f>IFERROR(VLOOKUP(B1085, Data!H:H, 1, FALSE), "")</f>
        <v/>
      </c>
    </row>
    <row r="1086" spans="1:7" x14ac:dyDescent="0.25">
      <c r="A1086" t="s">
        <v>2141</v>
      </c>
      <c r="B1086" t="s">
        <v>3294</v>
      </c>
      <c r="C1086">
        <v>51.3894736947368</v>
      </c>
      <c r="D1086">
        <v>-0.11264301052631499</v>
      </c>
      <c r="F1086">
        <v>19</v>
      </c>
      <c r="G1086" t="str">
        <f>IFERROR(VLOOKUP(B1086, Data!H:H, 1, FALSE), "")</f>
        <v/>
      </c>
    </row>
    <row r="1087" spans="1:7" x14ac:dyDescent="0.25">
      <c r="A1087" t="s">
        <v>2142</v>
      </c>
      <c r="B1087" t="s">
        <v>3295</v>
      </c>
      <c r="C1087">
        <v>51.588423800000001</v>
      </c>
      <c r="D1087">
        <v>-0.4395676</v>
      </c>
      <c r="F1087">
        <v>14</v>
      </c>
      <c r="G1087" t="str">
        <f>IFERROR(VLOOKUP(B1087, Data!H:H, 1, FALSE), "")</f>
        <v/>
      </c>
    </row>
    <row r="1088" spans="1:7" x14ac:dyDescent="0.25">
      <c r="A1088" t="s">
        <v>2143</v>
      </c>
      <c r="B1088" t="s">
        <v>2808</v>
      </c>
      <c r="C1088">
        <v>51.534406128571398</v>
      </c>
      <c r="D1088">
        <v>-8.1087514285714202E-2</v>
      </c>
      <c r="E1088" t="s">
        <v>1206</v>
      </c>
      <c r="F1088">
        <v>7</v>
      </c>
      <c r="G1088" t="str">
        <f>IFERROR(VLOOKUP(B1088, Data!H:H, 1, FALSE), "")</f>
        <v/>
      </c>
    </row>
    <row r="1089" spans="1:7" x14ac:dyDescent="0.25">
      <c r="A1089" t="s">
        <v>2144</v>
      </c>
      <c r="B1089" t="s">
        <v>3035</v>
      </c>
      <c r="C1089">
        <v>51.592286046153802</v>
      </c>
      <c r="D1089">
        <v>-0.173306923076923</v>
      </c>
      <c r="F1089">
        <v>13</v>
      </c>
      <c r="G1089" t="str">
        <f>IFERROR(VLOOKUP(B1089, Data!H:H, 1, FALSE), "")</f>
        <v/>
      </c>
    </row>
    <row r="1090" spans="1:7" x14ac:dyDescent="0.25">
      <c r="A1090" t="s">
        <v>2145</v>
      </c>
      <c r="B1090" t="s">
        <v>3296</v>
      </c>
      <c r="C1090">
        <v>51.386257989999898</v>
      </c>
      <c r="D1090">
        <v>-0.11080785999999999</v>
      </c>
      <c r="F1090">
        <v>10</v>
      </c>
      <c r="G1090" t="str">
        <f>IFERROR(VLOOKUP(B1090, Data!H:H, 1, FALSE), "")</f>
        <v/>
      </c>
    </row>
    <row r="1091" spans="1:7" x14ac:dyDescent="0.25">
      <c r="A1091" t="s">
        <v>2146</v>
      </c>
      <c r="B1091" t="s">
        <v>3297</v>
      </c>
      <c r="C1091">
        <v>51.421037464705798</v>
      </c>
      <c r="D1091">
        <v>-0.32091714117647002</v>
      </c>
      <c r="E1091" t="s">
        <v>1206</v>
      </c>
      <c r="F1091">
        <v>17</v>
      </c>
      <c r="G1091" t="str">
        <f>IFERROR(VLOOKUP(B1091, Data!H:H, 1, FALSE), "")</f>
        <v/>
      </c>
    </row>
    <row r="1092" spans="1:7" x14ac:dyDescent="0.25">
      <c r="A1092" t="s">
        <v>2147</v>
      </c>
      <c r="B1092" t="s">
        <v>3298</v>
      </c>
      <c r="C1092">
        <v>51.3882962818181</v>
      </c>
      <c r="D1092">
        <v>-0.10512539999999899</v>
      </c>
      <c r="F1092">
        <v>11</v>
      </c>
      <c r="G1092" t="str">
        <f>IFERROR(VLOOKUP(B1092, Data!H:H, 1, FALSE), "")</f>
        <v/>
      </c>
    </row>
    <row r="1093" spans="1:7" x14ac:dyDescent="0.25">
      <c r="A1093" t="s">
        <v>2148</v>
      </c>
      <c r="B1093" t="s">
        <v>3299</v>
      </c>
      <c r="C1093">
        <v>51.531536080000002</v>
      </c>
      <c r="D1093">
        <v>-0.23130577999999999</v>
      </c>
      <c r="F1093">
        <v>5</v>
      </c>
      <c r="G1093" t="str">
        <f>IFERROR(VLOOKUP(B1093, Data!H:H, 1, FALSE), "")</f>
        <v/>
      </c>
    </row>
    <row r="1094" spans="1:7" x14ac:dyDescent="0.25">
      <c r="A1094" t="s">
        <v>1241</v>
      </c>
      <c r="B1094" t="s">
        <v>2808</v>
      </c>
      <c r="C1094">
        <v>51.398910649999998</v>
      </c>
      <c r="D1094">
        <v>-7.0360257142857097E-2</v>
      </c>
      <c r="E1094" t="s">
        <v>1206</v>
      </c>
      <c r="F1094">
        <v>14</v>
      </c>
      <c r="G1094" t="str">
        <f>IFERROR(VLOOKUP(B1094, Data!H:H, 1, FALSE), "")</f>
        <v/>
      </c>
    </row>
    <row r="1095" spans="1:7" x14ac:dyDescent="0.25">
      <c r="A1095" t="s">
        <v>1613</v>
      </c>
      <c r="B1095" t="s">
        <v>3300</v>
      </c>
      <c r="C1095">
        <v>51.3854707590909</v>
      </c>
      <c r="D1095">
        <v>-0.29718954090909</v>
      </c>
      <c r="E1095" t="s">
        <v>1206</v>
      </c>
      <c r="F1095">
        <v>22</v>
      </c>
      <c r="G1095" t="str">
        <f>IFERROR(VLOOKUP(B1095, Data!H:H, 1, FALSE), "")</f>
        <v/>
      </c>
    </row>
    <row r="1096" spans="1:7" x14ac:dyDescent="0.25">
      <c r="A1096" t="s">
        <v>1260</v>
      </c>
      <c r="B1096" t="s">
        <v>2808</v>
      </c>
      <c r="C1096">
        <v>51.451183916666601</v>
      </c>
      <c r="D1096">
        <v>9.5917633333333294E-2</v>
      </c>
      <c r="F1096">
        <v>6</v>
      </c>
      <c r="G1096" t="str">
        <f>IFERROR(VLOOKUP(B1096, Data!H:H, 1, FALSE), "")</f>
        <v/>
      </c>
    </row>
    <row r="1097" spans="1:7" x14ac:dyDescent="0.25">
      <c r="A1097" t="s">
        <v>2149</v>
      </c>
      <c r="B1097" t="s">
        <v>3301</v>
      </c>
      <c r="C1097">
        <v>51.585703836363599</v>
      </c>
      <c r="D1097">
        <v>-0.31026351818181802</v>
      </c>
      <c r="E1097" t="s">
        <v>1206</v>
      </c>
      <c r="F1097">
        <v>11</v>
      </c>
      <c r="G1097" t="str">
        <f>IFERROR(VLOOKUP(B1097, Data!H:H, 1, FALSE), "")</f>
        <v/>
      </c>
    </row>
    <row r="1098" spans="1:7" x14ac:dyDescent="0.25">
      <c r="A1098" t="s">
        <v>2150</v>
      </c>
      <c r="B1098" t="s">
        <v>3302</v>
      </c>
      <c r="C1098">
        <v>51.552488118181799</v>
      </c>
      <c r="D1098">
        <v>-0.12127505454545399</v>
      </c>
      <c r="E1098" t="s">
        <v>1206</v>
      </c>
      <c r="F1098">
        <v>11</v>
      </c>
      <c r="G1098" t="str">
        <f>IFERROR(VLOOKUP(B1098, Data!H:H, 1, FALSE), "")</f>
        <v/>
      </c>
    </row>
    <row r="1099" spans="1:7" x14ac:dyDescent="0.25">
      <c r="A1099" t="s">
        <v>2151</v>
      </c>
      <c r="B1099" t="s">
        <v>3303</v>
      </c>
      <c r="C1099">
        <v>51.501378847619002</v>
      </c>
      <c r="D1099">
        <v>-5.4034400000000003E-2</v>
      </c>
      <c r="E1099" t="s">
        <v>1206</v>
      </c>
      <c r="F1099">
        <v>21</v>
      </c>
      <c r="G1099" t="str">
        <f>IFERROR(VLOOKUP(B1099, Data!H:H, 1, FALSE), "")</f>
        <v/>
      </c>
    </row>
    <row r="1100" spans="1:7" x14ac:dyDescent="0.25">
      <c r="A1100" t="s">
        <v>1374</v>
      </c>
      <c r="B1100" t="s">
        <v>3304</v>
      </c>
      <c r="C1100">
        <v>51.333674877777703</v>
      </c>
      <c r="D1100">
        <v>-0.124677222222222</v>
      </c>
      <c r="E1100" t="s">
        <v>1206</v>
      </c>
      <c r="F1100">
        <v>9</v>
      </c>
      <c r="G1100" t="str">
        <f>IFERROR(VLOOKUP(B1100, Data!H:H, 1, FALSE), "")</f>
        <v/>
      </c>
    </row>
    <row r="1101" spans="1:7" x14ac:dyDescent="0.25">
      <c r="A1101" t="s">
        <v>2152</v>
      </c>
      <c r="B1101" t="s">
        <v>3305</v>
      </c>
      <c r="C1101">
        <v>51.522028374999998</v>
      </c>
      <c r="D1101">
        <v>-4.0741556249999998E-2</v>
      </c>
      <c r="F1101">
        <v>16</v>
      </c>
      <c r="G1101" t="str">
        <f>IFERROR(VLOOKUP(B1101, Data!H:H, 1, FALSE), "")</f>
        <v/>
      </c>
    </row>
    <row r="1102" spans="1:7" x14ac:dyDescent="0.25">
      <c r="A1102" t="s">
        <v>1207</v>
      </c>
      <c r="B1102" t="s">
        <v>3306</v>
      </c>
      <c r="C1102">
        <v>51.421417361538403</v>
      </c>
      <c r="D1102">
        <v>0.121177476923076</v>
      </c>
      <c r="F1102">
        <v>13</v>
      </c>
      <c r="G1102" t="str">
        <f>IFERROR(VLOOKUP(B1102, Data!H:H, 1, FALSE), "")</f>
        <v/>
      </c>
    </row>
    <row r="1103" spans="1:7" x14ac:dyDescent="0.25">
      <c r="A1103" t="s">
        <v>2153</v>
      </c>
      <c r="B1103" t="s">
        <v>2808</v>
      </c>
      <c r="C1103">
        <v>51.542499471428499</v>
      </c>
      <c r="D1103">
        <v>3.6615771428571399E-2</v>
      </c>
      <c r="F1103">
        <v>7</v>
      </c>
      <c r="G1103" t="str">
        <f>IFERROR(VLOOKUP(B1103, Data!H:H, 1, FALSE), "")</f>
        <v/>
      </c>
    </row>
    <row r="1104" spans="1:7" x14ac:dyDescent="0.25">
      <c r="A1104" t="s">
        <v>2154</v>
      </c>
      <c r="B1104" t="s">
        <v>3307</v>
      </c>
      <c r="C1104">
        <v>51.568183933333302</v>
      </c>
      <c r="D1104">
        <v>-0.112792811111111</v>
      </c>
      <c r="F1104">
        <v>9</v>
      </c>
      <c r="G1104" t="str">
        <f>IFERROR(VLOOKUP(B1104, Data!H:H, 1, FALSE), "")</f>
        <v/>
      </c>
    </row>
    <row r="1105" spans="1:7" x14ac:dyDescent="0.25">
      <c r="A1105" t="s">
        <v>1829</v>
      </c>
      <c r="B1105" t="s">
        <v>3308</v>
      </c>
      <c r="C1105">
        <v>51.527273185714201</v>
      </c>
      <c r="D1105">
        <v>-0.30977132857142797</v>
      </c>
      <c r="E1105" t="s">
        <v>1206</v>
      </c>
      <c r="F1105">
        <v>7</v>
      </c>
      <c r="G1105" t="str">
        <f>IFERROR(VLOOKUP(B1105, Data!H:H, 1, FALSE), "")</f>
        <v/>
      </c>
    </row>
    <row r="1106" spans="1:7" x14ac:dyDescent="0.25">
      <c r="A1106" t="s">
        <v>1207</v>
      </c>
      <c r="B1106" t="s">
        <v>3309</v>
      </c>
      <c r="C1106">
        <v>51.507103122222198</v>
      </c>
      <c r="D1106">
        <v>-0.29531687777777699</v>
      </c>
      <c r="F1106">
        <v>9</v>
      </c>
      <c r="G1106" t="str">
        <f>IFERROR(VLOOKUP(B1106, Data!H:H, 1, FALSE), "")</f>
        <v/>
      </c>
    </row>
    <row r="1107" spans="1:7" x14ac:dyDescent="0.25">
      <c r="A1107" t="s">
        <v>2155</v>
      </c>
      <c r="B1107" t="s">
        <v>2808</v>
      </c>
      <c r="C1107">
        <v>51.499751709090901</v>
      </c>
      <c r="D1107">
        <v>-2.33639181818181E-2</v>
      </c>
      <c r="E1107" t="s">
        <v>1206</v>
      </c>
      <c r="F1107">
        <v>11</v>
      </c>
      <c r="G1107" t="str">
        <f>IFERROR(VLOOKUP(B1107, Data!H:H, 1, FALSE), "")</f>
        <v/>
      </c>
    </row>
    <row r="1108" spans="1:7" x14ac:dyDescent="0.25">
      <c r="A1108" t="s">
        <v>1292</v>
      </c>
      <c r="B1108" t="s">
        <v>3310</v>
      </c>
      <c r="C1108">
        <v>51.435975740000003</v>
      </c>
      <c r="D1108">
        <v>0.10230462</v>
      </c>
      <c r="E1108" t="s">
        <v>1206</v>
      </c>
      <c r="F1108">
        <v>5</v>
      </c>
      <c r="G1108" t="str">
        <f>IFERROR(VLOOKUP(B1108, Data!H:H, 1, FALSE), "")</f>
        <v/>
      </c>
    </row>
    <row r="1109" spans="1:7" x14ac:dyDescent="0.25">
      <c r="A1109" t="s">
        <v>2156</v>
      </c>
      <c r="B1109" t="s">
        <v>3311</v>
      </c>
      <c r="C1109">
        <v>51.515436199999897</v>
      </c>
      <c r="D1109">
        <v>-0.14719862</v>
      </c>
      <c r="F1109">
        <v>5</v>
      </c>
      <c r="G1109" t="str">
        <f>IFERROR(VLOOKUP(B1109, Data!H:H, 1, FALSE), "")</f>
        <v/>
      </c>
    </row>
    <row r="1110" spans="1:7" x14ac:dyDescent="0.25">
      <c r="A1110" t="s">
        <v>2157</v>
      </c>
      <c r="B1110" t="s">
        <v>3312</v>
      </c>
      <c r="C1110">
        <v>51.393116899999903</v>
      </c>
      <c r="D1110">
        <v>-2.672472E-2</v>
      </c>
      <c r="E1110" t="s">
        <v>1206</v>
      </c>
      <c r="F1110">
        <v>5</v>
      </c>
      <c r="G1110" t="str">
        <f>IFERROR(VLOOKUP(B1110, Data!H:H, 1, FALSE), "")</f>
        <v/>
      </c>
    </row>
    <row r="1111" spans="1:7" x14ac:dyDescent="0.25">
      <c r="A1111" t="s">
        <v>2158</v>
      </c>
      <c r="B1111" t="s">
        <v>2808</v>
      </c>
      <c r="C1111">
        <v>51.382323307142798</v>
      </c>
      <c r="D1111">
        <v>-9.7174735714285698E-2</v>
      </c>
      <c r="F1111">
        <v>14</v>
      </c>
      <c r="G1111" t="str">
        <f>IFERROR(VLOOKUP(B1111, Data!H:H, 1, FALSE), "")</f>
        <v/>
      </c>
    </row>
    <row r="1112" spans="1:7" x14ac:dyDescent="0.25">
      <c r="A1112" t="s">
        <v>2159</v>
      </c>
      <c r="B1112" t="s">
        <v>3313</v>
      </c>
      <c r="C1112">
        <v>51.382293623076897</v>
      </c>
      <c r="D1112">
        <v>-0.26126392307692298</v>
      </c>
      <c r="F1112">
        <v>13</v>
      </c>
      <c r="G1112" t="str">
        <f>IFERROR(VLOOKUP(B1112, Data!H:H, 1, FALSE), "")</f>
        <v/>
      </c>
    </row>
    <row r="1113" spans="1:7" x14ac:dyDescent="0.25">
      <c r="A1113" t="s">
        <v>2160</v>
      </c>
      <c r="B1113" t="s">
        <v>3314</v>
      </c>
      <c r="C1113">
        <v>51.424243135294098</v>
      </c>
      <c r="D1113">
        <v>-0.13099830588235201</v>
      </c>
      <c r="F1113">
        <v>17</v>
      </c>
      <c r="G1113" t="str">
        <f>IFERROR(VLOOKUP(B1113, Data!H:H, 1, FALSE), "")</f>
        <v/>
      </c>
    </row>
    <row r="1114" spans="1:7" x14ac:dyDescent="0.25">
      <c r="A1114" t="s">
        <v>1668</v>
      </c>
      <c r="B1114" t="s">
        <v>2641</v>
      </c>
      <c r="C1114">
        <v>51.561633</v>
      </c>
      <c r="D1114">
        <v>8.7896160000000001E-2</v>
      </c>
      <c r="E1114" t="s">
        <v>1206</v>
      </c>
      <c r="F1114">
        <v>10</v>
      </c>
      <c r="G1114" t="str">
        <f>IFERROR(VLOOKUP(B1114, Data!H:H, 1, FALSE), "")</f>
        <v/>
      </c>
    </row>
    <row r="1115" spans="1:7" x14ac:dyDescent="0.25">
      <c r="A1115" t="s">
        <v>2161</v>
      </c>
      <c r="B1115" t="s">
        <v>3315</v>
      </c>
      <c r="C1115">
        <v>51.430260027272702</v>
      </c>
      <c r="D1115">
        <v>-0.361282518181818</v>
      </c>
      <c r="E1115" t="s">
        <v>1206</v>
      </c>
      <c r="F1115">
        <v>11</v>
      </c>
      <c r="G1115" t="str">
        <f>IFERROR(VLOOKUP(B1115, Data!H:H, 1, FALSE), "")</f>
        <v/>
      </c>
    </row>
    <row r="1116" spans="1:7" x14ac:dyDescent="0.25">
      <c r="A1116" t="s">
        <v>2162</v>
      </c>
      <c r="B1116" t="s">
        <v>3316</v>
      </c>
      <c r="C1116">
        <v>51.491856800000001</v>
      </c>
      <c r="D1116">
        <v>-0.414601114285714</v>
      </c>
      <c r="F1116">
        <v>7</v>
      </c>
      <c r="G1116" t="str">
        <f>IFERROR(VLOOKUP(B1116, Data!H:H, 1, FALSE), "")</f>
        <v/>
      </c>
    </row>
    <row r="1117" spans="1:7" x14ac:dyDescent="0.25">
      <c r="A1117" t="s">
        <v>2163</v>
      </c>
      <c r="B1117" t="s">
        <v>3317</v>
      </c>
      <c r="C1117">
        <v>51.514761075000003</v>
      </c>
      <c r="D1117">
        <v>-0.130799054999999</v>
      </c>
      <c r="E1117" t="s">
        <v>1206</v>
      </c>
      <c r="F1117">
        <v>20</v>
      </c>
      <c r="G1117" t="str">
        <f>IFERROR(VLOOKUP(B1117, Data!H:H, 1, FALSE), "")</f>
        <v/>
      </c>
    </row>
    <row r="1118" spans="1:7" x14ac:dyDescent="0.25">
      <c r="A1118" t="s">
        <v>1292</v>
      </c>
      <c r="B1118" t="s">
        <v>3318</v>
      </c>
      <c r="C1118">
        <v>51.614534342857098</v>
      </c>
      <c r="D1118">
        <v>-0.43764352857142802</v>
      </c>
      <c r="F1118">
        <v>7</v>
      </c>
      <c r="G1118" t="str">
        <f>IFERROR(VLOOKUP(B1118, Data!H:H, 1, FALSE), "")</f>
        <v/>
      </c>
    </row>
    <row r="1119" spans="1:7" x14ac:dyDescent="0.25">
      <c r="A1119" t="s">
        <v>2164</v>
      </c>
      <c r="B1119" t="s">
        <v>3319</v>
      </c>
      <c r="C1119">
        <v>51.529263579999999</v>
      </c>
      <c r="D1119">
        <v>4.7787459999999997E-2</v>
      </c>
      <c r="F1119">
        <v>5</v>
      </c>
      <c r="G1119" t="str">
        <f>IFERROR(VLOOKUP(B1119, Data!H:H, 1, FALSE), "")</f>
        <v/>
      </c>
    </row>
    <row r="1120" spans="1:7" x14ac:dyDescent="0.25">
      <c r="A1120" t="s">
        <v>2165</v>
      </c>
      <c r="B1120" t="s">
        <v>2808</v>
      </c>
      <c r="C1120">
        <v>51.5243272857142</v>
      </c>
      <c r="D1120">
        <v>-5.9554271428571399E-2</v>
      </c>
      <c r="F1120">
        <v>7</v>
      </c>
      <c r="G1120" t="str">
        <f>IFERROR(VLOOKUP(B1120, Data!H:H, 1, FALSE), "")</f>
        <v/>
      </c>
    </row>
    <row r="1121" spans="1:7" x14ac:dyDescent="0.25">
      <c r="A1121" t="s">
        <v>2166</v>
      </c>
      <c r="B1121" t="s">
        <v>3320</v>
      </c>
      <c r="C1121">
        <v>51.439819012500003</v>
      </c>
      <c r="D1121">
        <v>-5.3510037500000003E-2</v>
      </c>
      <c r="F1121">
        <v>8</v>
      </c>
      <c r="G1121" t="str">
        <f>IFERROR(VLOOKUP(B1121, Data!H:H, 1, FALSE), "")</f>
        <v/>
      </c>
    </row>
    <row r="1122" spans="1:7" x14ac:dyDescent="0.25">
      <c r="A1122" t="s">
        <v>2167</v>
      </c>
      <c r="B1122" t="s">
        <v>2808</v>
      </c>
      <c r="C1122">
        <v>51.445168424999999</v>
      </c>
      <c r="D1122">
        <v>-4.3321633333333297E-2</v>
      </c>
      <c r="E1122" t="s">
        <v>1206</v>
      </c>
      <c r="F1122">
        <v>12</v>
      </c>
      <c r="G1122" t="str">
        <f>IFERROR(VLOOKUP(B1122, Data!H:H, 1, FALSE), "")</f>
        <v/>
      </c>
    </row>
    <row r="1123" spans="1:7" x14ac:dyDescent="0.25">
      <c r="A1123" t="s">
        <v>2168</v>
      </c>
      <c r="B1123" t="s">
        <v>3321</v>
      </c>
      <c r="C1123">
        <v>51.450402789999998</v>
      </c>
      <c r="D1123">
        <v>-5.0710089999999999E-2</v>
      </c>
      <c r="E1123" t="s">
        <v>1206</v>
      </c>
      <c r="F1123">
        <v>10</v>
      </c>
      <c r="G1123" t="str">
        <f>IFERROR(VLOOKUP(B1123, Data!H:H, 1, FALSE), "")</f>
        <v/>
      </c>
    </row>
    <row r="1124" spans="1:7" x14ac:dyDescent="0.25">
      <c r="A1124" t="s">
        <v>2169</v>
      </c>
      <c r="B1124" t="s">
        <v>3322</v>
      </c>
      <c r="C1124">
        <v>51.436081799999997</v>
      </c>
      <c r="D1124">
        <v>-1.670116E-2</v>
      </c>
      <c r="F1124">
        <v>5</v>
      </c>
      <c r="G1124" t="str">
        <f>IFERROR(VLOOKUP(B1124, Data!H:H, 1, FALSE), "")</f>
        <v/>
      </c>
    </row>
    <row r="1125" spans="1:7" x14ac:dyDescent="0.25">
      <c r="A1125" t="s">
        <v>2170</v>
      </c>
      <c r="B1125" t="s">
        <v>3323</v>
      </c>
      <c r="C1125">
        <v>51.407963124999903</v>
      </c>
      <c r="D1125">
        <v>6.8186999999999996E-3</v>
      </c>
      <c r="F1125">
        <v>8</v>
      </c>
      <c r="G1125" t="str">
        <f>IFERROR(VLOOKUP(B1125, Data!H:H, 1, FALSE), "")</f>
        <v/>
      </c>
    </row>
    <row r="1126" spans="1:7" x14ac:dyDescent="0.25">
      <c r="A1126" t="s">
        <v>2171</v>
      </c>
      <c r="B1126" t="s">
        <v>3324</v>
      </c>
      <c r="C1126">
        <v>51.575157170588199</v>
      </c>
      <c r="D1126">
        <v>-2.0481000000000002E-3</v>
      </c>
      <c r="E1126" t="s">
        <v>1206</v>
      </c>
      <c r="F1126">
        <v>17</v>
      </c>
      <c r="G1126" t="str">
        <f>IFERROR(VLOOKUP(B1126, Data!H:H, 1, FALSE), "")</f>
        <v/>
      </c>
    </row>
    <row r="1127" spans="1:7" x14ac:dyDescent="0.25">
      <c r="A1127" t="s">
        <v>1211</v>
      </c>
      <c r="B1127" t="s">
        <v>2808</v>
      </c>
      <c r="C1127">
        <v>51.575511319999997</v>
      </c>
      <c r="D1127">
        <v>7.5263399999999899E-3</v>
      </c>
      <c r="E1127" t="s">
        <v>1206</v>
      </c>
      <c r="F1127">
        <v>5</v>
      </c>
      <c r="G1127" t="str">
        <f>IFERROR(VLOOKUP(B1127, Data!H:H, 1, FALSE), "")</f>
        <v/>
      </c>
    </row>
    <row r="1128" spans="1:7" x14ac:dyDescent="0.25">
      <c r="A1128" t="s">
        <v>2172</v>
      </c>
      <c r="B1128" t="s">
        <v>3325</v>
      </c>
      <c r="C1128">
        <v>51.569046219999997</v>
      </c>
      <c r="D1128">
        <v>0.27732167999999902</v>
      </c>
      <c r="E1128" t="s">
        <v>1206</v>
      </c>
      <c r="F1128">
        <v>5</v>
      </c>
      <c r="G1128" t="str">
        <f>IFERROR(VLOOKUP(B1128, Data!H:H, 1, FALSE), "")</f>
        <v/>
      </c>
    </row>
    <row r="1129" spans="1:7" x14ac:dyDescent="0.25">
      <c r="A1129" t="s">
        <v>2173</v>
      </c>
      <c r="B1129" t="s">
        <v>3326</v>
      </c>
      <c r="C1129">
        <v>51.392285142857098</v>
      </c>
      <c r="D1129">
        <v>-0.204232085714285</v>
      </c>
      <c r="E1129" t="s">
        <v>1206</v>
      </c>
      <c r="F1129">
        <v>7</v>
      </c>
      <c r="G1129" t="str">
        <f>IFERROR(VLOOKUP(B1129, Data!H:H, 1, FALSE), "")</f>
        <v/>
      </c>
    </row>
    <row r="1130" spans="1:7" x14ac:dyDescent="0.25">
      <c r="A1130" t="s">
        <v>1283</v>
      </c>
      <c r="B1130" t="s">
        <v>3327</v>
      </c>
      <c r="C1130">
        <v>51.421581719999999</v>
      </c>
      <c r="D1130">
        <v>-8.3873320000000001E-2</v>
      </c>
      <c r="E1130" t="s">
        <v>1206</v>
      </c>
      <c r="F1130">
        <v>5</v>
      </c>
      <c r="G1130" t="str">
        <f>IFERROR(VLOOKUP(B1130, Data!H:H, 1, FALSE), "")</f>
        <v/>
      </c>
    </row>
    <row r="1131" spans="1:7" x14ac:dyDescent="0.25">
      <c r="A1131" t="s">
        <v>2174</v>
      </c>
      <c r="B1131" t="s">
        <v>3328</v>
      </c>
      <c r="C1131">
        <v>51.459051566666602</v>
      </c>
      <c r="D1131">
        <v>-0.23441779999999901</v>
      </c>
      <c r="E1131" t="s">
        <v>1206</v>
      </c>
      <c r="F1131">
        <v>9</v>
      </c>
      <c r="G1131" t="str">
        <f>IFERROR(VLOOKUP(B1131, Data!H:H, 1, FALSE), "")</f>
        <v/>
      </c>
    </row>
    <row r="1132" spans="1:7" x14ac:dyDescent="0.25">
      <c r="A1132" t="s">
        <v>1829</v>
      </c>
      <c r="B1132" t="s">
        <v>2808</v>
      </c>
      <c r="C1132">
        <v>51.426324264705798</v>
      </c>
      <c r="D1132">
        <v>2.4932411764705801E-3</v>
      </c>
      <c r="E1132" t="s">
        <v>1206</v>
      </c>
      <c r="F1132">
        <v>17</v>
      </c>
      <c r="G1132" t="str">
        <f>IFERROR(VLOOKUP(B1132, Data!H:H, 1, FALSE), "")</f>
        <v/>
      </c>
    </row>
    <row r="1133" spans="1:7" x14ac:dyDescent="0.25">
      <c r="A1133" t="s">
        <v>2175</v>
      </c>
      <c r="B1133" t="s">
        <v>3329</v>
      </c>
      <c r="C1133">
        <v>51.464189300000001</v>
      </c>
      <c r="D1133">
        <v>-0.30040371999999999</v>
      </c>
      <c r="E1133" t="s">
        <v>1206</v>
      </c>
      <c r="F1133">
        <v>5</v>
      </c>
      <c r="G1133" t="str">
        <f>IFERROR(VLOOKUP(B1133, Data!H:H, 1, FALSE), "")</f>
        <v/>
      </c>
    </row>
    <row r="1134" spans="1:7" x14ac:dyDescent="0.25">
      <c r="A1134" t="s">
        <v>2176</v>
      </c>
      <c r="B1134" t="s">
        <v>3330</v>
      </c>
      <c r="C1134">
        <v>51.426308560000003</v>
      </c>
      <c r="D1134">
        <v>-0.33607459000000001</v>
      </c>
      <c r="E1134" t="s">
        <v>1206</v>
      </c>
      <c r="F1134">
        <v>10</v>
      </c>
      <c r="G1134" t="str">
        <f>IFERROR(VLOOKUP(B1134, Data!H:H, 1, FALSE), "")</f>
        <v/>
      </c>
    </row>
    <row r="1135" spans="1:7" x14ac:dyDescent="0.25">
      <c r="A1135" t="s">
        <v>2177</v>
      </c>
      <c r="B1135" t="s">
        <v>2808</v>
      </c>
      <c r="C1135">
        <v>51.520066700000001</v>
      </c>
      <c r="D1135">
        <v>-4.0859528571428501E-2</v>
      </c>
      <c r="F1135">
        <v>7</v>
      </c>
      <c r="G1135" t="str">
        <f>IFERROR(VLOOKUP(B1135, Data!H:H, 1, FALSE), "")</f>
        <v/>
      </c>
    </row>
    <row r="1136" spans="1:7" x14ac:dyDescent="0.25">
      <c r="A1136" t="s">
        <v>2178</v>
      </c>
      <c r="B1136" t="s">
        <v>3331</v>
      </c>
      <c r="C1136">
        <v>51.481524199999903</v>
      </c>
      <c r="D1136">
        <v>-0.119706236842105</v>
      </c>
      <c r="F1136">
        <v>19</v>
      </c>
      <c r="G1136" t="str">
        <f>IFERROR(VLOOKUP(B1136, Data!H:H, 1, FALSE), "")</f>
        <v/>
      </c>
    </row>
    <row r="1137" spans="1:7" x14ac:dyDescent="0.25">
      <c r="A1137" t="s">
        <v>2179</v>
      </c>
      <c r="B1137" t="s">
        <v>2808</v>
      </c>
      <c r="C1137">
        <v>51.549887679999998</v>
      </c>
      <c r="D1137">
        <v>-7.4002259999999903E-2</v>
      </c>
      <c r="F1137">
        <v>5</v>
      </c>
      <c r="G1137" t="str">
        <f>IFERROR(VLOOKUP(B1137, Data!H:H, 1, FALSE), "")</f>
        <v/>
      </c>
    </row>
    <row r="1138" spans="1:7" x14ac:dyDescent="0.25">
      <c r="A1138" t="s">
        <v>1300</v>
      </c>
      <c r="B1138" t="s">
        <v>3332</v>
      </c>
      <c r="C1138">
        <v>51.461781579999901</v>
      </c>
      <c r="D1138">
        <v>0.15384511333333301</v>
      </c>
      <c r="E1138" t="s">
        <v>1206</v>
      </c>
      <c r="F1138">
        <v>15</v>
      </c>
      <c r="G1138" t="str">
        <f>IFERROR(VLOOKUP(B1138, Data!H:H, 1, FALSE), "")</f>
        <v/>
      </c>
    </row>
    <row r="1139" spans="1:7" x14ac:dyDescent="0.25">
      <c r="A1139" t="s">
        <v>1283</v>
      </c>
      <c r="B1139" t="s">
        <v>3333</v>
      </c>
      <c r="C1139">
        <v>51.477577211764697</v>
      </c>
      <c r="D1139">
        <v>-0.112868317647058</v>
      </c>
      <c r="E1139" t="s">
        <v>1206</v>
      </c>
      <c r="F1139">
        <v>17</v>
      </c>
      <c r="G1139" t="str">
        <f>IFERROR(VLOOKUP(B1139, Data!H:H, 1, FALSE), "")</f>
        <v/>
      </c>
    </row>
    <row r="1140" spans="1:7" x14ac:dyDescent="0.25">
      <c r="A1140" t="s">
        <v>2180</v>
      </c>
      <c r="B1140" t="s">
        <v>2808</v>
      </c>
      <c r="C1140">
        <v>51.493242340000002</v>
      </c>
      <c r="D1140">
        <v>6.0602159999999898E-2</v>
      </c>
      <c r="F1140">
        <v>5</v>
      </c>
      <c r="G1140" t="str">
        <f>IFERROR(VLOOKUP(B1140, Data!H:H, 1, FALSE), "")</f>
        <v/>
      </c>
    </row>
    <row r="1141" spans="1:7" x14ac:dyDescent="0.25">
      <c r="A1141" t="s">
        <v>2181</v>
      </c>
      <c r="B1141" t="s">
        <v>3334</v>
      </c>
      <c r="C1141">
        <v>51.561266060000001</v>
      </c>
      <c r="D1141">
        <v>8.5793560000000005E-2</v>
      </c>
      <c r="F1141">
        <v>5</v>
      </c>
      <c r="G1141" t="str">
        <f>IFERROR(VLOOKUP(B1141, Data!H:H, 1, FALSE), "")</f>
        <v/>
      </c>
    </row>
    <row r="1142" spans="1:7" x14ac:dyDescent="0.25">
      <c r="A1142" t="s">
        <v>2182</v>
      </c>
      <c r="B1142" t="s">
        <v>3335</v>
      </c>
      <c r="C1142">
        <v>51.557956049999902</v>
      </c>
      <c r="D1142">
        <v>6.9304149999999995E-2</v>
      </c>
      <c r="F1142">
        <v>8</v>
      </c>
      <c r="G1142" t="str">
        <f>IFERROR(VLOOKUP(B1142, Data!H:H, 1, FALSE), "")</f>
        <v/>
      </c>
    </row>
    <row r="1143" spans="1:7" x14ac:dyDescent="0.25">
      <c r="A1143" t="s">
        <v>2183</v>
      </c>
      <c r="B1143" t="s">
        <v>3336</v>
      </c>
      <c r="C1143">
        <v>51.447499052941097</v>
      </c>
      <c r="D1143">
        <v>-0.15538618823529399</v>
      </c>
      <c r="F1143">
        <v>17</v>
      </c>
      <c r="G1143" t="str">
        <f>IFERROR(VLOOKUP(B1143, Data!H:H, 1, FALSE), "")</f>
        <v/>
      </c>
    </row>
    <row r="1144" spans="1:7" x14ac:dyDescent="0.25">
      <c r="A1144" t="s">
        <v>2184</v>
      </c>
      <c r="B1144" t="s">
        <v>3337</v>
      </c>
      <c r="C1144">
        <v>51.561691257142797</v>
      </c>
      <c r="D1144">
        <v>-0.266094085714285</v>
      </c>
      <c r="F1144">
        <v>7</v>
      </c>
      <c r="G1144" t="str">
        <f>IFERROR(VLOOKUP(B1144, Data!H:H, 1, FALSE), "")</f>
        <v/>
      </c>
    </row>
    <row r="1145" spans="1:7" x14ac:dyDescent="0.25">
      <c r="A1145" t="s">
        <v>2185</v>
      </c>
      <c r="B1145" t="s">
        <v>2808</v>
      </c>
      <c r="C1145">
        <v>51.535302242857099</v>
      </c>
      <c r="D1145">
        <v>-7.6400414285714299E-2</v>
      </c>
      <c r="F1145">
        <v>7</v>
      </c>
      <c r="G1145" t="str">
        <f>IFERROR(VLOOKUP(B1145, Data!H:H, 1, FALSE), "")</f>
        <v/>
      </c>
    </row>
    <row r="1146" spans="1:7" x14ac:dyDescent="0.25">
      <c r="A1146" t="s">
        <v>2186</v>
      </c>
      <c r="B1146" t="s">
        <v>3338</v>
      </c>
      <c r="C1146">
        <v>51.496673919999999</v>
      </c>
      <c r="D1146">
        <v>-0.26822034</v>
      </c>
      <c r="F1146">
        <v>5</v>
      </c>
      <c r="G1146" t="str">
        <f>IFERROR(VLOOKUP(B1146, Data!H:H, 1, FALSE), "")</f>
        <v/>
      </c>
    </row>
    <row r="1147" spans="1:7" x14ac:dyDescent="0.25">
      <c r="A1147" t="s">
        <v>2187</v>
      </c>
      <c r="B1147" t="s">
        <v>3339</v>
      </c>
      <c r="C1147">
        <v>51.466010939999997</v>
      </c>
      <c r="D1147">
        <v>-0.17646619999999999</v>
      </c>
      <c r="E1147" t="s">
        <v>1206</v>
      </c>
      <c r="F1147">
        <v>5</v>
      </c>
      <c r="G1147" t="str">
        <f>IFERROR(VLOOKUP(B1147, Data!H:H, 1, FALSE), "")</f>
        <v/>
      </c>
    </row>
    <row r="1148" spans="1:7" x14ac:dyDescent="0.25">
      <c r="A1148" t="s">
        <v>1246</v>
      </c>
      <c r="B1148" t="s">
        <v>2808</v>
      </c>
      <c r="C1148">
        <v>51.492957105263102</v>
      </c>
      <c r="D1148">
        <v>5.9543389473684198E-2</v>
      </c>
      <c r="E1148" t="s">
        <v>1206</v>
      </c>
      <c r="F1148">
        <v>19</v>
      </c>
      <c r="G1148" t="str">
        <f>IFERROR(VLOOKUP(B1148, Data!H:H, 1, FALSE), "")</f>
        <v/>
      </c>
    </row>
    <row r="1149" spans="1:7" x14ac:dyDescent="0.25">
      <c r="A1149" t="s">
        <v>2188</v>
      </c>
      <c r="B1149" t="s">
        <v>2808</v>
      </c>
      <c r="C1149">
        <v>51.573538227272699</v>
      </c>
      <c r="D1149">
        <v>-2.8836172727272701E-2</v>
      </c>
      <c r="F1149">
        <v>11</v>
      </c>
      <c r="G1149" t="str">
        <f>IFERROR(VLOOKUP(B1149, Data!H:H, 1, FALSE), "")</f>
        <v/>
      </c>
    </row>
    <row r="1150" spans="1:7" x14ac:dyDescent="0.25">
      <c r="A1150" t="s">
        <v>2189</v>
      </c>
      <c r="B1150" t="s">
        <v>3340</v>
      </c>
      <c r="C1150">
        <v>51.635411579999897</v>
      </c>
      <c r="D1150">
        <v>-0.10572013333333299</v>
      </c>
      <c r="E1150" t="s">
        <v>1206</v>
      </c>
      <c r="F1150">
        <v>15</v>
      </c>
      <c r="G1150" t="str">
        <f>IFERROR(VLOOKUP(B1150, Data!H:H, 1, FALSE), "")</f>
        <v/>
      </c>
    </row>
    <row r="1151" spans="1:7" x14ac:dyDescent="0.25">
      <c r="A1151" t="s">
        <v>2190</v>
      </c>
      <c r="B1151" t="s">
        <v>3341</v>
      </c>
      <c r="C1151">
        <v>51.426434514285702</v>
      </c>
      <c r="D1151">
        <v>-0.332402742857142</v>
      </c>
      <c r="F1151">
        <v>7</v>
      </c>
      <c r="G1151" t="str">
        <f>IFERROR(VLOOKUP(B1151, Data!H:H, 1, FALSE), "")</f>
        <v/>
      </c>
    </row>
    <row r="1152" spans="1:7" x14ac:dyDescent="0.25">
      <c r="A1152" t="s">
        <v>1354</v>
      </c>
      <c r="B1152" t="s">
        <v>2808</v>
      </c>
      <c r="C1152">
        <v>51.468239011475298</v>
      </c>
      <c r="D1152">
        <v>7.7102295081967198E-3</v>
      </c>
      <c r="E1152" t="s">
        <v>1206</v>
      </c>
      <c r="F1152">
        <v>61</v>
      </c>
      <c r="G1152" t="str">
        <f>IFERROR(VLOOKUP(B1152, Data!H:H, 1, FALSE), "")</f>
        <v/>
      </c>
    </row>
    <row r="1153" spans="1:7" x14ac:dyDescent="0.25">
      <c r="A1153" t="s">
        <v>2191</v>
      </c>
      <c r="B1153" t="s">
        <v>3342</v>
      </c>
      <c r="C1153">
        <v>51.649520340000002</v>
      </c>
      <c r="D1153">
        <v>-8.0363879999999999E-2</v>
      </c>
      <c r="F1153">
        <v>5</v>
      </c>
      <c r="G1153" t="str">
        <f>IFERROR(VLOOKUP(B1153, Data!H:H, 1, FALSE), "")</f>
        <v/>
      </c>
    </row>
    <row r="1154" spans="1:7" x14ac:dyDescent="0.25">
      <c r="A1154" t="s">
        <v>321</v>
      </c>
      <c r="B1154" t="s">
        <v>2808</v>
      </c>
      <c r="C1154">
        <v>51.531030600000001</v>
      </c>
      <c r="D1154">
        <v>-9.1799871428571406E-2</v>
      </c>
      <c r="E1154" t="s">
        <v>1206</v>
      </c>
      <c r="F1154">
        <v>7</v>
      </c>
      <c r="G1154" t="str">
        <f>IFERROR(VLOOKUP(B1154, Data!H:H, 1, FALSE), "")</f>
        <v/>
      </c>
    </row>
    <row r="1155" spans="1:7" x14ac:dyDescent="0.25">
      <c r="A1155" t="s">
        <v>2192</v>
      </c>
      <c r="B1155" t="s">
        <v>2808</v>
      </c>
      <c r="C1155">
        <v>51.464196618181802</v>
      </c>
      <c r="D1155">
        <v>-1.0194127272727199E-2</v>
      </c>
      <c r="F1155">
        <v>11</v>
      </c>
      <c r="G1155" t="str">
        <f>IFERROR(VLOOKUP(B1155, Data!H:H, 1, FALSE), "")</f>
        <v/>
      </c>
    </row>
    <row r="1156" spans="1:7" x14ac:dyDescent="0.25">
      <c r="A1156" t="s">
        <v>2193</v>
      </c>
      <c r="B1156" t="s">
        <v>2808</v>
      </c>
      <c r="C1156">
        <v>51.536279350000001</v>
      </c>
      <c r="D1156">
        <v>8.07107833333333E-2</v>
      </c>
      <c r="F1156">
        <v>6</v>
      </c>
      <c r="G1156" t="str">
        <f>IFERROR(VLOOKUP(B1156, Data!H:H, 1, FALSE), "")</f>
        <v/>
      </c>
    </row>
    <row r="1157" spans="1:7" x14ac:dyDescent="0.25">
      <c r="A1157" t="s">
        <v>2127</v>
      </c>
      <c r="B1157" t="s">
        <v>3343</v>
      </c>
      <c r="C1157">
        <v>51.521958550000001</v>
      </c>
      <c r="D1157">
        <v>-0.29058534000000003</v>
      </c>
      <c r="E1157" t="s">
        <v>1206</v>
      </c>
      <c r="F1157">
        <v>10</v>
      </c>
      <c r="G1157" t="str">
        <f>IFERROR(VLOOKUP(B1157, Data!H:H, 1, FALSE), "")</f>
        <v/>
      </c>
    </row>
    <row r="1158" spans="1:7" x14ac:dyDescent="0.25">
      <c r="A1158" t="s">
        <v>2194</v>
      </c>
      <c r="B1158" t="s">
        <v>3344</v>
      </c>
      <c r="C1158">
        <v>51.509365939999903</v>
      </c>
      <c r="D1158">
        <v>-0.33497184000000002</v>
      </c>
      <c r="E1158" t="s">
        <v>1206</v>
      </c>
      <c r="F1158">
        <v>5</v>
      </c>
      <c r="G1158" t="str">
        <f>IFERROR(VLOOKUP(B1158, Data!H:H, 1, FALSE), "")</f>
        <v/>
      </c>
    </row>
    <row r="1159" spans="1:7" x14ac:dyDescent="0.25">
      <c r="A1159" t="s">
        <v>2195</v>
      </c>
      <c r="B1159" t="s">
        <v>3345</v>
      </c>
      <c r="C1159">
        <v>51.526915940000002</v>
      </c>
      <c r="D1159">
        <v>-0.35194359999999902</v>
      </c>
      <c r="F1159">
        <v>5</v>
      </c>
      <c r="G1159" t="str">
        <f>IFERROR(VLOOKUP(B1159, Data!H:H, 1, FALSE), "")</f>
        <v/>
      </c>
    </row>
    <row r="1160" spans="1:7" x14ac:dyDescent="0.25">
      <c r="A1160" t="s">
        <v>2196</v>
      </c>
      <c r="B1160" t="s">
        <v>3346</v>
      </c>
      <c r="C1160">
        <v>51.533883299999999</v>
      </c>
      <c r="D1160">
        <v>-0.37119447999999999</v>
      </c>
      <c r="E1160" t="s">
        <v>1206</v>
      </c>
      <c r="F1160">
        <v>5</v>
      </c>
      <c r="G1160" t="str">
        <f>IFERROR(VLOOKUP(B1160, Data!H:H, 1, FALSE), "")</f>
        <v/>
      </c>
    </row>
    <row r="1161" spans="1:7" x14ac:dyDescent="0.25">
      <c r="A1161" t="s">
        <v>2197</v>
      </c>
      <c r="B1161" t="s">
        <v>3347</v>
      </c>
      <c r="C1161">
        <v>51.510414857142798</v>
      </c>
      <c r="D1161">
        <v>-0.326150257142857</v>
      </c>
      <c r="F1161">
        <v>7</v>
      </c>
      <c r="G1161" t="str">
        <f>IFERROR(VLOOKUP(B1161, Data!H:H, 1, FALSE), "")</f>
        <v/>
      </c>
    </row>
    <row r="1162" spans="1:7" x14ac:dyDescent="0.25">
      <c r="A1162" t="s">
        <v>2198</v>
      </c>
      <c r="B1162" t="s">
        <v>3348</v>
      </c>
      <c r="C1162">
        <v>51.511197779999897</v>
      </c>
      <c r="D1162">
        <v>-0.3248259</v>
      </c>
      <c r="F1162">
        <v>5</v>
      </c>
      <c r="G1162" t="str">
        <f>IFERROR(VLOOKUP(B1162, Data!H:H, 1, FALSE), "")</f>
        <v/>
      </c>
    </row>
    <row r="1163" spans="1:7" x14ac:dyDescent="0.25">
      <c r="A1163" t="s">
        <v>2199</v>
      </c>
      <c r="B1163" t="s">
        <v>3349</v>
      </c>
      <c r="C1163">
        <v>51.440250178571397</v>
      </c>
      <c r="D1163">
        <v>-0.18639576071428501</v>
      </c>
      <c r="F1163">
        <v>28</v>
      </c>
      <c r="G1163" t="str">
        <f>IFERROR(VLOOKUP(B1163, Data!H:H, 1, FALSE), "")</f>
        <v/>
      </c>
    </row>
    <row r="1164" spans="1:7" x14ac:dyDescent="0.25">
      <c r="A1164" t="s">
        <v>2200</v>
      </c>
      <c r="B1164" t="s">
        <v>3350</v>
      </c>
      <c r="C1164">
        <v>51.565897237499897</v>
      </c>
      <c r="D1164">
        <v>-0.12071224999999999</v>
      </c>
      <c r="F1164">
        <v>8</v>
      </c>
      <c r="G1164" t="str">
        <f>IFERROR(VLOOKUP(B1164, Data!H:H, 1, FALSE), "")</f>
        <v/>
      </c>
    </row>
    <row r="1165" spans="1:7" x14ac:dyDescent="0.25">
      <c r="A1165" t="s">
        <v>2201</v>
      </c>
      <c r="B1165" t="s">
        <v>3351</v>
      </c>
      <c r="C1165">
        <v>51.507926155555502</v>
      </c>
      <c r="D1165">
        <v>-0.33912195555555502</v>
      </c>
      <c r="F1165">
        <v>9</v>
      </c>
      <c r="G1165" t="str">
        <f>IFERROR(VLOOKUP(B1165, Data!H:H, 1, FALSE), "")</f>
        <v/>
      </c>
    </row>
    <row r="1166" spans="1:7" x14ac:dyDescent="0.25">
      <c r="A1166" t="s">
        <v>2202</v>
      </c>
      <c r="B1166" t="s">
        <v>3352</v>
      </c>
      <c r="C1166">
        <v>51.460733380000001</v>
      </c>
      <c r="D1166">
        <v>-0.11854558</v>
      </c>
      <c r="F1166">
        <v>5</v>
      </c>
      <c r="G1166" t="str">
        <f>IFERROR(VLOOKUP(B1166, Data!H:H, 1, FALSE), "")</f>
        <v/>
      </c>
    </row>
    <row r="1167" spans="1:7" x14ac:dyDescent="0.25">
      <c r="A1167" t="s">
        <v>2203</v>
      </c>
      <c r="B1167" t="s">
        <v>3353</v>
      </c>
      <c r="C1167">
        <v>51.501398866666598</v>
      </c>
      <c r="D1167">
        <v>-0.38169686666666602</v>
      </c>
      <c r="E1167" t="s">
        <v>1206</v>
      </c>
      <c r="F1167">
        <v>9</v>
      </c>
      <c r="G1167" t="str">
        <f>IFERROR(VLOOKUP(B1167, Data!H:H, 1, FALSE), "")</f>
        <v/>
      </c>
    </row>
    <row r="1168" spans="1:7" x14ac:dyDescent="0.25">
      <c r="A1168" t="s">
        <v>2204</v>
      </c>
      <c r="B1168" t="s">
        <v>3354</v>
      </c>
      <c r="C1168">
        <v>51.507330359999898</v>
      </c>
      <c r="D1168">
        <v>-0.37396881999999998</v>
      </c>
      <c r="F1168">
        <v>5</v>
      </c>
      <c r="G1168" t="str">
        <f>IFERROR(VLOOKUP(B1168, Data!H:H, 1, FALSE), "")</f>
        <v/>
      </c>
    </row>
    <row r="1169" spans="1:7" x14ac:dyDescent="0.25">
      <c r="A1169" t="s">
        <v>2205</v>
      </c>
      <c r="B1169" t="s">
        <v>3355</v>
      </c>
      <c r="C1169">
        <v>51.499597899999998</v>
      </c>
      <c r="D1169">
        <v>-0.38245708571428499</v>
      </c>
      <c r="F1169">
        <v>7</v>
      </c>
      <c r="G1169" t="str">
        <f>IFERROR(VLOOKUP(B1169, Data!H:H, 1, FALSE), "")</f>
        <v/>
      </c>
    </row>
    <row r="1170" spans="1:7" x14ac:dyDescent="0.25">
      <c r="A1170" t="s">
        <v>2206</v>
      </c>
      <c r="B1170" t="s">
        <v>3355</v>
      </c>
      <c r="C1170">
        <v>51.499220119999997</v>
      </c>
      <c r="D1170">
        <v>-0.382993379999999</v>
      </c>
      <c r="F1170">
        <v>10</v>
      </c>
      <c r="G1170" t="str">
        <f>IFERROR(VLOOKUP(B1170, Data!H:H, 1, FALSE), "")</f>
        <v/>
      </c>
    </row>
    <row r="1171" spans="1:7" x14ac:dyDescent="0.25">
      <c r="A1171" t="s">
        <v>2207</v>
      </c>
      <c r="B1171" t="s">
        <v>3356</v>
      </c>
      <c r="C1171">
        <v>51.499288899999897</v>
      </c>
      <c r="D1171">
        <v>-0.38476438750000003</v>
      </c>
      <c r="F1171">
        <v>8</v>
      </c>
      <c r="G1171" t="str">
        <f>IFERROR(VLOOKUP(B1171, Data!H:H, 1, FALSE), "")</f>
        <v/>
      </c>
    </row>
    <row r="1172" spans="1:7" x14ac:dyDescent="0.25">
      <c r="A1172" t="s">
        <v>2208</v>
      </c>
      <c r="B1172" t="s">
        <v>3357</v>
      </c>
      <c r="C1172">
        <v>51.502436771428499</v>
      </c>
      <c r="D1172">
        <v>-0.383181257142857</v>
      </c>
      <c r="F1172">
        <v>7</v>
      </c>
      <c r="G1172" t="str">
        <f>IFERROR(VLOOKUP(B1172, Data!H:H, 1, FALSE), "")</f>
        <v/>
      </c>
    </row>
    <row r="1173" spans="1:7" x14ac:dyDescent="0.25">
      <c r="A1173" t="s">
        <v>2209</v>
      </c>
      <c r="B1173" t="s">
        <v>3358</v>
      </c>
      <c r="C1173">
        <v>51.511847083333301</v>
      </c>
      <c r="D1173">
        <v>-0.37388538333333299</v>
      </c>
      <c r="F1173">
        <v>6</v>
      </c>
      <c r="G1173" t="str">
        <f>IFERROR(VLOOKUP(B1173, Data!H:H, 1, FALSE), "")</f>
        <v/>
      </c>
    </row>
    <row r="1174" spans="1:7" x14ac:dyDescent="0.25">
      <c r="A1174" t="s">
        <v>2210</v>
      </c>
      <c r="B1174" t="s">
        <v>3359</v>
      </c>
      <c r="C1174">
        <v>51.455002112499997</v>
      </c>
      <c r="D1174">
        <v>-0.18740676249999999</v>
      </c>
      <c r="E1174" t="s">
        <v>1206</v>
      </c>
      <c r="F1174">
        <v>16</v>
      </c>
      <c r="G1174" t="str">
        <f>IFERROR(VLOOKUP(B1174, Data!H:H, 1, FALSE), "")</f>
        <v/>
      </c>
    </row>
    <row r="1175" spans="1:7" x14ac:dyDescent="0.25">
      <c r="A1175" t="s">
        <v>2211</v>
      </c>
      <c r="B1175" t="s">
        <v>3360</v>
      </c>
      <c r="C1175">
        <v>51.501244253333297</v>
      </c>
      <c r="D1175">
        <v>-0.330246506666666</v>
      </c>
      <c r="E1175" t="s">
        <v>1206</v>
      </c>
      <c r="F1175">
        <v>15</v>
      </c>
      <c r="G1175" t="str">
        <f>IFERROR(VLOOKUP(B1175, Data!H:H, 1, FALSE), "")</f>
        <v/>
      </c>
    </row>
    <row r="1176" spans="1:7" x14ac:dyDescent="0.25">
      <c r="A1176" t="s">
        <v>1510</v>
      </c>
      <c r="B1176" t="s">
        <v>3361</v>
      </c>
      <c r="C1176">
        <v>51.512940176923003</v>
      </c>
      <c r="D1176">
        <v>-0.384455269230769</v>
      </c>
      <c r="E1176" t="s">
        <v>1206</v>
      </c>
      <c r="F1176">
        <v>13</v>
      </c>
      <c r="G1176" t="str">
        <f>IFERROR(VLOOKUP(B1176, Data!H:H, 1, FALSE), "")</f>
        <v/>
      </c>
    </row>
    <row r="1177" spans="1:7" x14ac:dyDescent="0.25">
      <c r="A1177" t="s">
        <v>2212</v>
      </c>
      <c r="B1177" t="s">
        <v>2998</v>
      </c>
      <c r="C1177">
        <v>51.587645260000002</v>
      </c>
      <c r="D1177">
        <v>-0.10881484</v>
      </c>
      <c r="F1177">
        <v>5</v>
      </c>
      <c r="G1177" t="str">
        <f>IFERROR(VLOOKUP(B1177, Data!H:H, 1, FALSE), "")</f>
        <v/>
      </c>
    </row>
    <row r="1178" spans="1:7" x14ac:dyDescent="0.25">
      <c r="A1178" t="s">
        <v>2213</v>
      </c>
      <c r="B1178" t="s">
        <v>2808</v>
      </c>
      <c r="C1178">
        <v>51.4613309285714</v>
      </c>
      <c r="D1178">
        <v>-8.5610428571428494E-3</v>
      </c>
      <c r="F1178">
        <v>7</v>
      </c>
      <c r="G1178" t="str">
        <f>IFERROR(VLOOKUP(B1178, Data!H:H, 1, FALSE), "")</f>
        <v/>
      </c>
    </row>
    <row r="1179" spans="1:7" x14ac:dyDescent="0.25">
      <c r="A1179" t="s">
        <v>2214</v>
      </c>
      <c r="B1179" t="s">
        <v>3362</v>
      </c>
      <c r="C1179">
        <v>51.428173447058803</v>
      </c>
      <c r="D1179">
        <v>0.101898576470588</v>
      </c>
      <c r="F1179">
        <v>17</v>
      </c>
      <c r="G1179" t="str">
        <f>IFERROR(VLOOKUP(B1179, Data!H:H, 1, FALSE), "")</f>
        <v/>
      </c>
    </row>
    <row r="1180" spans="1:7" x14ac:dyDescent="0.25">
      <c r="A1180" t="s">
        <v>2215</v>
      </c>
      <c r="B1180" t="s">
        <v>2808</v>
      </c>
      <c r="C1180">
        <v>51.382030319999998</v>
      </c>
      <c r="D1180">
        <v>-6.7765579999999895E-2</v>
      </c>
      <c r="F1180">
        <v>5</v>
      </c>
      <c r="G1180" t="str">
        <f>IFERROR(VLOOKUP(B1180, Data!H:H, 1, FALSE), "")</f>
        <v/>
      </c>
    </row>
    <row r="1181" spans="1:7" x14ac:dyDescent="0.25">
      <c r="A1181" t="s">
        <v>2216</v>
      </c>
      <c r="B1181" t="s">
        <v>3363</v>
      </c>
      <c r="C1181">
        <v>51.468892749999902</v>
      </c>
      <c r="D1181">
        <v>-0.190477333333333</v>
      </c>
      <c r="E1181" t="s">
        <v>1206</v>
      </c>
      <c r="F1181">
        <v>6</v>
      </c>
      <c r="G1181" t="str">
        <f>IFERROR(VLOOKUP(B1181, Data!H:H, 1, FALSE), "")</f>
        <v/>
      </c>
    </row>
    <row r="1182" spans="1:7" x14ac:dyDescent="0.25">
      <c r="A1182" t="s">
        <v>2217</v>
      </c>
      <c r="B1182" t="s">
        <v>2549</v>
      </c>
      <c r="C1182">
        <v>51.588025216666601</v>
      </c>
      <c r="D1182">
        <v>-0.1174794</v>
      </c>
      <c r="F1182">
        <v>6</v>
      </c>
      <c r="G1182" t="str">
        <f>IFERROR(VLOOKUP(B1182, Data!H:H, 1, FALSE), "")</f>
        <v/>
      </c>
    </row>
    <row r="1183" spans="1:7" x14ac:dyDescent="0.25">
      <c r="A1183" t="s">
        <v>2218</v>
      </c>
      <c r="B1183" t="s">
        <v>3364</v>
      </c>
      <c r="C1183">
        <v>51.473830385714201</v>
      </c>
      <c r="D1183">
        <v>-0.15775424285714201</v>
      </c>
      <c r="E1183" t="s">
        <v>1206</v>
      </c>
      <c r="F1183">
        <v>7</v>
      </c>
      <c r="G1183" t="str">
        <f>IFERROR(VLOOKUP(B1183, Data!H:H, 1, FALSE), "")</f>
        <v/>
      </c>
    </row>
    <row r="1184" spans="1:7" x14ac:dyDescent="0.25">
      <c r="A1184" t="s">
        <v>2219</v>
      </c>
      <c r="B1184" t="s">
        <v>2808</v>
      </c>
      <c r="C1184">
        <v>51.460753785714203</v>
      </c>
      <c r="D1184">
        <v>-9.7962142857142796E-3</v>
      </c>
      <c r="F1184">
        <v>7</v>
      </c>
      <c r="G1184" t="str">
        <f>IFERROR(VLOOKUP(B1184, Data!H:H, 1, FALSE), "")</f>
        <v/>
      </c>
    </row>
    <row r="1185" spans="1:7" x14ac:dyDescent="0.25">
      <c r="A1185" t="s">
        <v>2220</v>
      </c>
      <c r="B1185" t="s">
        <v>3365</v>
      </c>
      <c r="C1185">
        <v>51.460064189999898</v>
      </c>
      <c r="D1185">
        <v>-1.0725500000000001E-2</v>
      </c>
      <c r="F1185">
        <v>10</v>
      </c>
      <c r="G1185" t="str">
        <f>IFERROR(VLOOKUP(B1185, Data!H:H, 1, FALSE), "")</f>
        <v/>
      </c>
    </row>
    <row r="1186" spans="1:7" x14ac:dyDescent="0.25">
      <c r="A1186" t="s">
        <v>1257</v>
      </c>
      <c r="B1186" t="s">
        <v>3366</v>
      </c>
      <c r="C1186">
        <v>51.623570221052603</v>
      </c>
      <c r="D1186">
        <v>-0.104863552631578</v>
      </c>
      <c r="E1186" t="s">
        <v>1206</v>
      </c>
      <c r="F1186">
        <v>19</v>
      </c>
      <c r="G1186" t="str">
        <f>IFERROR(VLOOKUP(B1186, Data!H:H, 1, FALSE), "")</f>
        <v/>
      </c>
    </row>
    <row r="1187" spans="1:7" x14ac:dyDescent="0.25">
      <c r="A1187" t="s">
        <v>1724</v>
      </c>
      <c r="B1187" t="s">
        <v>3367</v>
      </c>
      <c r="C1187">
        <v>51.595304585714203</v>
      </c>
      <c r="D1187">
        <v>-0.480722714285714</v>
      </c>
      <c r="E1187" t="s">
        <v>1206</v>
      </c>
      <c r="F1187">
        <v>7</v>
      </c>
      <c r="G1187" t="str">
        <f>IFERROR(VLOOKUP(B1187, Data!H:H, 1, FALSE), "")</f>
        <v/>
      </c>
    </row>
    <row r="1188" spans="1:7" x14ac:dyDescent="0.25">
      <c r="A1188" t="s">
        <v>2221</v>
      </c>
      <c r="B1188" t="s">
        <v>3368</v>
      </c>
      <c r="C1188">
        <v>51.472565790909101</v>
      </c>
      <c r="D1188">
        <v>-0.16507581818181799</v>
      </c>
      <c r="F1188">
        <v>11</v>
      </c>
      <c r="G1188" t="str">
        <f>IFERROR(VLOOKUP(B1188, Data!H:H, 1, FALSE), "")</f>
        <v/>
      </c>
    </row>
    <row r="1189" spans="1:7" x14ac:dyDescent="0.25">
      <c r="A1189" t="s">
        <v>2222</v>
      </c>
      <c r="B1189" t="s">
        <v>3369</v>
      </c>
      <c r="C1189">
        <v>51.432255046153799</v>
      </c>
      <c r="D1189">
        <v>-0.18299269999999901</v>
      </c>
      <c r="E1189" t="s">
        <v>1206</v>
      </c>
      <c r="F1189">
        <v>13</v>
      </c>
      <c r="G1189" t="str">
        <f>IFERROR(VLOOKUP(B1189, Data!H:H, 1, FALSE), "")</f>
        <v/>
      </c>
    </row>
    <row r="1190" spans="1:7" x14ac:dyDescent="0.25">
      <c r="A1190" t="s">
        <v>2223</v>
      </c>
      <c r="B1190" t="s">
        <v>3370</v>
      </c>
      <c r="C1190">
        <v>51.465982459999999</v>
      </c>
      <c r="D1190">
        <v>-0.12982885999999999</v>
      </c>
      <c r="F1190">
        <v>5</v>
      </c>
      <c r="G1190" t="str">
        <f>IFERROR(VLOOKUP(B1190, Data!H:H, 1, FALSE), "")</f>
        <v/>
      </c>
    </row>
    <row r="1191" spans="1:7" x14ac:dyDescent="0.25">
      <c r="A1191" t="s">
        <v>1268</v>
      </c>
      <c r="B1191" t="s">
        <v>2808</v>
      </c>
      <c r="C1191">
        <v>51.356674537037001</v>
      </c>
      <c r="D1191">
        <v>-8.8631303703703701E-2</v>
      </c>
      <c r="E1191" t="s">
        <v>1206</v>
      </c>
      <c r="F1191">
        <v>27</v>
      </c>
      <c r="G1191" t="str">
        <f>IFERROR(VLOOKUP(B1191, Data!H:H, 1, FALSE), "")</f>
        <v/>
      </c>
    </row>
    <row r="1192" spans="1:7" x14ac:dyDescent="0.25">
      <c r="A1192" t="s">
        <v>2224</v>
      </c>
      <c r="B1192" t="s">
        <v>3371</v>
      </c>
      <c r="C1192">
        <v>51.433537407142801</v>
      </c>
      <c r="D1192">
        <v>-0.347664842857142</v>
      </c>
      <c r="E1192" t="s">
        <v>1206</v>
      </c>
      <c r="F1192">
        <v>14</v>
      </c>
      <c r="G1192" t="str">
        <f>IFERROR(VLOOKUP(B1192, Data!H:H, 1, FALSE), "")</f>
        <v/>
      </c>
    </row>
    <row r="1193" spans="1:7" x14ac:dyDescent="0.25">
      <c r="A1193" t="s">
        <v>2225</v>
      </c>
      <c r="B1193" t="s">
        <v>3372</v>
      </c>
      <c r="C1193">
        <v>51.537106566666601</v>
      </c>
      <c r="D1193">
        <v>-0.14046085</v>
      </c>
      <c r="F1193">
        <v>6</v>
      </c>
      <c r="G1193" t="str">
        <f>IFERROR(VLOOKUP(B1193, Data!H:H, 1, FALSE), "")</f>
        <v/>
      </c>
    </row>
    <row r="1194" spans="1:7" x14ac:dyDescent="0.25">
      <c r="A1194" t="s">
        <v>1354</v>
      </c>
      <c r="B1194" t="s">
        <v>3373</v>
      </c>
      <c r="C1194">
        <v>51.457571738095197</v>
      </c>
      <c r="D1194">
        <v>-0.19528481904761899</v>
      </c>
      <c r="E1194" t="s">
        <v>1210</v>
      </c>
      <c r="F1194">
        <v>21</v>
      </c>
      <c r="G1194" t="str">
        <f>IFERROR(VLOOKUP(B1194, Data!H:H, 1, FALSE), "")</f>
        <v/>
      </c>
    </row>
    <row r="1195" spans="1:7" x14ac:dyDescent="0.25">
      <c r="A1195" t="s">
        <v>2226</v>
      </c>
      <c r="B1195" t="s">
        <v>2808</v>
      </c>
      <c r="C1195">
        <v>51.514867733333297</v>
      </c>
      <c r="D1195">
        <v>-9.6194544444444405E-2</v>
      </c>
      <c r="F1195">
        <v>9</v>
      </c>
      <c r="G1195" t="str">
        <f>IFERROR(VLOOKUP(B1195, Data!H:H, 1, FALSE), "")</f>
        <v/>
      </c>
    </row>
    <row r="1196" spans="1:7" x14ac:dyDescent="0.25">
      <c r="A1196" t="s">
        <v>2227</v>
      </c>
      <c r="B1196" t="s">
        <v>3374</v>
      </c>
      <c r="C1196">
        <v>51.416159176923003</v>
      </c>
      <c r="D1196">
        <v>-0.17748161538461499</v>
      </c>
      <c r="E1196" t="s">
        <v>1206</v>
      </c>
      <c r="F1196">
        <v>13</v>
      </c>
      <c r="G1196" t="str">
        <f>IFERROR(VLOOKUP(B1196, Data!H:H, 1, FALSE), "")</f>
        <v/>
      </c>
    </row>
    <row r="1197" spans="1:7" x14ac:dyDescent="0.25">
      <c r="A1197" t="s">
        <v>2228</v>
      </c>
      <c r="B1197" t="s">
        <v>3375</v>
      </c>
      <c r="C1197">
        <v>51.4135627307692</v>
      </c>
      <c r="D1197">
        <v>-0.19147382307692301</v>
      </c>
      <c r="E1197" t="s">
        <v>1206</v>
      </c>
      <c r="F1197">
        <v>13</v>
      </c>
      <c r="G1197" t="str">
        <f>IFERROR(VLOOKUP(B1197, Data!H:H, 1, FALSE), "")</f>
        <v/>
      </c>
    </row>
    <row r="1198" spans="1:7" x14ac:dyDescent="0.25">
      <c r="A1198" t="s">
        <v>2229</v>
      </c>
      <c r="B1198" t="s">
        <v>3376</v>
      </c>
      <c r="C1198">
        <v>51.515321721739099</v>
      </c>
      <c r="D1198">
        <v>-0.205174260869565</v>
      </c>
      <c r="F1198">
        <v>23</v>
      </c>
      <c r="G1198" t="str">
        <f>IFERROR(VLOOKUP(B1198, Data!H:H, 1, FALSE), "")</f>
        <v/>
      </c>
    </row>
    <row r="1199" spans="1:7" x14ac:dyDescent="0.25">
      <c r="A1199" t="s">
        <v>2230</v>
      </c>
      <c r="B1199" t="s">
        <v>3377</v>
      </c>
      <c r="C1199">
        <v>51.540410440000002</v>
      </c>
      <c r="D1199">
        <v>-0.116743179999999</v>
      </c>
      <c r="F1199">
        <v>5</v>
      </c>
      <c r="G1199" t="str">
        <f>IFERROR(VLOOKUP(B1199, Data!H:H, 1, FALSE), "")</f>
        <v/>
      </c>
    </row>
    <row r="1200" spans="1:7" x14ac:dyDescent="0.25">
      <c r="A1200" t="s">
        <v>2231</v>
      </c>
      <c r="B1200" t="s">
        <v>3378</v>
      </c>
      <c r="C1200">
        <v>51.4118366133333</v>
      </c>
      <c r="D1200">
        <v>-0.23385065999999999</v>
      </c>
      <c r="E1200" t="s">
        <v>1206</v>
      </c>
      <c r="F1200">
        <v>15</v>
      </c>
      <c r="G1200" t="str">
        <f>IFERROR(VLOOKUP(B1200, Data!H:H, 1, FALSE), "")</f>
        <v/>
      </c>
    </row>
    <row r="1201" spans="1:7" x14ac:dyDescent="0.25">
      <c r="A1201" t="s">
        <v>2232</v>
      </c>
      <c r="B1201" t="s">
        <v>3379</v>
      </c>
      <c r="C1201">
        <v>51.417958433333297</v>
      </c>
      <c r="D1201">
        <v>-0.23032649999999999</v>
      </c>
      <c r="E1201" t="s">
        <v>1206</v>
      </c>
      <c r="F1201">
        <v>9</v>
      </c>
      <c r="G1201" t="str">
        <f>IFERROR(VLOOKUP(B1201, Data!H:H, 1, FALSE), "")</f>
        <v/>
      </c>
    </row>
    <row r="1202" spans="1:7" x14ac:dyDescent="0.25">
      <c r="A1202" t="s">
        <v>1209</v>
      </c>
      <c r="B1202" t="s">
        <v>3380</v>
      </c>
      <c r="C1202">
        <v>51.449236057142798</v>
      </c>
      <c r="D1202">
        <v>-0.237223257142857</v>
      </c>
      <c r="E1202" t="s">
        <v>1206</v>
      </c>
      <c r="F1202">
        <v>7</v>
      </c>
      <c r="G1202" t="str">
        <f>IFERROR(VLOOKUP(B1202, Data!H:H, 1, FALSE), "")</f>
        <v/>
      </c>
    </row>
    <row r="1203" spans="1:7" x14ac:dyDescent="0.25">
      <c r="A1203" t="s">
        <v>1354</v>
      </c>
      <c r="B1203" t="s">
        <v>3381</v>
      </c>
      <c r="C1203">
        <v>51.462492560000001</v>
      </c>
      <c r="D1203">
        <v>-0.26190037999999999</v>
      </c>
      <c r="E1203" t="s">
        <v>1206</v>
      </c>
      <c r="F1203">
        <v>5</v>
      </c>
      <c r="G1203" t="str">
        <f>IFERROR(VLOOKUP(B1203, Data!H:H, 1, FALSE), "")</f>
        <v/>
      </c>
    </row>
    <row r="1204" spans="1:7" x14ac:dyDescent="0.25">
      <c r="A1204" t="s">
        <v>1708</v>
      </c>
      <c r="B1204" t="s">
        <v>3382</v>
      </c>
      <c r="C1204">
        <v>51.548983183333299</v>
      </c>
      <c r="D1204">
        <v>-0.249883011111111</v>
      </c>
      <c r="E1204" t="s">
        <v>1206</v>
      </c>
      <c r="F1204">
        <v>18</v>
      </c>
      <c r="G1204" t="str">
        <f>IFERROR(VLOOKUP(B1204, Data!H:H, 1, FALSE), "")</f>
        <v/>
      </c>
    </row>
    <row r="1205" spans="1:7" x14ac:dyDescent="0.25">
      <c r="A1205" t="s">
        <v>1798</v>
      </c>
      <c r="B1205" t="s">
        <v>3383</v>
      </c>
      <c r="C1205">
        <v>51.460544400000003</v>
      </c>
      <c r="D1205">
        <v>-0.32523671999999998</v>
      </c>
      <c r="E1205" t="s">
        <v>1206</v>
      </c>
      <c r="F1205">
        <v>5</v>
      </c>
      <c r="G1205" t="str">
        <f>IFERROR(VLOOKUP(B1205, Data!H:H, 1, FALSE), "")</f>
        <v/>
      </c>
    </row>
    <row r="1206" spans="1:7" x14ac:dyDescent="0.25">
      <c r="A1206" t="s">
        <v>1837</v>
      </c>
      <c r="B1206" t="s">
        <v>3384</v>
      </c>
      <c r="C1206">
        <v>51.454221942857103</v>
      </c>
      <c r="D1206">
        <v>-0.333918214285714</v>
      </c>
      <c r="E1206" t="s">
        <v>1206</v>
      </c>
      <c r="F1206">
        <v>14</v>
      </c>
      <c r="G1206" t="str">
        <f>IFERROR(VLOOKUP(B1206, Data!H:H, 1, FALSE), "")</f>
        <v/>
      </c>
    </row>
    <row r="1207" spans="1:7" x14ac:dyDescent="0.25">
      <c r="A1207" t="s">
        <v>2233</v>
      </c>
      <c r="B1207" t="s">
        <v>3385</v>
      </c>
      <c r="C1207">
        <v>51.3647487625</v>
      </c>
      <c r="D1207">
        <v>-0.18316641249999999</v>
      </c>
      <c r="E1207" t="s">
        <v>1206</v>
      </c>
      <c r="F1207">
        <v>8</v>
      </c>
      <c r="G1207" t="str">
        <f>IFERROR(VLOOKUP(B1207, Data!H:H, 1, FALSE), "")</f>
        <v/>
      </c>
    </row>
    <row r="1208" spans="1:7" x14ac:dyDescent="0.25">
      <c r="A1208" t="s">
        <v>2234</v>
      </c>
      <c r="B1208" t="s">
        <v>3386</v>
      </c>
      <c r="C1208">
        <v>51.410586199999997</v>
      </c>
      <c r="D1208">
        <v>-0.22203883999999999</v>
      </c>
      <c r="E1208" t="s">
        <v>1206</v>
      </c>
      <c r="F1208">
        <v>5</v>
      </c>
      <c r="G1208" t="str">
        <f>IFERROR(VLOOKUP(B1208, Data!H:H, 1, FALSE), "")</f>
        <v/>
      </c>
    </row>
    <row r="1209" spans="1:7" x14ac:dyDescent="0.25">
      <c r="A1209" t="s">
        <v>2235</v>
      </c>
      <c r="B1209" t="s">
        <v>3387</v>
      </c>
      <c r="C1209">
        <v>51.416858679999997</v>
      </c>
      <c r="D1209">
        <v>-0.20437875999999999</v>
      </c>
      <c r="E1209" t="s">
        <v>1206</v>
      </c>
      <c r="F1209">
        <v>5</v>
      </c>
      <c r="G1209" t="str">
        <f>IFERROR(VLOOKUP(B1209, Data!H:H, 1, FALSE), "")</f>
        <v/>
      </c>
    </row>
    <row r="1210" spans="1:7" x14ac:dyDescent="0.25">
      <c r="A1210" t="s">
        <v>1216</v>
      </c>
      <c r="B1210" t="s">
        <v>3388</v>
      </c>
      <c r="C1210">
        <v>51.420219355555503</v>
      </c>
      <c r="D1210">
        <v>-0.21645507777777701</v>
      </c>
      <c r="E1210" t="s">
        <v>1206</v>
      </c>
      <c r="F1210">
        <v>9</v>
      </c>
      <c r="G1210" t="str">
        <f>IFERROR(VLOOKUP(B1210, Data!H:H, 1, FALSE), "")</f>
        <v/>
      </c>
    </row>
    <row r="1211" spans="1:7" x14ac:dyDescent="0.25">
      <c r="A1211" t="s">
        <v>1718</v>
      </c>
      <c r="B1211" t="s">
        <v>3389</v>
      </c>
      <c r="C1211">
        <v>51.423048299999998</v>
      </c>
      <c r="D1211">
        <v>-0.21723256153846099</v>
      </c>
      <c r="E1211" t="s">
        <v>1206</v>
      </c>
      <c r="F1211">
        <v>13</v>
      </c>
      <c r="G1211" t="str">
        <f>IFERROR(VLOOKUP(B1211, Data!H:H, 1, FALSE), "")</f>
        <v/>
      </c>
    </row>
    <row r="1212" spans="1:7" x14ac:dyDescent="0.25">
      <c r="A1212" t="s">
        <v>2236</v>
      </c>
      <c r="B1212" t="s">
        <v>3390</v>
      </c>
      <c r="C1212">
        <v>51.358442228571398</v>
      </c>
      <c r="D1212">
        <v>-0.14101647142857099</v>
      </c>
      <c r="E1212" t="s">
        <v>1206</v>
      </c>
      <c r="F1212">
        <v>7</v>
      </c>
      <c r="G1212" t="str">
        <f>IFERROR(VLOOKUP(B1212, Data!H:H, 1, FALSE), "")</f>
        <v/>
      </c>
    </row>
    <row r="1213" spans="1:7" x14ac:dyDescent="0.25">
      <c r="A1213" t="s">
        <v>2237</v>
      </c>
      <c r="B1213" t="s">
        <v>3391</v>
      </c>
      <c r="C1213">
        <v>51.376746359999999</v>
      </c>
      <c r="D1213">
        <v>-1.7166339999999999E-2</v>
      </c>
      <c r="E1213" t="s">
        <v>1206</v>
      </c>
      <c r="F1213">
        <v>5</v>
      </c>
      <c r="G1213" t="str">
        <f>IFERROR(VLOOKUP(B1213, Data!H:H, 1, FALSE), "")</f>
        <v/>
      </c>
    </row>
    <row r="1214" spans="1:7" x14ac:dyDescent="0.25">
      <c r="A1214" t="s">
        <v>2238</v>
      </c>
      <c r="B1214" t="s">
        <v>3392</v>
      </c>
      <c r="C1214">
        <v>51.454887900000003</v>
      </c>
      <c r="D1214">
        <v>0.17470034117646999</v>
      </c>
      <c r="E1214" t="s">
        <v>1206</v>
      </c>
      <c r="F1214">
        <v>17</v>
      </c>
      <c r="G1214" t="str">
        <f>IFERROR(VLOOKUP(B1214, Data!H:H, 1, FALSE), "")</f>
        <v/>
      </c>
    </row>
    <row r="1215" spans="1:7" x14ac:dyDescent="0.25">
      <c r="A1215" t="s">
        <v>1959</v>
      </c>
      <c r="B1215" t="s">
        <v>3393</v>
      </c>
      <c r="C1215">
        <v>51.4791467444444</v>
      </c>
      <c r="D1215">
        <v>-0.208319166666666</v>
      </c>
      <c r="E1215" t="s">
        <v>1206</v>
      </c>
      <c r="F1215">
        <v>9</v>
      </c>
      <c r="G1215" t="str">
        <f>IFERROR(VLOOKUP(B1215, Data!H:H, 1, FALSE), "")</f>
        <v/>
      </c>
    </row>
    <row r="1216" spans="1:7" x14ac:dyDescent="0.25">
      <c r="A1216" t="s">
        <v>2239</v>
      </c>
      <c r="B1216" t="s">
        <v>3394</v>
      </c>
      <c r="C1216">
        <v>51.44974208</v>
      </c>
      <c r="D1216">
        <v>-0.20224635999999999</v>
      </c>
      <c r="E1216" t="s">
        <v>1206</v>
      </c>
      <c r="F1216">
        <v>5</v>
      </c>
      <c r="G1216" t="str">
        <f>IFERROR(VLOOKUP(B1216, Data!H:H, 1, FALSE), "")</f>
        <v/>
      </c>
    </row>
    <row r="1217" spans="1:7" x14ac:dyDescent="0.25">
      <c r="A1217" t="s">
        <v>1607</v>
      </c>
      <c r="B1217" t="s">
        <v>3395</v>
      </c>
      <c r="C1217">
        <v>51.436060477777701</v>
      </c>
      <c r="D1217">
        <v>-0.19835908888888801</v>
      </c>
      <c r="E1217" t="s">
        <v>1206</v>
      </c>
      <c r="F1217">
        <v>9</v>
      </c>
      <c r="G1217" t="str">
        <f>IFERROR(VLOOKUP(B1217, Data!H:H, 1, FALSE), "")</f>
        <v/>
      </c>
    </row>
    <row r="1218" spans="1:7" x14ac:dyDescent="0.25">
      <c r="A1218" t="s">
        <v>2240</v>
      </c>
      <c r="B1218" t="s">
        <v>2808</v>
      </c>
      <c r="C1218">
        <v>51.530197599999902</v>
      </c>
      <c r="D1218">
        <v>-6.4526439999999893E-2</v>
      </c>
      <c r="E1218" t="s">
        <v>1206</v>
      </c>
      <c r="F1218">
        <v>5</v>
      </c>
      <c r="G1218" t="str">
        <f>IFERROR(VLOOKUP(B1218, Data!H:H, 1, FALSE), "")</f>
        <v/>
      </c>
    </row>
    <row r="1219" spans="1:7" x14ac:dyDescent="0.25">
      <c r="A1219" t="s">
        <v>2241</v>
      </c>
      <c r="B1219" t="s">
        <v>3396</v>
      </c>
      <c r="C1219">
        <v>51.489134499999899</v>
      </c>
      <c r="D1219">
        <v>-0.184097515384615</v>
      </c>
      <c r="E1219" t="s">
        <v>1206</v>
      </c>
      <c r="F1219">
        <v>13</v>
      </c>
      <c r="G1219" t="str">
        <f>IFERROR(VLOOKUP(B1219, Data!H:H, 1, FALSE), "")</f>
        <v/>
      </c>
    </row>
    <row r="1220" spans="1:7" x14ac:dyDescent="0.25">
      <c r="A1220" t="s">
        <v>2242</v>
      </c>
      <c r="B1220" t="s">
        <v>2808</v>
      </c>
      <c r="C1220">
        <v>51.506166285714201</v>
      </c>
      <c r="D1220">
        <v>-5.8126157142857099E-2</v>
      </c>
      <c r="E1220" t="s">
        <v>1206</v>
      </c>
      <c r="F1220">
        <v>7</v>
      </c>
      <c r="G1220" t="str">
        <f>IFERROR(VLOOKUP(B1220, Data!H:H, 1, FALSE), "")</f>
        <v/>
      </c>
    </row>
    <row r="1221" spans="1:7" x14ac:dyDescent="0.25">
      <c r="A1221" t="s">
        <v>2243</v>
      </c>
      <c r="B1221" t="s">
        <v>3397</v>
      </c>
      <c r="C1221">
        <v>51.463126119999998</v>
      </c>
      <c r="D1221">
        <v>-0.12080486</v>
      </c>
      <c r="E1221" t="s">
        <v>1206</v>
      </c>
      <c r="F1221">
        <v>5</v>
      </c>
      <c r="G1221" t="str">
        <f>IFERROR(VLOOKUP(B1221, Data!H:H, 1, FALSE), "")</f>
        <v/>
      </c>
    </row>
    <row r="1222" spans="1:7" x14ac:dyDescent="0.25">
      <c r="A1222" t="s">
        <v>2244</v>
      </c>
      <c r="B1222" t="s">
        <v>3398</v>
      </c>
      <c r="C1222">
        <v>51.471702924999903</v>
      </c>
      <c r="D1222">
        <v>-0.194511408333333</v>
      </c>
      <c r="E1222" t="s">
        <v>1206</v>
      </c>
      <c r="F1222">
        <v>12</v>
      </c>
      <c r="G1222" t="str">
        <f>IFERROR(VLOOKUP(B1222, Data!H:H, 1, FALSE), "")</f>
        <v/>
      </c>
    </row>
    <row r="1223" spans="1:7" x14ac:dyDescent="0.25">
      <c r="A1223" t="s">
        <v>1283</v>
      </c>
      <c r="B1223" t="s">
        <v>3399</v>
      </c>
      <c r="C1223">
        <v>51.559542055555497</v>
      </c>
      <c r="D1223">
        <v>-0.17689415555555499</v>
      </c>
      <c r="E1223" t="s">
        <v>1206</v>
      </c>
      <c r="F1223">
        <v>9</v>
      </c>
      <c r="G1223" t="str">
        <f>IFERROR(VLOOKUP(B1223, Data!H:H, 1, FALSE), "")</f>
        <v/>
      </c>
    </row>
    <row r="1224" spans="1:7" x14ac:dyDescent="0.25">
      <c r="A1224" t="s">
        <v>2245</v>
      </c>
      <c r="B1224" t="s">
        <v>2808</v>
      </c>
      <c r="C1224">
        <v>51.549126207407397</v>
      </c>
      <c r="D1224">
        <v>-5.3253462962962898E-2</v>
      </c>
      <c r="E1224" t="s">
        <v>1206</v>
      </c>
      <c r="F1224">
        <v>81</v>
      </c>
      <c r="G1224" t="str">
        <f>IFERROR(VLOOKUP(B1224, Data!H:H, 1, FALSE), "")</f>
        <v/>
      </c>
    </row>
    <row r="1225" spans="1:7" x14ac:dyDescent="0.25">
      <c r="A1225" t="s">
        <v>2246</v>
      </c>
      <c r="B1225" t="s">
        <v>2808</v>
      </c>
      <c r="C1225">
        <v>51.508545382352899</v>
      </c>
      <c r="D1225">
        <v>-7.6825441176470596E-2</v>
      </c>
      <c r="E1225" t="s">
        <v>1206</v>
      </c>
      <c r="F1225">
        <v>17</v>
      </c>
      <c r="G1225" t="str">
        <f>IFERROR(VLOOKUP(B1225, Data!H:H, 1, FALSE), "")</f>
        <v/>
      </c>
    </row>
    <row r="1226" spans="1:7" x14ac:dyDescent="0.25">
      <c r="A1226" t="s">
        <v>2247</v>
      </c>
      <c r="B1226" t="s">
        <v>3400</v>
      </c>
      <c r="C1226">
        <v>51.54085405</v>
      </c>
      <c r="D1226">
        <v>-6.3932139999999998E-2</v>
      </c>
      <c r="E1226" t="s">
        <v>1206</v>
      </c>
      <c r="F1226">
        <v>10</v>
      </c>
      <c r="G1226" t="str">
        <f>IFERROR(VLOOKUP(B1226, Data!H:H, 1, FALSE), "")</f>
        <v/>
      </c>
    </row>
    <row r="1227" spans="1:7" x14ac:dyDescent="0.25">
      <c r="A1227" t="s">
        <v>1283</v>
      </c>
      <c r="B1227" t="s">
        <v>2808</v>
      </c>
      <c r="C1227">
        <v>51.469916955555497</v>
      </c>
      <c r="D1227">
        <v>6.0428822222222199E-2</v>
      </c>
      <c r="E1227" t="s">
        <v>1206</v>
      </c>
      <c r="F1227">
        <v>9</v>
      </c>
      <c r="G1227" t="str">
        <f>IFERROR(VLOOKUP(B1227, Data!H:H, 1, FALSE), "")</f>
        <v/>
      </c>
    </row>
    <row r="1228" spans="1:7" x14ac:dyDescent="0.25">
      <c r="A1228" t="s">
        <v>2248</v>
      </c>
      <c r="B1228" t="s">
        <v>3401</v>
      </c>
      <c r="C1228">
        <v>51.413947860869499</v>
      </c>
      <c r="D1228">
        <v>-0.14058509999999999</v>
      </c>
      <c r="E1228" t="s">
        <v>1206</v>
      </c>
      <c r="F1228">
        <v>23</v>
      </c>
      <c r="G1228" t="str">
        <f>IFERROR(VLOOKUP(B1228, Data!H:H, 1, FALSE), "")</f>
        <v/>
      </c>
    </row>
    <row r="1229" spans="1:7" x14ac:dyDescent="0.25">
      <c r="A1229" t="s">
        <v>1555</v>
      </c>
      <c r="B1229" t="s">
        <v>2808</v>
      </c>
      <c r="C1229">
        <v>51.552931386440598</v>
      </c>
      <c r="D1229">
        <v>-5.7398708474576197E-2</v>
      </c>
      <c r="F1229">
        <v>59</v>
      </c>
      <c r="G1229" t="str">
        <f>IFERROR(VLOOKUP(B1229, Data!H:H, 1, FALSE), "")</f>
        <v/>
      </c>
    </row>
    <row r="1230" spans="1:7" x14ac:dyDescent="0.25">
      <c r="A1230" t="s">
        <v>2249</v>
      </c>
      <c r="B1230" t="s">
        <v>2808</v>
      </c>
      <c r="C1230">
        <v>51.597977511111097</v>
      </c>
      <c r="D1230">
        <v>-1.6735744444444402E-2</v>
      </c>
      <c r="F1230">
        <v>9</v>
      </c>
      <c r="G1230" t="str">
        <f>IFERROR(VLOOKUP(B1230, Data!H:H, 1, FALSE), "")</f>
        <v/>
      </c>
    </row>
    <row r="1231" spans="1:7" x14ac:dyDescent="0.25">
      <c r="A1231" t="s">
        <v>2250</v>
      </c>
      <c r="B1231" t="s">
        <v>3224</v>
      </c>
      <c r="C1231">
        <v>51.587973599999998</v>
      </c>
      <c r="D1231">
        <v>-2.7834049999999999E-2</v>
      </c>
      <c r="F1231">
        <v>6</v>
      </c>
      <c r="G1231" t="str">
        <f>IFERROR(VLOOKUP(B1231, Data!H:H, 1, FALSE), "")</f>
        <v/>
      </c>
    </row>
    <row r="1232" spans="1:7" x14ac:dyDescent="0.25">
      <c r="A1232" t="s">
        <v>2251</v>
      </c>
      <c r="B1232" t="s">
        <v>3224</v>
      </c>
      <c r="C1232">
        <v>51.596598399999998</v>
      </c>
      <c r="D1232">
        <v>-9.0054200000000001E-3</v>
      </c>
      <c r="F1232">
        <v>5</v>
      </c>
      <c r="G1232" t="str">
        <f>IFERROR(VLOOKUP(B1232, Data!H:H, 1, FALSE), "")</f>
        <v/>
      </c>
    </row>
    <row r="1233" spans="1:7" x14ac:dyDescent="0.25">
      <c r="A1233" t="s">
        <v>2252</v>
      </c>
      <c r="B1233" t="s">
        <v>3224</v>
      </c>
      <c r="C1233">
        <v>51.574666700000002</v>
      </c>
      <c r="D1233">
        <v>-2.143314E-2</v>
      </c>
      <c r="F1233">
        <v>5</v>
      </c>
      <c r="G1233" t="str">
        <f>IFERROR(VLOOKUP(B1233, Data!H:H, 1, FALSE), "")</f>
        <v/>
      </c>
    </row>
    <row r="1234" spans="1:7" x14ac:dyDescent="0.25">
      <c r="A1234" t="s">
        <v>2253</v>
      </c>
      <c r="B1234" t="s">
        <v>2808</v>
      </c>
      <c r="C1234">
        <v>51.588873714285697</v>
      </c>
      <c r="D1234">
        <v>-3.1151771428571399E-2</v>
      </c>
      <c r="F1234">
        <v>7</v>
      </c>
      <c r="G1234" t="str">
        <f>IFERROR(VLOOKUP(B1234, Data!H:H, 1, FALSE), "")</f>
        <v/>
      </c>
    </row>
    <row r="1235" spans="1:7" x14ac:dyDescent="0.25">
      <c r="A1235" t="s">
        <v>2254</v>
      </c>
      <c r="B1235" t="s">
        <v>2808</v>
      </c>
      <c r="C1235">
        <v>51.593610033333299</v>
      </c>
      <c r="D1235">
        <v>-3.3538977777777701E-2</v>
      </c>
      <c r="F1235">
        <v>9</v>
      </c>
      <c r="G1235" t="str">
        <f>IFERROR(VLOOKUP(B1235, Data!H:H, 1, FALSE), "")</f>
        <v/>
      </c>
    </row>
    <row r="1236" spans="1:7" x14ac:dyDescent="0.25">
      <c r="A1236" t="s">
        <v>2255</v>
      </c>
      <c r="B1236" t="s">
        <v>2808</v>
      </c>
      <c r="C1236">
        <v>51.512763692307601</v>
      </c>
      <c r="D1236">
        <v>-8.8026630769230702E-2</v>
      </c>
      <c r="E1236" t="s">
        <v>1206</v>
      </c>
      <c r="F1236">
        <v>26</v>
      </c>
      <c r="G1236" t="str">
        <f>IFERROR(VLOOKUP(B1236, Data!H:H, 1, FALSE), "")</f>
        <v/>
      </c>
    </row>
    <row r="1237" spans="1:7" x14ac:dyDescent="0.25">
      <c r="A1237" t="s">
        <v>2256</v>
      </c>
      <c r="B1237" t="s">
        <v>2808</v>
      </c>
      <c r="C1237">
        <v>51.535467428571401</v>
      </c>
      <c r="D1237">
        <v>7.5805607142857098E-2</v>
      </c>
      <c r="E1237" t="s">
        <v>1206</v>
      </c>
      <c r="F1237">
        <v>14</v>
      </c>
      <c r="G1237" t="str">
        <f>IFERROR(VLOOKUP(B1237, Data!H:H, 1, FALSE), "")</f>
        <v/>
      </c>
    </row>
    <row r="1238" spans="1:7" x14ac:dyDescent="0.25">
      <c r="A1238" t="s">
        <v>1354</v>
      </c>
      <c r="B1238" t="s">
        <v>3402</v>
      </c>
      <c r="C1238">
        <v>51.578417955555501</v>
      </c>
      <c r="D1238">
        <v>-0.15103559999999999</v>
      </c>
      <c r="E1238" t="s">
        <v>1206</v>
      </c>
      <c r="F1238">
        <v>9</v>
      </c>
      <c r="G1238" t="str">
        <f>IFERROR(VLOOKUP(B1238, Data!H:H, 1, FALSE), "")</f>
        <v/>
      </c>
    </row>
    <row r="1239" spans="1:7" x14ac:dyDescent="0.25">
      <c r="A1239" t="s">
        <v>2257</v>
      </c>
      <c r="B1239" t="s">
        <v>2808</v>
      </c>
      <c r="C1239">
        <v>51.517195933333298</v>
      </c>
      <c r="D1239">
        <v>-6.5560583333333297E-2</v>
      </c>
      <c r="F1239">
        <v>6</v>
      </c>
      <c r="G1239" t="str">
        <f>IFERROR(VLOOKUP(B1239, Data!H:H, 1, FALSE), "")</f>
        <v/>
      </c>
    </row>
    <row r="1240" spans="1:7" x14ac:dyDescent="0.25">
      <c r="A1240" t="s">
        <v>2258</v>
      </c>
      <c r="B1240" t="s">
        <v>3403</v>
      </c>
      <c r="C1240">
        <v>51.476514928571397</v>
      </c>
      <c r="D1240">
        <v>-0.20175747142857101</v>
      </c>
      <c r="F1240">
        <v>7</v>
      </c>
      <c r="G1240" t="str">
        <f>IFERROR(VLOOKUP(B1240, Data!H:H, 1, FALSE), "")</f>
        <v/>
      </c>
    </row>
    <row r="1241" spans="1:7" x14ac:dyDescent="0.25">
      <c r="A1241" t="s">
        <v>2259</v>
      </c>
      <c r="B1241" t="s">
        <v>2808</v>
      </c>
      <c r="C1241">
        <v>51.515254399999897</v>
      </c>
      <c r="D1241">
        <v>-5.9864188888888802E-2</v>
      </c>
      <c r="F1241">
        <v>9</v>
      </c>
      <c r="G1241" t="str">
        <f>IFERROR(VLOOKUP(B1241, Data!H:H, 1, FALSE), "")</f>
        <v/>
      </c>
    </row>
    <row r="1242" spans="1:7" x14ac:dyDescent="0.25">
      <c r="A1242" t="s">
        <v>2260</v>
      </c>
      <c r="B1242" t="s">
        <v>2808</v>
      </c>
      <c r="C1242">
        <v>51.634645560000003</v>
      </c>
      <c r="D1242">
        <v>-7.6473619999999895E-2</v>
      </c>
      <c r="F1242">
        <v>5</v>
      </c>
      <c r="G1242" t="str">
        <f>IFERROR(VLOOKUP(B1242, Data!H:H, 1, FALSE), "")</f>
        <v/>
      </c>
    </row>
    <row r="1243" spans="1:7" x14ac:dyDescent="0.25">
      <c r="A1243" t="s">
        <v>2239</v>
      </c>
      <c r="B1243" t="s">
        <v>3404</v>
      </c>
      <c r="C1243">
        <v>51.490448659999998</v>
      </c>
      <c r="D1243">
        <v>5.3662759999999997E-2</v>
      </c>
      <c r="F1243">
        <v>5</v>
      </c>
      <c r="G1243" t="str">
        <f>IFERROR(VLOOKUP(B1243, Data!H:H, 1, FALSE), "")</f>
        <v/>
      </c>
    </row>
    <row r="1244" spans="1:7" x14ac:dyDescent="0.25">
      <c r="A1244" t="s">
        <v>2261</v>
      </c>
      <c r="B1244" t="s">
        <v>3405</v>
      </c>
      <c r="C1244">
        <v>51.593983245454503</v>
      </c>
      <c r="D1244">
        <v>-3.5413800000000002E-2</v>
      </c>
      <c r="E1244" t="s">
        <v>1206</v>
      </c>
      <c r="F1244">
        <v>11</v>
      </c>
      <c r="G1244" t="str">
        <f>IFERROR(VLOOKUP(B1244, Data!H:H, 1, FALSE), "")</f>
        <v/>
      </c>
    </row>
    <row r="1245" spans="1:7" x14ac:dyDescent="0.25">
      <c r="A1245" t="s">
        <v>1255</v>
      </c>
      <c r="B1245" t="s">
        <v>3406</v>
      </c>
      <c r="C1245">
        <v>51.422337463157803</v>
      </c>
      <c r="D1245">
        <v>-0.20746669473684201</v>
      </c>
      <c r="E1245" t="s">
        <v>1206</v>
      </c>
      <c r="F1245">
        <v>19</v>
      </c>
      <c r="G1245" t="str">
        <f>IFERROR(VLOOKUP(B1245, Data!H:H, 1, FALSE), "")</f>
        <v/>
      </c>
    </row>
    <row r="1246" spans="1:7" x14ac:dyDescent="0.25">
      <c r="A1246" t="s">
        <v>2237</v>
      </c>
      <c r="B1246" t="s">
        <v>3407</v>
      </c>
      <c r="C1246">
        <v>51.5999313599999</v>
      </c>
      <c r="D1246">
        <v>8.5252439999999999E-2</v>
      </c>
      <c r="E1246" t="s">
        <v>1206</v>
      </c>
      <c r="F1246">
        <v>5</v>
      </c>
      <c r="G1246" t="str">
        <f>IFERROR(VLOOKUP(B1246, Data!H:H, 1, FALSE), "")</f>
        <v/>
      </c>
    </row>
    <row r="1247" spans="1:7" x14ac:dyDescent="0.25">
      <c r="A1247" t="s">
        <v>443</v>
      </c>
      <c r="B1247" t="s">
        <v>2808</v>
      </c>
      <c r="C1247">
        <v>51.519101777777699</v>
      </c>
      <c r="D1247">
        <v>-7.3720218518518496E-2</v>
      </c>
      <c r="E1247" t="s">
        <v>1206</v>
      </c>
      <c r="F1247">
        <v>27</v>
      </c>
      <c r="G1247" t="str">
        <f>IFERROR(VLOOKUP(B1247, Data!H:H, 1, FALSE), "")</f>
        <v/>
      </c>
    </row>
    <row r="1248" spans="1:7" x14ac:dyDescent="0.25">
      <c r="A1248" t="s">
        <v>2262</v>
      </c>
      <c r="B1248" t="s">
        <v>2808</v>
      </c>
      <c r="C1248">
        <v>51.517597615789398</v>
      </c>
      <c r="D1248">
        <v>-2.9299605263157801E-2</v>
      </c>
      <c r="E1248" t="s">
        <v>1206</v>
      </c>
      <c r="F1248">
        <v>19</v>
      </c>
      <c r="G1248" t="str">
        <f>IFERROR(VLOOKUP(B1248, Data!H:H, 1, FALSE), "")</f>
        <v/>
      </c>
    </row>
    <row r="1249" spans="1:7" x14ac:dyDescent="0.25">
      <c r="A1249" t="s">
        <v>2239</v>
      </c>
      <c r="B1249" t="s">
        <v>3408</v>
      </c>
      <c r="C1249">
        <v>51.6029471777777</v>
      </c>
      <c r="D1249">
        <v>-0.32986844444444402</v>
      </c>
      <c r="F1249">
        <v>9</v>
      </c>
      <c r="G1249" t="str">
        <f>IFERROR(VLOOKUP(B1249, Data!H:H, 1, FALSE), "")</f>
        <v/>
      </c>
    </row>
    <row r="1250" spans="1:7" x14ac:dyDescent="0.25">
      <c r="A1250" t="s">
        <v>1283</v>
      </c>
      <c r="B1250" t="s">
        <v>3409</v>
      </c>
      <c r="C1250">
        <v>51.457391554545403</v>
      </c>
      <c r="D1250">
        <v>0.14130410909090901</v>
      </c>
      <c r="E1250" t="s">
        <v>1206</v>
      </c>
      <c r="F1250">
        <v>11</v>
      </c>
      <c r="G1250" t="str">
        <f>IFERROR(VLOOKUP(B1250, Data!H:H, 1, FALSE), "")</f>
        <v/>
      </c>
    </row>
    <row r="1251" spans="1:7" x14ac:dyDescent="0.25">
      <c r="A1251" t="s">
        <v>1246</v>
      </c>
      <c r="B1251" t="s">
        <v>3410</v>
      </c>
      <c r="C1251">
        <v>51.460138999999998</v>
      </c>
      <c r="D1251">
        <v>-0.303770393333333</v>
      </c>
      <c r="E1251" t="s">
        <v>1206</v>
      </c>
      <c r="F1251">
        <v>15</v>
      </c>
      <c r="G1251" t="str">
        <f>IFERROR(VLOOKUP(B1251, Data!H:H, 1, FALSE), "")</f>
        <v/>
      </c>
    </row>
    <row r="1252" spans="1:7" x14ac:dyDescent="0.25">
      <c r="A1252" t="s">
        <v>2263</v>
      </c>
      <c r="B1252" t="s">
        <v>2808</v>
      </c>
      <c r="C1252">
        <v>51.442233771428498</v>
      </c>
      <c r="D1252">
        <v>-3.1608885714285703E-2</v>
      </c>
      <c r="F1252">
        <v>7</v>
      </c>
      <c r="G1252" t="str">
        <f>IFERROR(VLOOKUP(B1252, Data!H:H, 1, FALSE), "")</f>
        <v/>
      </c>
    </row>
    <row r="1253" spans="1:7" x14ac:dyDescent="0.25">
      <c r="A1253" t="s">
        <v>2264</v>
      </c>
      <c r="B1253" t="s">
        <v>3411</v>
      </c>
      <c r="C1253">
        <v>51.509507099999901</v>
      </c>
      <c r="D1253">
        <v>-1.7441020000000002E-2</v>
      </c>
      <c r="F1253">
        <v>5</v>
      </c>
      <c r="G1253" t="str">
        <f>IFERROR(VLOOKUP(B1253, Data!H:H, 1, FALSE), "")</f>
        <v/>
      </c>
    </row>
    <row r="1254" spans="1:7" x14ac:dyDescent="0.25">
      <c r="A1254" t="s">
        <v>2265</v>
      </c>
      <c r="B1254" t="s">
        <v>3412</v>
      </c>
      <c r="C1254">
        <v>51.531854356249902</v>
      </c>
      <c r="D1254">
        <v>-0.210433025</v>
      </c>
      <c r="F1254">
        <v>16</v>
      </c>
      <c r="G1254" t="str">
        <f>IFERROR(VLOOKUP(B1254, Data!H:H, 1, FALSE), "")</f>
        <v/>
      </c>
    </row>
    <row r="1255" spans="1:7" x14ac:dyDescent="0.25">
      <c r="A1255" t="s">
        <v>2266</v>
      </c>
      <c r="B1255" t="s">
        <v>3413</v>
      </c>
      <c r="C1255">
        <v>51.5721546222222</v>
      </c>
      <c r="D1255">
        <v>-0.13926505555555499</v>
      </c>
      <c r="F1255">
        <v>9</v>
      </c>
      <c r="G1255" t="str">
        <f>IFERROR(VLOOKUP(B1255, Data!H:H, 1, FALSE), "")</f>
        <v/>
      </c>
    </row>
    <row r="1256" spans="1:7" x14ac:dyDescent="0.25">
      <c r="A1256" t="s">
        <v>2267</v>
      </c>
      <c r="B1256" t="s">
        <v>3414</v>
      </c>
      <c r="C1256">
        <v>51.440839060000002</v>
      </c>
      <c r="D1256">
        <v>-0.1556565</v>
      </c>
      <c r="F1256">
        <v>5</v>
      </c>
      <c r="G1256" t="str">
        <f>IFERROR(VLOOKUP(B1256, Data!H:H, 1, FALSE), "")</f>
        <v/>
      </c>
    </row>
    <row r="1257" spans="1:7" x14ac:dyDescent="0.25">
      <c r="A1257" t="s">
        <v>2268</v>
      </c>
      <c r="B1257" t="s">
        <v>3415</v>
      </c>
      <c r="C1257">
        <v>51.460862405882303</v>
      </c>
      <c r="D1257">
        <v>-0.30029737647058802</v>
      </c>
      <c r="F1257">
        <v>17</v>
      </c>
      <c r="G1257" t="str">
        <f>IFERROR(VLOOKUP(B1257, Data!H:H, 1, FALSE), "")</f>
        <v/>
      </c>
    </row>
    <row r="1258" spans="1:7" x14ac:dyDescent="0.25">
      <c r="A1258" t="s">
        <v>2269</v>
      </c>
      <c r="B1258" t="s">
        <v>3416</v>
      </c>
      <c r="C1258">
        <v>51.510934199999902</v>
      </c>
      <c r="D1258">
        <v>-9.7990799999999999E-3</v>
      </c>
      <c r="F1258">
        <v>5</v>
      </c>
      <c r="G1258" t="str">
        <f>IFERROR(VLOOKUP(B1258, Data!H:H, 1, FALSE), "")</f>
        <v/>
      </c>
    </row>
    <row r="1259" spans="1:7" x14ac:dyDescent="0.25">
      <c r="A1259" t="s">
        <v>1354</v>
      </c>
      <c r="B1259" t="s">
        <v>2808</v>
      </c>
      <c r="C1259">
        <v>51.5714591666666</v>
      </c>
      <c r="D1259">
        <v>-1.52173466666666E-2</v>
      </c>
      <c r="E1259" t="s">
        <v>1206</v>
      </c>
      <c r="F1259">
        <v>15</v>
      </c>
      <c r="G1259" t="str">
        <f>IFERROR(VLOOKUP(B1259, Data!H:H, 1, FALSE), "")</f>
        <v/>
      </c>
    </row>
    <row r="1260" spans="1:7" x14ac:dyDescent="0.25">
      <c r="A1260" t="s">
        <v>2270</v>
      </c>
      <c r="B1260" t="s">
        <v>3417</v>
      </c>
      <c r="C1260">
        <v>51.480549150000002</v>
      </c>
      <c r="D1260">
        <v>-0.23747426666666599</v>
      </c>
      <c r="F1260">
        <v>6</v>
      </c>
      <c r="G1260" t="str">
        <f>IFERROR(VLOOKUP(B1260, Data!H:H, 1, FALSE), "")</f>
        <v/>
      </c>
    </row>
    <row r="1261" spans="1:7" x14ac:dyDescent="0.25">
      <c r="A1261" t="s">
        <v>1271</v>
      </c>
      <c r="B1261" t="s">
        <v>3418</v>
      </c>
      <c r="C1261">
        <v>51.559825544444401</v>
      </c>
      <c r="D1261">
        <v>-0.140857688888888</v>
      </c>
      <c r="F1261">
        <v>9</v>
      </c>
      <c r="G1261" t="str">
        <f>IFERROR(VLOOKUP(B1261, Data!H:H, 1, FALSE), "")</f>
        <v/>
      </c>
    </row>
    <row r="1262" spans="1:7" x14ac:dyDescent="0.25">
      <c r="A1262" t="s">
        <v>1702</v>
      </c>
      <c r="B1262" t="s">
        <v>2808</v>
      </c>
      <c r="C1262">
        <v>51.352752933333299</v>
      </c>
      <c r="D1262">
        <v>-9.9592866666666599E-2</v>
      </c>
      <c r="E1262" t="s">
        <v>1206</v>
      </c>
      <c r="F1262">
        <v>9</v>
      </c>
      <c r="G1262" t="str">
        <f>IFERROR(VLOOKUP(B1262, Data!H:H, 1, FALSE), "")</f>
        <v/>
      </c>
    </row>
    <row r="1263" spans="1:7" x14ac:dyDescent="0.25">
      <c r="A1263" t="s">
        <v>2104</v>
      </c>
      <c r="B1263" t="s">
        <v>3419</v>
      </c>
      <c r="C1263">
        <v>51.487039894117601</v>
      </c>
      <c r="D1263">
        <v>0.10049619999999899</v>
      </c>
      <c r="E1263" t="s">
        <v>1206</v>
      </c>
      <c r="F1263">
        <v>17</v>
      </c>
      <c r="G1263" t="str">
        <f>IFERROR(VLOOKUP(B1263, Data!H:H, 1, FALSE), "")</f>
        <v/>
      </c>
    </row>
    <row r="1264" spans="1:7" x14ac:dyDescent="0.25">
      <c r="A1264" t="s">
        <v>2271</v>
      </c>
      <c r="B1264" t="s">
        <v>3420</v>
      </c>
      <c r="C1264">
        <v>51.486719133333303</v>
      </c>
      <c r="D1264">
        <v>-0.214547239999999</v>
      </c>
      <c r="E1264" t="s">
        <v>1206</v>
      </c>
      <c r="F1264">
        <v>15</v>
      </c>
      <c r="G1264" t="str">
        <f>IFERROR(VLOOKUP(B1264, Data!H:H, 1, FALSE), "")</f>
        <v/>
      </c>
    </row>
    <row r="1265" spans="1:7" x14ac:dyDescent="0.25">
      <c r="A1265" t="s">
        <v>2096</v>
      </c>
      <c r="B1265" t="s">
        <v>3421</v>
      </c>
      <c r="C1265">
        <v>51.579672174999899</v>
      </c>
      <c r="D1265">
        <v>-4.9163499999999999E-3</v>
      </c>
      <c r="F1265">
        <v>8</v>
      </c>
      <c r="G1265" t="str">
        <f>IFERROR(VLOOKUP(B1265, Data!H:H, 1, FALSE), "")</f>
        <v/>
      </c>
    </row>
    <row r="1266" spans="1:7" x14ac:dyDescent="0.25">
      <c r="A1266" t="s">
        <v>2272</v>
      </c>
      <c r="B1266" t="s">
        <v>3422</v>
      </c>
      <c r="C1266">
        <v>51.485128936363601</v>
      </c>
      <c r="D1266">
        <v>-0.37206517272727202</v>
      </c>
      <c r="E1266" t="s">
        <v>1206</v>
      </c>
      <c r="F1266">
        <v>11</v>
      </c>
      <c r="G1266" t="str">
        <f>IFERROR(VLOOKUP(B1266, Data!H:H, 1, FALSE), "")</f>
        <v/>
      </c>
    </row>
    <row r="1267" spans="1:7" x14ac:dyDescent="0.25">
      <c r="A1267" t="s">
        <v>2273</v>
      </c>
      <c r="B1267" t="s">
        <v>3423</v>
      </c>
      <c r="C1267">
        <v>51.462064353846102</v>
      </c>
      <c r="D1267">
        <v>-0.36567126923076898</v>
      </c>
      <c r="E1267" t="s">
        <v>1206</v>
      </c>
      <c r="F1267">
        <v>13</v>
      </c>
      <c r="G1267" t="str">
        <f>IFERROR(VLOOKUP(B1267, Data!H:H, 1, FALSE), "")</f>
        <v/>
      </c>
    </row>
    <row r="1268" spans="1:7" x14ac:dyDescent="0.25">
      <c r="A1268" t="s">
        <v>1354</v>
      </c>
      <c r="B1268" t="s">
        <v>3424</v>
      </c>
      <c r="C1268">
        <v>51.516526611764696</v>
      </c>
      <c r="D1268">
        <v>-0.20285509411764699</v>
      </c>
      <c r="E1268" t="s">
        <v>1206</v>
      </c>
      <c r="F1268">
        <v>17</v>
      </c>
      <c r="G1268" t="str">
        <f>IFERROR(VLOOKUP(B1268, Data!H:H, 1, FALSE), "")</f>
        <v/>
      </c>
    </row>
    <row r="1269" spans="1:7" x14ac:dyDescent="0.25">
      <c r="A1269" t="s">
        <v>2274</v>
      </c>
      <c r="B1269" t="s">
        <v>3425</v>
      </c>
      <c r="C1269">
        <v>51.406828163636298</v>
      </c>
      <c r="D1269">
        <v>-0.257515181818181</v>
      </c>
      <c r="E1269" t="s">
        <v>1206</v>
      </c>
      <c r="F1269">
        <v>11</v>
      </c>
      <c r="G1269" t="str">
        <f>IFERROR(VLOOKUP(B1269, Data!H:H, 1, FALSE), "")</f>
        <v/>
      </c>
    </row>
    <row r="1270" spans="1:7" x14ac:dyDescent="0.25">
      <c r="A1270" t="s">
        <v>2275</v>
      </c>
      <c r="B1270" t="s">
        <v>2808</v>
      </c>
      <c r="C1270">
        <v>51.445482925</v>
      </c>
      <c r="D1270">
        <v>1.14833062499999E-2</v>
      </c>
      <c r="E1270" t="s">
        <v>1206</v>
      </c>
      <c r="F1270">
        <v>16</v>
      </c>
      <c r="G1270" t="str">
        <f>IFERROR(VLOOKUP(B1270, Data!H:H, 1, FALSE), "")</f>
        <v/>
      </c>
    </row>
    <row r="1271" spans="1:7" x14ac:dyDescent="0.25">
      <c r="A1271" t="s">
        <v>1423</v>
      </c>
      <c r="B1271" t="s">
        <v>3426</v>
      </c>
      <c r="C1271">
        <v>51.410133092307603</v>
      </c>
      <c r="D1271">
        <v>-0.20240577692307599</v>
      </c>
      <c r="E1271" t="s">
        <v>1206</v>
      </c>
      <c r="F1271">
        <v>13</v>
      </c>
      <c r="G1271" t="str">
        <f>IFERROR(VLOOKUP(B1271, Data!H:H, 1, FALSE), "")</f>
        <v/>
      </c>
    </row>
    <row r="1272" spans="1:7" x14ac:dyDescent="0.25">
      <c r="A1272" t="s">
        <v>1609</v>
      </c>
      <c r="B1272" t="s">
        <v>3427</v>
      </c>
      <c r="C1272">
        <v>51.475023399999998</v>
      </c>
      <c r="D1272">
        <v>-0.24182357272727201</v>
      </c>
      <c r="E1272" t="s">
        <v>1206</v>
      </c>
      <c r="F1272">
        <v>22</v>
      </c>
      <c r="G1272" t="str">
        <f>IFERROR(VLOOKUP(B1272, Data!H:H, 1, FALSE), "")</f>
        <v/>
      </c>
    </row>
    <row r="1273" spans="1:7" x14ac:dyDescent="0.25">
      <c r="A1273" t="s">
        <v>1668</v>
      </c>
      <c r="B1273" t="s">
        <v>3428</v>
      </c>
      <c r="C1273">
        <v>51.469557010526302</v>
      </c>
      <c r="D1273">
        <v>-0.26158680000000001</v>
      </c>
      <c r="E1273" t="s">
        <v>1206</v>
      </c>
      <c r="F1273">
        <v>19</v>
      </c>
      <c r="G1273" t="str">
        <f>IFERROR(VLOOKUP(B1273, Data!H:H, 1, FALSE), "")</f>
        <v/>
      </c>
    </row>
    <row r="1274" spans="1:7" x14ac:dyDescent="0.25">
      <c r="A1274" t="s">
        <v>2276</v>
      </c>
      <c r="B1274" t="s">
        <v>3429</v>
      </c>
      <c r="C1274">
        <v>51.5532739285714</v>
      </c>
      <c r="D1274">
        <v>-0.18851517142857099</v>
      </c>
      <c r="F1274">
        <v>7</v>
      </c>
      <c r="G1274" t="str">
        <f>IFERROR(VLOOKUP(B1274, Data!H:H, 1, FALSE), "")</f>
        <v/>
      </c>
    </row>
    <row r="1275" spans="1:7" x14ac:dyDescent="0.25">
      <c r="A1275" t="s">
        <v>2277</v>
      </c>
      <c r="B1275" t="s">
        <v>3430</v>
      </c>
      <c r="C1275">
        <v>51.434080180000002</v>
      </c>
      <c r="D1275">
        <v>-0.31353325999999998</v>
      </c>
      <c r="F1275">
        <v>5</v>
      </c>
      <c r="G1275" t="str">
        <f>IFERROR(VLOOKUP(B1275, Data!H:H, 1, FALSE), "")</f>
        <v/>
      </c>
    </row>
    <row r="1276" spans="1:7" x14ac:dyDescent="0.25">
      <c r="A1276" t="s">
        <v>2278</v>
      </c>
      <c r="B1276" t="s">
        <v>2808</v>
      </c>
      <c r="C1276">
        <v>51.511726355555503</v>
      </c>
      <c r="D1276">
        <v>-8.8336377777777697E-2</v>
      </c>
      <c r="F1276">
        <v>9</v>
      </c>
      <c r="G1276" t="str">
        <f>IFERROR(VLOOKUP(B1276, Data!H:H, 1, FALSE), "")</f>
        <v/>
      </c>
    </row>
    <row r="1277" spans="1:7" x14ac:dyDescent="0.25">
      <c r="A1277" t="s">
        <v>2062</v>
      </c>
      <c r="B1277" t="s">
        <v>3431</v>
      </c>
      <c r="C1277">
        <v>51.591585227272702</v>
      </c>
      <c r="D1277">
        <v>-0.14874758181818101</v>
      </c>
      <c r="F1277">
        <v>11</v>
      </c>
      <c r="G1277" t="str">
        <f>IFERROR(VLOOKUP(B1277, Data!H:H, 1, FALSE), "")</f>
        <v/>
      </c>
    </row>
    <row r="1278" spans="1:7" x14ac:dyDescent="0.25">
      <c r="A1278" t="s">
        <v>2279</v>
      </c>
      <c r="B1278" t="s">
        <v>3432</v>
      </c>
      <c r="C1278">
        <v>51.379448699999998</v>
      </c>
      <c r="D1278">
        <v>-0.17605514615384599</v>
      </c>
      <c r="F1278">
        <v>13</v>
      </c>
      <c r="G1278" t="str">
        <f>IFERROR(VLOOKUP(B1278, Data!H:H, 1, FALSE), "")</f>
        <v/>
      </c>
    </row>
    <row r="1279" spans="1:7" x14ac:dyDescent="0.25">
      <c r="A1279" t="s">
        <v>2280</v>
      </c>
      <c r="B1279" t="s">
        <v>3433</v>
      </c>
      <c r="C1279">
        <v>51.483335324999899</v>
      </c>
      <c r="D1279">
        <v>-4.7960499999999996E-3</v>
      </c>
      <c r="F1279">
        <v>12</v>
      </c>
      <c r="G1279" t="str">
        <f>IFERROR(VLOOKUP(B1279, Data!H:H, 1, FALSE), "")</f>
        <v/>
      </c>
    </row>
    <row r="1280" spans="1:7" x14ac:dyDescent="0.25">
      <c r="A1280" t="s">
        <v>2281</v>
      </c>
      <c r="B1280" t="s">
        <v>3434</v>
      </c>
      <c r="C1280">
        <v>51.428567033333302</v>
      </c>
      <c r="D1280">
        <v>-0.325207783333333</v>
      </c>
      <c r="F1280">
        <v>6</v>
      </c>
      <c r="G1280" t="str">
        <f>IFERROR(VLOOKUP(B1280, Data!H:H, 1, FALSE), "")</f>
        <v/>
      </c>
    </row>
    <row r="1281" spans="1:7" x14ac:dyDescent="0.25">
      <c r="A1281" t="s">
        <v>2282</v>
      </c>
      <c r="B1281" t="s">
        <v>3435</v>
      </c>
      <c r="C1281">
        <v>51.412970977777697</v>
      </c>
      <c r="D1281">
        <v>-0.36121508888888798</v>
      </c>
      <c r="E1281" t="s">
        <v>1206</v>
      </c>
      <c r="F1281">
        <v>9</v>
      </c>
      <c r="G1281" t="str">
        <f>IFERROR(VLOOKUP(B1281, Data!H:H, 1, FALSE), "")</f>
        <v/>
      </c>
    </row>
    <row r="1282" spans="1:7" x14ac:dyDescent="0.25">
      <c r="A1282" t="s">
        <v>2283</v>
      </c>
      <c r="B1282" t="s">
        <v>3436</v>
      </c>
      <c r="C1282">
        <v>51.555351759999901</v>
      </c>
      <c r="D1282">
        <v>-7.5149579999999994E-2</v>
      </c>
      <c r="F1282">
        <v>5</v>
      </c>
      <c r="G1282" t="str">
        <f>IFERROR(VLOOKUP(B1282, Data!H:H, 1, FALSE), "")</f>
        <v/>
      </c>
    </row>
    <row r="1283" spans="1:7" x14ac:dyDescent="0.25">
      <c r="A1283" t="s">
        <v>1829</v>
      </c>
      <c r="B1283" t="s">
        <v>3437</v>
      </c>
      <c r="C1283">
        <v>51.416566133333298</v>
      </c>
      <c r="D1283">
        <v>-0.15789083333333301</v>
      </c>
      <c r="E1283" t="s">
        <v>1206</v>
      </c>
      <c r="F1283">
        <v>9</v>
      </c>
      <c r="G1283" t="str">
        <f>IFERROR(VLOOKUP(B1283, Data!H:H, 1, FALSE), "")</f>
        <v/>
      </c>
    </row>
    <row r="1284" spans="1:7" x14ac:dyDescent="0.25">
      <c r="A1284" t="s">
        <v>1255</v>
      </c>
      <c r="B1284" t="s">
        <v>3438</v>
      </c>
      <c r="C1284">
        <v>51.406406176922999</v>
      </c>
      <c r="D1284">
        <v>-0.15936731538461499</v>
      </c>
      <c r="E1284" t="s">
        <v>1206</v>
      </c>
      <c r="F1284">
        <v>13</v>
      </c>
      <c r="G1284" t="str">
        <f>IFERROR(VLOOKUP(B1284, Data!H:H, 1, FALSE), "")</f>
        <v/>
      </c>
    </row>
    <row r="1285" spans="1:7" x14ac:dyDescent="0.25">
      <c r="A1285" t="s">
        <v>1354</v>
      </c>
      <c r="B1285" t="s">
        <v>3439</v>
      </c>
      <c r="C1285">
        <v>51.418869085714199</v>
      </c>
      <c r="D1285">
        <v>-0.18595545714285699</v>
      </c>
      <c r="E1285" t="s">
        <v>1206</v>
      </c>
      <c r="F1285">
        <v>7</v>
      </c>
      <c r="G1285" t="str">
        <f>IFERROR(VLOOKUP(B1285, Data!H:H, 1, FALSE), "")</f>
        <v/>
      </c>
    </row>
    <row r="1286" spans="1:7" x14ac:dyDescent="0.25">
      <c r="A1286" t="s">
        <v>2127</v>
      </c>
      <c r="B1286" t="s">
        <v>3440</v>
      </c>
      <c r="C1286">
        <v>51.470643639999999</v>
      </c>
      <c r="D1286">
        <v>-8.61432E-3</v>
      </c>
      <c r="F1286">
        <v>5</v>
      </c>
      <c r="G1286" t="str">
        <f>IFERROR(VLOOKUP(B1286, Data!H:H, 1, FALSE), "")</f>
        <v/>
      </c>
    </row>
    <row r="1287" spans="1:7" x14ac:dyDescent="0.25">
      <c r="A1287" t="s">
        <v>1639</v>
      </c>
      <c r="B1287" t="s">
        <v>2808</v>
      </c>
      <c r="C1287">
        <v>51.464750622222198</v>
      </c>
      <c r="D1287">
        <v>1.36949666666666E-2</v>
      </c>
      <c r="E1287" t="s">
        <v>1206</v>
      </c>
      <c r="F1287">
        <v>9</v>
      </c>
      <c r="G1287" t="str">
        <f>IFERROR(VLOOKUP(B1287, Data!H:H, 1, FALSE), "")</f>
        <v/>
      </c>
    </row>
    <row r="1288" spans="1:7" x14ac:dyDescent="0.25">
      <c r="A1288" t="s">
        <v>2284</v>
      </c>
      <c r="B1288" t="s">
        <v>2808</v>
      </c>
      <c r="C1288">
        <v>51.465046166666603</v>
      </c>
      <c r="D1288">
        <v>1.0945811111111099E-2</v>
      </c>
      <c r="F1288">
        <v>9</v>
      </c>
      <c r="G1288" t="str">
        <f>IFERROR(VLOOKUP(B1288, Data!H:H, 1, FALSE), "")</f>
        <v/>
      </c>
    </row>
    <row r="1289" spans="1:7" x14ac:dyDescent="0.25">
      <c r="A1289" t="s">
        <v>2285</v>
      </c>
      <c r="B1289" t="s">
        <v>2808</v>
      </c>
      <c r="C1289">
        <v>51.469940411111097</v>
      </c>
      <c r="D1289">
        <v>2.3884222222222199E-2</v>
      </c>
      <c r="E1289" t="s">
        <v>1206</v>
      </c>
      <c r="F1289">
        <v>9</v>
      </c>
      <c r="G1289" t="str">
        <f>IFERROR(VLOOKUP(B1289, Data!H:H, 1, FALSE), "")</f>
        <v/>
      </c>
    </row>
    <row r="1290" spans="1:7" x14ac:dyDescent="0.25">
      <c r="A1290" t="s">
        <v>2286</v>
      </c>
      <c r="B1290" t="s">
        <v>3441</v>
      </c>
      <c r="C1290">
        <v>51.5734569555555</v>
      </c>
      <c r="D1290">
        <v>-0.14060412222222199</v>
      </c>
      <c r="F1290">
        <v>9</v>
      </c>
      <c r="G1290" t="str">
        <f>IFERROR(VLOOKUP(B1290, Data!H:H, 1, FALSE), "")</f>
        <v/>
      </c>
    </row>
    <row r="1291" spans="1:7" x14ac:dyDescent="0.25">
      <c r="A1291" t="s">
        <v>2287</v>
      </c>
      <c r="B1291" t="s">
        <v>2808</v>
      </c>
      <c r="C1291">
        <v>51.607625388888799</v>
      </c>
      <c r="D1291">
        <v>-1.1887977777777701E-2</v>
      </c>
      <c r="F1291">
        <v>9</v>
      </c>
      <c r="G1291" t="str">
        <f>IFERROR(VLOOKUP(B1291, Data!H:H, 1, FALSE), "")</f>
        <v/>
      </c>
    </row>
    <row r="1292" spans="1:7" x14ac:dyDescent="0.25">
      <c r="A1292" t="s">
        <v>1607</v>
      </c>
      <c r="B1292" t="s">
        <v>2808</v>
      </c>
      <c r="C1292">
        <v>51.546315466666599</v>
      </c>
      <c r="D1292">
        <v>-4.95140777777777E-2</v>
      </c>
      <c r="E1292" t="s">
        <v>1206</v>
      </c>
      <c r="F1292">
        <v>9</v>
      </c>
      <c r="G1292" t="str">
        <f>IFERROR(VLOOKUP(B1292, Data!H:H, 1, FALSE), "")</f>
        <v/>
      </c>
    </row>
    <row r="1293" spans="1:7" x14ac:dyDescent="0.25">
      <c r="A1293" t="s">
        <v>2288</v>
      </c>
      <c r="B1293" t="s">
        <v>2808</v>
      </c>
      <c r="C1293">
        <v>51.557901744444401</v>
      </c>
      <c r="D1293">
        <v>1.28813333333333E-2</v>
      </c>
      <c r="E1293" t="s">
        <v>1206</v>
      </c>
      <c r="F1293">
        <v>9</v>
      </c>
      <c r="G1293" t="str">
        <f>IFERROR(VLOOKUP(B1293, Data!H:H, 1, FALSE), "")</f>
        <v/>
      </c>
    </row>
    <row r="1294" spans="1:7" x14ac:dyDescent="0.25">
      <c r="A1294" t="s">
        <v>2289</v>
      </c>
      <c r="B1294" t="s">
        <v>2808</v>
      </c>
      <c r="C1294">
        <v>51.456788841176397</v>
      </c>
      <c r="D1294">
        <v>9.2587976470588196E-2</v>
      </c>
      <c r="E1294" t="s">
        <v>1206</v>
      </c>
      <c r="F1294">
        <v>17</v>
      </c>
      <c r="G1294" t="str">
        <f>IFERROR(VLOOKUP(B1294, Data!H:H, 1, FALSE), "")</f>
        <v/>
      </c>
    </row>
    <row r="1295" spans="1:7" x14ac:dyDescent="0.25">
      <c r="A1295" t="s">
        <v>2290</v>
      </c>
      <c r="B1295" t="s">
        <v>2808</v>
      </c>
      <c r="C1295">
        <v>51.501104727272697</v>
      </c>
      <c r="D1295">
        <v>-8.8724627272727202E-2</v>
      </c>
      <c r="E1295" t="s">
        <v>1206</v>
      </c>
      <c r="F1295">
        <v>11</v>
      </c>
      <c r="G1295" t="str">
        <f>IFERROR(VLOOKUP(B1295, Data!H:H, 1, FALSE), "")</f>
        <v/>
      </c>
    </row>
    <row r="1296" spans="1:7" x14ac:dyDescent="0.25">
      <c r="A1296" t="s">
        <v>1413</v>
      </c>
      <c r="B1296" t="s">
        <v>3442</v>
      </c>
      <c r="C1296">
        <v>51.485668480000001</v>
      </c>
      <c r="D1296">
        <v>-5.3764720000000002E-2</v>
      </c>
      <c r="F1296">
        <v>5</v>
      </c>
      <c r="G1296" t="str">
        <f>IFERROR(VLOOKUP(B1296, Data!H:H, 1, FALSE), "")</f>
        <v/>
      </c>
    </row>
    <row r="1297" spans="1:7" x14ac:dyDescent="0.25">
      <c r="A1297" t="s">
        <v>2291</v>
      </c>
      <c r="B1297" t="s">
        <v>2808</v>
      </c>
      <c r="C1297">
        <v>51.517844130769198</v>
      </c>
      <c r="D1297">
        <v>-1.02417384615384E-2</v>
      </c>
      <c r="F1297">
        <v>13</v>
      </c>
      <c r="G1297" t="str">
        <f>IFERROR(VLOOKUP(B1297, Data!H:H, 1, FALSE), "")</f>
        <v/>
      </c>
    </row>
    <row r="1298" spans="1:7" x14ac:dyDescent="0.25">
      <c r="A1298" t="s">
        <v>2292</v>
      </c>
      <c r="B1298" t="s">
        <v>3443</v>
      </c>
      <c r="C1298">
        <v>51.459330039999998</v>
      </c>
      <c r="D1298">
        <v>-0.30244179999999998</v>
      </c>
      <c r="F1298">
        <v>5</v>
      </c>
      <c r="G1298" t="str">
        <f>IFERROR(VLOOKUP(B1298, Data!H:H, 1, FALSE), "")</f>
        <v/>
      </c>
    </row>
    <row r="1299" spans="1:7" x14ac:dyDescent="0.25">
      <c r="A1299" t="s">
        <v>2293</v>
      </c>
      <c r="B1299" t="s">
        <v>3444</v>
      </c>
      <c r="C1299">
        <v>51.573663528571402</v>
      </c>
      <c r="D1299">
        <v>0.218381171428571</v>
      </c>
      <c r="F1299">
        <v>7</v>
      </c>
      <c r="G1299" t="str">
        <f>IFERROR(VLOOKUP(B1299, Data!H:H, 1, FALSE), "")</f>
        <v/>
      </c>
    </row>
    <row r="1300" spans="1:7" x14ac:dyDescent="0.25">
      <c r="A1300" t="s">
        <v>2294</v>
      </c>
      <c r="B1300" t="s">
        <v>3445</v>
      </c>
      <c r="C1300">
        <v>51.599714574999901</v>
      </c>
      <c r="D1300">
        <v>-0.197603483333333</v>
      </c>
      <c r="E1300" t="s">
        <v>1206</v>
      </c>
      <c r="F1300">
        <v>12</v>
      </c>
      <c r="G1300" t="str">
        <f>IFERROR(VLOOKUP(B1300, Data!H:H, 1, FALSE), "")</f>
        <v/>
      </c>
    </row>
    <row r="1301" spans="1:7" x14ac:dyDescent="0.25">
      <c r="A1301" t="s">
        <v>2295</v>
      </c>
      <c r="B1301" t="s">
        <v>3446</v>
      </c>
      <c r="C1301">
        <v>51.600627983333297</v>
      </c>
      <c r="D1301">
        <v>-0.19617193333333299</v>
      </c>
      <c r="F1301">
        <v>6</v>
      </c>
      <c r="G1301" t="str">
        <f>IFERROR(VLOOKUP(B1301, Data!H:H, 1, FALSE), "")</f>
        <v/>
      </c>
    </row>
    <row r="1302" spans="1:7" x14ac:dyDescent="0.25">
      <c r="A1302" t="s">
        <v>2296</v>
      </c>
      <c r="B1302" t="s">
        <v>2808</v>
      </c>
      <c r="C1302">
        <v>51.569327381818098</v>
      </c>
      <c r="D1302">
        <v>1.2582463636363599E-2</v>
      </c>
      <c r="F1302">
        <v>11</v>
      </c>
      <c r="G1302" t="str">
        <f>IFERROR(VLOOKUP(B1302, Data!H:H, 1, FALSE), "")</f>
        <v/>
      </c>
    </row>
    <row r="1303" spans="1:7" x14ac:dyDescent="0.25">
      <c r="A1303" t="s">
        <v>2297</v>
      </c>
      <c r="B1303" t="s">
        <v>3447</v>
      </c>
      <c r="C1303">
        <v>51.623030669230701</v>
      </c>
      <c r="D1303">
        <v>-0.18716283076922999</v>
      </c>
      <c r="F1303">
        <v>13</v>
      </c>
      <c r="G1303" t="str">
        <f>IFERROR(VLOOKUP(B1303, Data!H:H, 1, FALSE), "")</f>
        <v/>
      </c>
    </row>
    <row r="1304" spans="1:7" x14ac:dyDescent="0.25">
      <c r="A1304" t="s">
        <v>2298</v>
      </c>
      <c r="B1304" t="s">
        <v>2808</v>
      </c>
      <c r="C1304">
        <v>51.517075971428497</v>
      </c>
      <c r="D1304">
        <v>-2.6507471428571398E-2</v>
      </c>
      <c r="F1304">
        <v>7</v>
      </c>
      <c r="G1304" t="str">
        <f>IFERROR(VLOOKUP(B1304, Data!H:H, 1, FALSE), "")</f>
        <v/>
      </c>
    </row>
    <row r="1305" spans="1:7" x14ac:dyDescent="0.25">
      <c r="A1305" t="s">
        <v>2299</v>
      </c>
      <c r="B1305" t="s">
        <v>3448</v>
      </c>
      <c r="C1305">
        <v>51.5740723428571</v>
      </c>
      <c r="D1305">
        <v>-0.1503573</v>
      </c>
      <c r="F1305">
        <v>7</v>
      </c>
      <c r="G1305" t="str">
        <f>IFERROR(VLOOKUP(B1305, Data!H:H, 1, FALSE), "")</f>
        <v/>
      </c>
    </row>
    <row r="1306" spans="1:7" x14ac:dyDescent="0.25">
      <c r="A1306" t="s">
        <v>2300</v>
      </c>
      <c r="B1306" t="s">
        <v>3449</v>
      </c>
      <c r="C1306">
        <v>51.487392899999897</v>
      </c>
      <c r="D1306">
        <v>0.170066039999999</v>
      </c>
      <c r="F1306">
        <v>5</v>
      </c>
      <c r="G1306" t="str">
        <f>IFERROR(VLOOKUP(B1306, Data!H:H, 1, FALSE), "")</f>
        <v/>
      </c>
    </row>
    <row r="1307" spans="1:7" x14ac:dyDescent="0.25">
      <c r="A1307" t="s">
        <v>2301</v>
      </c>
      <c r="B1307" t="s">
        <v>3450</v>
      </c>
      <c r="C1307">
        <v>51.403565350000001</v>
      </c>
      <c r="D1307">
        <v>-0.33688762500000002</v>
      </c>
      <c r="E1307" t="s">
        <v>1206</v>
      </c>
      <c r="F1307">
        <v>8</v>
      </c>
      <c r="G1307" t="str">
        <f>IFERROR(VLOOKUP(B1307, Data!H:H, 1, FALSE), "")</f>
        <v/>
      </c>
    </row>
    <row r="1308" spans="1:7" x14ac:dyDescent="0.25">
      <c r="A1308" t="s">
        <v>2302</v>
      </c>
      <c r="B1308" t="s">
        <v>2808</v>
      </c>
      <c r="C1308">
        <v>51.465098176923</v>
      </c>
      <c r="D1308">
        <v>-1.87776846153846E-2</v>
      </c>
      <c r="F1308">
        <v>13</v>
      </c>
      <c r="G1308" t="str">
        <f>IFERROR(VLOOKUP(B1308, Data!H:H, 1, FALSE), "")</f>
        <v/>
      </c>
    </row>
    <row r="1309" spans="1:7" x14ac:dyDescent="0.25">
      <c r="A1309" t="s">
        <v>2303</v>
      </c>
      <c r="B1309" t="s">
        <v>2808</v>
      </c>
      <c r="C1309">
        <v>51.455683404761899</v>
      </c>
      <c r="D1309">
        <v>-1.6002004761904699E-2</v>
      </c>
      <c r="E1309" t="s">
        <v>1206</v>
      </c>
      <c r="F1309">
        <v>21</v>
      </c>
      <c r="G1309" t="str">
        <f>IFERROR(VLOOKUP(B1309, Data!H:H, 1, FALSE), "")</f>
        <v/>
      </c>
    </row>
    <row r="1310" spans="1:7" x14ac:dyDescent="0.25">
      <c r="A1310" t="s">
        <v>2304</v>
      </c>
      <c r="B1310" t="s">
        <v>3451</v>
      </c>
      <c r="C1310">
        <v>51.396171056249997</v>
      </c>
      <c r="D1310">
        <v>-0.19192111249999999</v>
      </c>
      <c r="E1310" t="s">
        <v>1206</v>
      </c>
      <c r="F1310">
        <v>16</v>
      </c>
      <c r="G1310" t="str">
        <f>IFERROR(VLOOKUP(B1310, Data!H:H, 1, FALSE), "")</f>
        <v/>
      </c>
    </row>
    <row r="1311" spans="1:7" x14ac:dyDescent="0.25">
      <c r="A1311" t="s">
        <v>2305</v>
      </c>
      <c r="B1311" t="s">
        <v>3452</v>
      </c>
      <c r="C1311">
        <v>51.3884921315789</v>
      </c>
      <c r="D1311">
        <v>-0.195876957894736</v>
      </c>
      <c r="F1311">
        <v>19</v>
      </c>
      <c r="G1311" t="str">
        <f>IFERROR(VLOOKUP(B1311, Data!H:H, 1, FALSE), "")</f>
        <v/>
      </c>
    </row>
    <row r="1312" spans="1:7" x14ac:dyDescent="0.25">
      <c r="A1312" t="s">
        <v>2306</v>
      </c>
      <c r="B1312" t="s">
        <v>2808</v>
      </c>
      <c r="C1312">
        <v>51.4684944222222</v>
      </c>
      <c r="D1312">
        <v>-2.3796122222222198E-2</v>
      </c>
      <c r="F1312">
        <v>9</v>
      </c>
      <c r="G1312" t="str">
        <f>IFERROR(VLOOKUP(B1312, Data!H:H, 1, FALSE), "")</f>
        <v/>
      </c>
    </row>
    <row r="1313" spans="1:7" x14ac:dyDescent="0.25">
      <c r="A1313" t="s">
        <v>2307</v>
      </c>
      <c r="B1313" t="s">
        <v>3453</v>
      </c>
      <c r="C1313">
        <v>51.466383690000001</v>
      </c>
      <c r="D1313">
        <v>-2.1726929999999998E-2</v>
      </c>
      <c r="F1313">
        <v>10</v>
      </c>
      <c r="G1313" t="str">
        <f>IFERROR(VLOOKUP(B1313, Data!H:H, 1, FALSE), "")</f>
        <v/>
      </c>
    </row>
    <row r="1314" spans="1:7" x14ac:dyDescent="0.25">
      <c r="A1314" t="s">
        <v>1309</v>
      </c>
      <c r="B1314" t="s">
        <v>2808</v>
      </c>
      <c r="C1314">
        <v>51.4970060692307</v>
      </c>
      <c r="D1314">
        <v>-6.6838515384615299E-2</v>
      </c>
      <c r="E1314" t="s">
        <v>1206</v>
      </c>
      <c r="F1314">
        <v>13</v>
      </c>
      <c r="G1314" t="str">
        <f>IFERROR(VLOOKUP(B1314, Data!H:H, 1, FALSE), "")</f>
        <v/>
      </c>
    </row>
    <row r="1315" spans="1:7" x14ac:dyDescent="0.25">
      <c r="A1315" t="s">
        <v>1211</v>
      </c>
      <c r="B1315" t="s">
        <v>3454</v>
      </c>
      <c r="C1315">
        <v>51.460677737499999</v>
      </c>
      <c r="D1315">
        <v>-3.3696887500000001E-2</v>
      </c>
      <c r="F1315">
        <v>16</v>
      </c>
      <c r="G1315" t="str">
        <f>IFERROR(VLOOKUP(B1315, Data!H:H, 1, FALSE), "")</f>
        <v/>
      </c>
    </row>
    <row r="1316" spans="1:7" x14ac:dyDescent="0.25">
      <c r="A1316" t="s">
        <v>1283</v>
      </c>
      <c r="B1316" t="s">
        <v>3455</v>
      </c>
      <c r="C1316">
        <v>51.426916435294103</v>
      </c>
      <c r="D1316">
        <v>9.6559500000000006E-2</v>
      </c>
      <c r="E1316" t="s">
        <v>1206</v>
      </c>
      <c r="F1316">
        <v>17</v>
      </c>
      <c r="G1316" t="str">
        <f>IFERROR(VLOOKUP(B1316, Data!H:H, 1, FALSE), "")</f>
        <v/>
      </c>
    </row>
    <row r="1317" spans="1:7" x14ac:dyDescent="0.25">
      <c r="A1317" t="s">
        <v>2308</v>
      </c>
      <c r="B1317" t="s">
        <v>3456</v>
      </c>
      <c r="C1317">
        <v>51.478135414285703</v>
      </c>
      <c r="D1317">
        <v>-0.203196328571428</v>
      </c>
      <c r="F1317">
        <v>7</v>
      </c>
      <c r="G1317" t="str">
        <f>IFERROR(VLOOKUP(B1317, Data!H:H, 1, FALSE), "")</f>
        <v/>
      </c>
    </row>
    <row r="1318" spans="1:7" x14ac:dyDescent="0.25">
      <c r="A1318" t="s">
        <v>2309</v>
      </c>
      <c r="B1318" t="s">
        <v>2808</v>
      </c>
      <c r="C1318">
        <v>51.516322284615299</v>
      </c>
      <c r="D1318">
        <v>-4.58446692307692E-2</v>
      </c>
      <c r="F1318">
        <v>13</v>
      </c>
      <c r="G1318" t="str">
        <f>IFERROR(VLOOKUP(B1318, Data!H:H, 1, FALSE), "")</f>
        <v/>
      </c>
    </row>
    <row r="1319" spans="1:7" x14ac:dyDescent="0.25">
      <c r="A1319" t="s">
        <v>2310</v>
      </c>
      <c r="B1319" t="s">
        <v>2808</v>
      </c>
      <c r="C1319">
        <v>51.545182090909002</v>
      </c>
      <c r="D1319">
        <v>8.55231818181818E-3</v>
      </c>
      <c r="F1319">
        <v>22</v>
      </c>
      <c r="G1319" t="str">
        <f>IFERROR(VLOOKUP(B1319, Data!H:H, 1, FALSE), "")</f>
        <v/>
      </c>
    </row>
    <row r="1320" spans="1:7" x14ac:dyDescent="0.25">
      <c r="A1320" t="s">
        <v>1914</v>
      </c>
      <c r="B1320" t="s">
        <v>3457</v>
      </c>
      <c r="C1320">
        <v>51.494170930769201</v>
      </c>
      <c r="D1320">
        <v>-0.15107514615384601</v>
      </c>
      <c r="E1320" t="s">
        <v>1206</v>
      </c>
      <c r="F1320">
        <v>13</v>
      </c>
      <c r="G1320" t="str">
        <f>IFERROR(VLOOKUP(B1320, Data!H:H, 1, FALSE), "")</f>
        <v/>
      </c>
    </row>
    <row r="1321" spans="1:7" x14ac:dyDescent="0.25">
      <c r="A1321" t="s">
        <v>1729</v>
      </c>
      <c r="B1321" t="s">
        <v>3458</v>
      </c>
      <c r="C1321">
        <v>51.574284220000003</v>
      </c>
      <c r="D1321">
        <v>0.17551513999999999</v>
      </c>
      <c r="E1321" t="s">
        <v>1206</v>
      </c>
      <c r="F1321">
        <v>5</v>
      </c>
      <c r="G1321" t="str">
        <f>IFERROR(VLOOKUP(B1321, Data!H:H, 1, FALSE), "")</f>
        <v/>
      </c>
    </row>
    <row r="1322" spans="1:7" x14ac:dyDescent="0.25">
      <c r="A1322" t="s">
        <v>2311</v>
      </c>
      <c r="B1322" t="s">
        <v>3459</v>
      </c>
      <c r="C1322">
        <v>51.491941199999999</v>
      </c>
      <c r="D1322">
        <v>-0.15408149999999901</v>
      </c>
      <c r="E1322" t="s">
        <v>1206</v>
      </c>
      <c r="F1322">
        <v>11</v>
      </c>
      <c r="G1322" t="str">
        <f>IFERROR(VLOOKUP(B1322, Data!H:H, 1, FALSE), "")</f>
        <v/>
      </c>
    </row>
    <row r="1323" spans="1:7" x14ac:dyDescent="0.25">
      <c r="A1323" t="s">
        <v>2312</v>
      </c>
      <c r="B1323" t="s">
        <v>3460</v>
      </c>
      <c r="C1323">
        <v>51.560352779999903</v>
      </c>
      <c r="D1323">
        <v>8.1456639999999997E-2</v>
      </c>
      <c r="F1323">
        <v>5</v>
      </c>
      <c r="G1323" t="str">
        <f>IFERROR(VLOOKUP(B1323, Data!H:H, 1, FALSE), "")</f>
        <v/>
      </c>
    </row>
    <row r="1324" spans="1:7" x14ac:dyDescent="0.25">
      <c r="A1324" t="s">
        <v>1678</v>
      </c>
      <c r="B1324" t="s">
        <v>2808</v>
      </c>
      <c r="C1324">
        <v>51.488807192307704</v>
      </c>
      <c r="D1324">
        <v>4.6690653846153798E-2</v>
      </c>
      <c r="E1324" t="s">
        <v>1206</v>
      </c>
      <c r="F1324">
        <v>13</v>
      </c>
      <c r="G1324" t="str">
        <f>IFERROR(VLOOKUP(B1324, Data!H:H, 1, FALSE), "")</f>
        <v/>
      </c>
    </row>
    <row r="1325" spans="1:7" x14ac:dyDescent="0.25">
      <c r="A1325" t="s">
        <v>2313</v>
      </c>
      <c r="B1325" t="s">
        <v>3461</v>
      </c>
      <c r="C1325">
        <v>51.549912291666601</v>
      </c>
      <c r="D1325">
        <v>-0.20241815833333299</v>
      </c>
      <c r="F1325">
        <v>12</v>
      </c>
      <c r="G1325" t="str">
        <f>IFERROR(VLOOKUP(B1325, Data!H:H, 1, FALSE), "")</f>
        <v/>
      </c>
    </row>
    <row r="1326" spans="1:7" x14ac:dyDescent="0.25">
      <c r="A1326" t="s">
        <v>2314</v>
      </c>
      <c r="B1326" t="s">
        <v>3462</v>
      </c>
      <c r="C1326">
        <v>51.4533726875</v>
      </c>
      <c r="D1326">
        <v>-0.31303948749999999</v>
      </c>
      <c r="E1326" t="s">
        <v>1206</v>
      </c>
      <c r="F1326">
        <v>16</v>
      </c>
      <c r="G1326" t="str">
        <f>IFERROR(VLOOKUP(B1326, Data!H:H, 1, FALSE), "")</f>
        <v/>
      </c>
    </row>
    <row r="1327" spans="1:7" x14ac:dyDescent="0.25">
      <c r="A1327" t="s">
        <v>1321</v>
      </c>
      <c r="B1327" t="s">
        <v>2808</v>
      </c>
      <c r="C1327">
        <v>51.4015395999999</v>
      </c>
      <c r="D1327">
        <v>-9.84071416666666E-2</v>
      </c>
      <c r="E1327" t="s">
        <v>1206</v>
      </c>
      <c r="F1327">
        <v>24</v>
      </c>
      <c r="G1327" t="str">
        <f>IFERROR(VLOOKUP(B1327, Data!H:H, 1, FALSE), "")</f>
        <v/>
      </c>
    </row>
    <row r="1328" spans="1:7" x14ac:dyDescent="0.25">
      <c r="A1328" t="s">
        <v>1375</v>
      </c>
      <c r="B1328" t="s">
        <v>2808</v>
      </c>
      <c r="C1328">
        <v>51.480098557142803</v>
      </c>
      <c r="D1328">
        <v>-3.2983871428571399E-2</v>
      </c>
      <c r="F1328">
        <v>7</v>
      </c>
      <c r="G1328" t="str">
        <f>IFERROR(VLOOKUP(B1328, Data!H:H, 1, FALSE), "")</f>
        <v/>
      </c>
    </row>
    <row r="1329" spans="1:7" x14ac:dyDescent="0.25">
      <c r="A1329" t="s">
        <v>2315</v>
      </c>
      <c r="B1329" t="s">
        <v>3463</v>
      </c>
      <c r="C1329">
        <v>51.430785123076902</v>
      </c>
      <c r="D1329">
        <v>-0.16720983076922999</v>
      </c>
      <c r="E1329" t="s">
        <v>1206</v>
      </c>
      <c r="F1329">
        <v>13</v>
      </c>
      <c r="G1329" t="str">
        <f>IFERROR(VLOOKUP(B1329, Data!H:H, 1, FALSE), "")</f>
        <v/>
      </c>
    </row>
    <row r="1330" spans="1:7" x14ac:dyDescent="0.25">
      <c r="A1330" t="s">
        <v>2316</v>
      </c>
      <c r="B1330" t="s">
        <v>3464</v>
      </c>
      <c r="C1330">
        <v>51.627502066666601</v>
      </c>
      <c r="D1330">
        <v>-0.17535299333333301</v>
      </c>
      <c r="F1330">
        <v>15</v>
      </c>
      <c r="G1330" t="str">
        <f>IFERROR(VLOOKUP(B1330, Data!H:H, 1, FALSE), "")</f>
        <v/>
      </c>
    </row>
    <row r="1331" spans="1:7" x14ac:dyDescent="0.25">
      <c r="A1331" t="s">
        <v>2317</v>
      </c>
      <c r="B1331" t="s">
        <v>2808</v>
      </c>
      <c r="C1331">
        <v>51.429118542857097</v>
      </c>
      <c r="D1331">
        <v>-3.5556028571428498E-2</v>
      </c>
      <c r="F1331">
        <v>7</v>
      </c>
      <c r="G1331" t="str">
        <f>IFERROR(VLOOKUP(B1331, Data!H:H, 1, FALSE), "")</f>
        <v/>
      </c>
    </row>
    <row r="1332" spans="1:7" x14ac:dyDescent="0.25">
      <c r="A1332" t="s">
        <v>2318</v>
      </c>
      <c r="B1332" t="s">
        <v>3465</v>
      </c>
      <c r="C1332">
        <v>51.547226600000002</v>
      </c>
      <c r="D1332">
        <v>0.198878969230769</v>
      </c>
      <c r="F1332">
        <v>13</v>
      </c>
      <c r="G1332" t="str">
        <f>IFERROR(VLOOKUP(B1332, Data!H:H, 1, FALSE), "")</f>
        <v/>
      </c>
    </row>
    <row r="1333" spans="1:7" x14ac:dyDescent="0.25">
      <c r="A1333" t="s">
        <v>2319</v>
      </c>
      <c r="B1333" t="s">
        <v>3466</v>
      </c>
      <c r="C1333">
        <v>51.541193639999904</v>
      </c>
      <c r="D1333">
        <v>0.19260695999999999</v>
      </c>
      <c r="F1333">
        <v>5</v>
      </c>
      <c r="G1333" t="str">
        <f>IFERROR(VLOOKUP(B1333, Data!H:H, 1, FALSE), "")</f>
        <v/>
      </c>
    </row>
    <row r="1334" spans="1:7" x14ac:dyDescent="0.25">
      <c r="A1334" t="s">
        <v>2320</v>
      </c>
      <c r="B1334" t="s">
        <v>3467</v>
      </c>
      <c r="C1334">
        <v>51.552490954545398</v>
      </c>
      <c r="D1334">
        <v>0.197738881818181</v>
      </c>
      <c r="F1334">
        <v>11</v>
      </c>
      <c r="G1334" t="str">
        <f>IFERROR(VLOOKUP(B1334, Data!H:H, 1, FALSE), "")</f>
        <v/>
      </c>
    </row>
    <row r="1335" spans="1:7" x14ac:dyDescent="0.25">
      <c r="A1335" t="s">
        <v>1480</v>
      </c>
      <c r="B1335" t="s">
        <v>3468</v>
      </c>
      <c r="C1335">
        <v>51.534800661904697</v>
      </c>
      <c r="D1335">
        <v>0.196337823809523</v>
      </c>
      <c r="F1335">
        <v>21</v>
      </c>
      <c r="G1335" t="str">
        <f>IFERROR(VLOOKUP(B1335, Data!H:H, 1, FALSE), "")</f>
        <v/>
      </c>
    </row>
    <row r="1336" spans="1:7" x14ac:dyDescent="0.25">
      <c r="A1336" t="s">
        <v>2321</v>
      </c>
      <c r="B1336" t="s">
        <v>2808</v>
      </c>
      <c r="C1336">
        <v>51.5531156894736</v>
      </c>
      <c r="D1336">
        <v>-4.6843052631578902E-3</v>
      </c>
      <c r="F1336">
        <v>19</v>
      </c>
      <c r="G1336" t="str">
        <f>IFERROR(VLOOKUP(B1336, Data!H:H, 1, FALSE), "")</f>
        <v/>
      </c>
    </row>
    <row r="1337" spans="1:7" x14ac:dyDescent="0.25">
      <c r="A1337" t="s">
        <v>2322</v>
      </c>
      <c r="B1337" t="s">
        <v>3469</v>
      </c>
      <c r="C1337">
        <v>51.514390116666597</v>
      </c>
      <c r="D1337">
        <v>-0.125285066666666</v>
      </c>
      <c r="F1337">
        <v>6</v>
      </c>
      <c r="G1337" t="str">
        <f>IFERROR(VLOOKUP(B1337, Data!H:H, 1, FALSE), "")</f>
        <v/>
      </c>
    </row>
    <row r="1338" spans="1:7" x14ac:dyDescent="0.25">
      <c r="A1338" t="s">
        <v>2323</v>
      </c>
      <c r="B1338" t="s">
        <v>3470</v>
      </c>
      <c r="C1338">
        <v>51.552272733333297</v>
      </c>
      <c r="D1338">
        <v>0.26615551333333298</v>
      </c>
      <c r="E1338" t="s">
        <v>1206</v>
      </c>
      <c r="F1338">
        <v>15</v>
      </c>
      <c r="G1338" t="str">
        <f>IFERROR(VLOOKUP(B1338, Data!H:H, 1, FALSE), "")</f>
        <v/>
      </c>
    </row>
    <row r="1339" spans="1:7" x14ac:dyDescent="0.25">
      <c r="A1339" t="s">
        <v>2324</v>
      </c>
      <c r="B1339" t="s">
        <v>3471</v>
      </c>
      <c r="C1339">
        <v>51.6017036799999</v>
      </c>
      <c r="D1339">
        <v>-0.26976111999999902</v>
      </c>
      <c r="F1339">
        <v>5</v>
      </c>
      <c r="G1339" t="str">
        <f>IFERROR(VLOOKUP(B1339, Data!H:H, 1, FALSE), "")</f>
        <v/>
      </c>
    </row>
    <row r="1340" spans="1:7" x14ac:dyDescent="0.25">
      <c r="A1340" t="s">
        <v>1527</v>
      </c>
      <c r="B1340" t="s">
        <v>3472</v>
      </c>
      <c r="C1340">
        <v>51.60504186</v>
      </c>
      <c r="D1340">
        <v>-0.27776338</v>
      </c>
      <c r="F1340">
        <v>5</v>
      </c>
      <c r="G1340" t="str">
        <f>IFERROR(VLOOKUP(B1340, Data!H:H, 1, FALSE), "")</f>
        <v/>
      </c>
    </row>
    <row r="1341" spans="1:7" x14ac:dyDescent="0.25">
      <c r="A1341" t="s">
        <v>2325</v>
      </c>
      <c r="B1341" t="s">
        <v>2808</v>
      </c>
      <c r="C1341">
        <v>51.485316869230701</v>
      </c>
      <c r="D1341">
        <v>6.3401784615384593E-2</v>
      </c>
      <c r="F1341">
        <v>13</v>
      </c>
      <c r="G1341" t="str">
        <f>IFERROR(VLOOKUP(B1341, Data!H:H, 1, FALSE), "")</f>
        <v/>
      </c>
    </row>
    <row r="1342" spans="1:7" x14ac:dyDescent="0.25">
      <c r="A1342" t="s">
        <v>2326</v>
      </c>
      <c r="B1342" t="s">
        <v>3473</v>
      </c>
      <c r="C1342">
        <v>51.433325619999998</v>
      </c>
      <c r="D1342">
        <v>-0.18491540000000001</v>
      </c>
      <c r="F1342">
        <v>5</v>
      </c>
      <c r="G1342" t="str">
        <f>IFERROR(VLOOKUP(B1342, Data!H:H, 1, FALSE), "")</f>
        <v/>
      </c>
    </row>
    <row r="1343" spans="1:7" x14ac:dyDescent="0.25">
      <c r="A1343" t="s">
        <v>2327</v>
      </c>
      <c r="B1343" t="s">
        <v>3474</v>
      </c>
      <c r="C1343">
        <v>51.545989711111098</v>
      </c>
      <c r="D1343">
        <v>-0.14311942222222199</v>
      </c>
      <c r="F1343">
        <v>9</v>
      </c>
      <c r="G1343" t="str">
        <f>IFERROR(VLOOKUP(B1343, Data!H:H, 1, FALSE), "")</f>
        <v/>
      </c>
    </row>
    <row r="1344" spans="1:7" x14ac:dyDescent="0.25">
      <c r="A1344" t="s">
        <v>2328</v>
      </c>
      <c r="B1344" t="s">
        <v>3475</v>
      </c>
      <c r="C1344">
        <v>51.603834579999997</v>
      </c>
      <c r="D1344">
        <v>-9.6464579999999994E-2</v>
      </c>
      <c r="F1344">
        <v>5</v>
      </c>
      <c r="G1344" t="str">
        <f>IFERROR(VLOOKUP(B1344, Data!H:H, 1, FALSE), "")</f>
        <v/>
      </c>
    </row>
    <row r="1345" spans="1:7" x14ac:dyDescent="0.25">
      <c r="A1345" t="s">
        <v>2329</v>
      </c>
      <c r="B1345" t="s">
        <v>2808</v>
      </c>
      <c r="C1345">
        <v>51.462818224000003</v>
      </c>
      <c r="D1345">
        <v>8.4692299999999899E-4</v>
      </c>
      <c r="E1345" t="s">
        <v>1206</v>
      </c>
      <c r="F1345">
        <v>100</v>
      </c>
      <c r="G1345" t="str">
        <f>IFERROR(VLOOKUP(B1345, Data!H:H, 1, FALSE), "")</f>
        <v/>
      </c>
    </row>
    <row r="1346" spans="1:7" x14ac:dyDescent="0.25">
      <c r="A1346" t="s">
        <v>1268</v>
      </c>
      <c r="B1346" t="s">
        <v>2808</v>
      </c>
      <c r="C1346">
        <v>51.431752526315698</v>
      </c>
      <c r="D1346">
        <v>-9.0580531578947299E-2</v>
      </c>
      <c r="F1346">
        <v>19</v>
      </c>
      <c r="G1346" t="str">
        <f>IFERROR(VLOOKUP(B1346, Data!H:H, 1, FALSE), "")</f>
        <v/>
      </c>
    </row>
    <row r="1347" spans="1:7" x14ac:dyDescent="0.25">
      <c r="A1347" t="s">
        <v>2330</v>
      </c>
      <c r="B1347" t="s">
        <v>3476</v>
      </c>
      <c r="C1347">
        <v>51.565179935000003</v>
      </c>
      <c r="D1347">
        <v>-0.26500689500000002</v>
      </c>
      <c r="F1347">
        <v>20</v>
      </c>
      <c r="G1347" t="str">
        <f>IFERROR(VLOOKUP(B1347, Data!H:H, 1, FALSE), "")</f>
        <v/>
      </c>
    </row>
    <row r="1348" spans="1:7" x14ac:dyDescent="0.25">
      <c r="A1348" t="s">
        <v>1237</v>
      </c>
      <c r="B1348" t="s">
        <v>3477</v>
      </c>
      <c r="C1348">
        <v>51.443163422222199</v>
      </c>
      <c r="D1348">
        <v>-0.21855298888888799</v>
      </c>
      <c r="F1348">
        <v>9</v>
      </c>
      <c r="G1348" t="str">
        <f>IFERROR(VLOOKUP(B1348, Data!H:H, 1, FALSE), "")</f>
        <v/>
      </c>
    </row>
    <row r="1349" spans="1:7" x14ac:dyDescent="0.25">
      <c r="A1349" t="s">
        <v>1480</v>
      </c>
      <c r="B1349" t="s">
        <v>3478</v>
      </c>
      <c r="C1349">
        <v>51.344175957142802</v>
      </c>
      <c r="D1349">
        <v>-0.20310569047619001</v>
      </c>
      <c r="E1349" t="s">
        <v>1749</v>
      </c>
      <c r="F1349">
        <v>21</v>
      </c>
      <c r="G1349" t="str">
        <f>IFERROR(VLOOKUP(B1349, Data!H:H, 1, FALSE), "")</f>
        <v/>
      </c>
    </row>
    <row r="1350" spans="1:7" x14ac:dyDescent="0.25">
      <c r="A1350" t="s">
        <v>2331</v>
      </c>
      <c r="B1350" t="s">
        <v>3479</v>
      </c>
      <c r="C1350">
        <v>51.47531626</v>
      </c>
      <c r="D1350">
        <v>-0.13785032</v>
      </c>
      <c r="F1350">
        <v>5</v>
      </c>
      <c r="G1350" t="str">
        <f>IFERROR(VLOOKUP(B1350, Data!H:H, 1, FALSE), "")</f>
        <v/>
      </c>
    </row>
    <row r="1351" spans="1:7" x14ac:dyDescent="0.25">
      <c r="A1351" t="s">
        <v>2332</v>
      </c>
      <c r="B1351" t="s">
        <v>3480</v>
      </c>
      <c r="C1351">
        <v>51.402998352631499</v>
      </c>
      <c r="D1351">
        <v>-0.1749203</v>
      </c>
      <c r="E1351" t="s">
        <v>1206</v>
      </c>
      <c r="F1351">
        <v>19</v>
      </c>
      <c r="G1351" t="str">
        <f>IFERROR(VLOOKUP(B1351, Data!H:H, 1, FALSE), "")</f>
        <v/>
      </c>
    </row>
    <row r="1352" spans="1:7" x14ac:dyDescent="0.25">
      <c r="A1352" t="s">
        <v>2333</v>
      </c>
      <c r="B1352" t="s">
        <v>2808</v>
      </c>
      <c r="C1352">
        <v>51.534873533333297</v>
      </c>
      <c r="D1352">
        <v>-5.4816133333333301E-2</v>
      </c>
      <c r="F1352">
        <v>9</v>
      </c>
      <c r="G1352" t="str">
        <f>IFERROR(VLOOKUP(B1352, Data!H:H, 1, FALSE), "")</f>
        <v/>
      </c>
    </row>
    <row r="1353" spans="1:7" x14ac:dyDescent="0.25">
      <c r="A1353" t="s">
        <v>2334</v>
      </c>
      <c r="B1353" t="s">
        <v>3481</v>
      </c>
      <c r="C1353">
        <v>51.472488460000001</v>
      </c>
      <c r="D1353">
        <v>-9.7788219999999995E-2</v>
      </c>
      <c r="F1353">
        <v>5</v>
      </c>
      <c r="G1353" t="str">
        <f>IFERROR(VLOOKUP(B1353, Data!H:H, 1, FALSE), "")</f>
        <v/>
      </c>
    </row>
    <row r="1354" spans="1:7" x14ac:dyDescent="0.25">
      <c r="A1354" t="s">
        <v>2335</v>
      </c>
      <c r="B1354" t="s">
        <v>3481</v>
      </c>
      <c r="C1354">
        <v>51.472273700000002</v>
      </c>
      <c r="D1354">
        <v>-9.8245460000000007E-2</v>
      </c>
      <c r="F1354">
        <v>5</v>
      </c>
      <c r="G1354" t="str">
        <f>IFERROR(VLOOKUP(B1354, Data!H:H, 1, FALSE), "")</f>
        <v/>
      </c>
    </row>
    <row r="1355" spans="1:7" x14ac:dyDescent="0.25">
      <c r="A1355" t="s">
        <v>2336</v>
      </c>
      <c r="B1355" t="s">
        <v>3482</v>
      </c>
      <c r="C1355">
        <v>51.472779060000001</v>
      </c>
      <c r="D1355">
        <v>-9.842571E-2</v>
      </c>
      <c r="F1355">
        <v>10</v>
      </c>
      <c r="G1355" t="str">
        <f>IFERROR(VLOOKUP(B1355, Data!H:H, 1, FALSE), "")</f>
        <v/>
      </c>
    </row>
    <row r="1356" spans="1:7" x14ac:dyDescent="0.25">
      <c r="A1356" t="s">
        <v>2337</v>
      </c>
      <c r="B1356" t="s">
        <v>2808</v>
      </c>
      <c r="C1356">
        <v>51.472656649999998</v>
      </c>
      <c r="D1356">
        <v>-9.8495937499999894E-2</v>
      </c>
      <c r="F1356">
        <v>8</v>
      </c>
      <c r="G1356" t="str">
        <f>IFERROR(VLOOKUP(B1356, Data!H:H, 1, FALSE), "")</f>
        <v/>
      </c>
    </row>
    <row r="1357" spans="1:7" x14ac:dyDescent="0.25">
      <c r="A1357" t="s">
        <v>2338</v>
      </c>
      <c r="B1357" t="s">
        <v>3483</v>
      </c>
      <c r="C1357">
        <v>51.519766820000001</v>
      </c>
      <c r="D1357">
        <v>-0.26681944000000002</v>
      </c>
      <c r="E1357" t="s">
        <v>1206</v>
      </c>
      <c r="F1357">
        <v>5</v>
      </c>
      <c r="G1357" t="str">
        <f>IFERROR(VLOOKUP(B1357, Data!H:H, 1, FALSE), "")</f>
        <v/>
      </c>
    </row>
    <row r="1358" spans="1:7" x14ac:dyDescent="0.25">
      <c r="A1358" t="s">
        <v>2339</v>
      </c>
      <c r="B1358" t="s">
        <v>3484</v>
      </c>
      <c r="C1358">
        <v>51.571531887500001</v>
      </c>
      <c r="D1358">
        <v>-0.149386725</v>
      </c>
      <c r="F1358">
        <v>8</v>
      </c>
      <c r="G1358" t="str">
        <f>IFERROR(VLOOKUP(B1358, Data!H:H, 1, FALSE), "")</f>
        <v/>
      </c>
    </row>
    <row r="1359" spans="1:7" x14ac:dyDescent="0.25">
      <c r="A1359" t="s">
        <v>1708</v>
      </c>
      <c r="B1359" t="s">
        <v>3485</v>
      </c>
      <c r="C1359">
        <v>51.519767948275799</v>
      </c>
      <c r="D1359">
        <v>-0.16184976206896501</v>
      </c>
      <c r="E1359" t="s">
        <v>1206</v>
      </c>
      <c r="F1359">
        <v>29</v>
      </c>
      <c r="G1359" t="str">
        <f>IFERROR(VLOOKUP(B1359, Data!H:H, 1, FALSE), "")</f>
        <v/>
      </c>
    </row>
    <row r="1360" spans="1:7" x14ac:dyDescent="0.25">
      <c r="A1360" t="s">
        <v>2340</v>
      </c>
      <c r="B1360" t="s">
        <v>3486</v>
      </c>
      <c r="C1360">
        <v>51.345794720000001</v>
      </c>
      <c r="D1360">
        <v>-0.10487788000000001</v>
      </c>
      <c r="F1360">
        <v>5</v>
      </c>
      <c r="G1360" t="str">
        <f>IFERROR(VLOOKUP(B1360, Data!H:H, 1, FALSE), "")</f>
        <v/>
      </c>
    </row>
    <row r="1361" spans="1:7" x14ac:dyDescent="0.25">
      <c r="A1361" t="s">
        <v>2341</v>
      </c>
      <c r="B1361" t="s">
        <v>3487</v>
      </c>
      <c r="C1361">
        <v>51.35707902</v>
      </c>
      <c r="D1361">
        <v>-9.7484340000000003E-2</v>
      </c>
      <c r="F1361">
        <v>5</v>
      </c>
      <c r="G1361" t="str">
        <f>IFERROR(VLOOKUP(B1361, Data!H:H, 1, FALSE), "")</f>
        <v/>
      </c>
    </row>
    <row r="1362" spans="1:7" x14ac:dyDescent="0.25">
      <c r="A1362" t="s">
        <v>2342</v>
      </c>
      <c r="B1362" t="s">
        <v>2808</v>
      </c>
      <c r="C1362">
        <v>51.355036980000001</v>
      </c>
      <c r="D1362">
        <v>-9.5043339999999907E-2</v>
      </c>
      <c r="F1362">
        <v>5</v>
      </c>
      <c r="G1362" t="str">
        <f>IFERROR(VLOOKUP(B1362, Data!H:H, 1, FALSE), "")</f>
        <v/>
      </c>
    </row>
    <row r="1363" spans="1:7" x14ac:dyDescent="0.25">
      <c r="A1363" t="s">
        <v>1207</v>
      </c>
      <c r="B1363" t="s">
        <v>2808</v>
      </c>
      <c r="C1363">
        <v>51.375146346153798</v>
      </c>
      <c r="D1363">
        <v>-3.1276330769230698E-2</v>
      </c>
      <c r="E1363" t="s">
        <v>1206</v>
      </c>
      <c r="F1363">
        <v>13</v>
      </c>
      <c r="G1363" t="str">
        <f>IFERROR(VLOOKUP(B1363, Data!H:H, 1, FALSE), "")</f>
        <v/>
      </c>
    </row>
    <row r="1364" spans="1:7" x14ac:dyDescent="0.25">
      <c r="A1364" t="s">
        <v>2343</v>
      </c>
      <c r="B1364" t="s">
        <v>3488</v>
      </c>
      <c r="C1364">
        <v>51.481423219999897</v>
      </c>
      <c r="D1364">
        <v>-5.7290359999999999E-2</v>
      </c>
      <c r="F1364">
        <v>5</v>
      </c>
      <c r="G1364" t="str">
        <f>IFERROR(VLOOKUP(B1364, Data!H:H, 1, FALSE), "")</f>
        <v/>
      </c>
    </row>
    <row r="1365" spans="1:7" x14ac:dyDescent="0.25">
      <c r="A1365" t="s">
        <v>2344</v>
      </c>
      <c r="B1365" t="s">
        <v>2808</v>
      </c>
      <c r="C1365">
        <v>51.479733111111102</v>
      </c>
      <c r="D1365">
        <v>-5.60425888888888E-2</v>
      </c>
      <c r="F1365">
        <v>9</v>
      </c>
      <c r="G1365" t="str">
        <f>IFERROR(VLOOKUP(B1365, Data!H:H, 1, FALSE), "")</f>
        <v/>
      </c>
    </row>
    <row r="1366" spans="1:7" x14ac:dyDescent="0.25">
      <c r="A1366" t="s">
        <v>1232</v>
      </c>
      <c r="B1366" t="s">
        <v>3489</v>
      </c>
      <c r="C1366">
        <v>51.4811929782608</v>
      </c>
      <c r="D1366">
        <v>-0.34324686521739101</v>
      </c>
      <c r="E1366" t="s">
        <v>1206</v>
      </c>
      <c r="F1366">
        <v>23</v>
      </c>
      <c r="G1366" t="str">
        <f>IFERROR(VLOOKUP(B1366, Data!H:H, 1, FALSE), "")</f>
        <v/>
      </c>
    </row>
    <row r="1367" spans="1:7" x14ac:dyDescent="0.25">
      <c r="A1367" t="s">
        <v>2345</v>
      </c>
      <c r="B1367" t="s">
        <v>3490</v>
      </c>
      <c r="C1367">
        <v>51.341970311111098</v>
      </c>
      <c r="D1367">
        <v>0.11112923333333299</v>
      </c>
      <c r="E1367" t="s">
        <v>1206</v>
      </c>
      <c r="F1367">
        <v>9</v>
      </c>
      <c r="G1367" t="str">
        <f>IFERROR(VLOOKUP(B1367, Data!H:H, 1, FALSE), "")</f>
        <v/>
      </c>
    </row>
    <row r="1368" spans="1:7" x14ac:dyDescent="0.25">
      <c r="A1368" t="s">
        <v>2346</v>
      </c>
      <c r="B1368" t="s">
        <v>2808</v>
      </c>
      <c r="C1368">
        <v>51.452799724999998</v>
      </c>
      <c r="D1368">
        <v>-8.2531299999999905E-2</v>
      </c>
      <c r="E1368" t="s">
        <v>1206</v>
      </c>
      <c r="F1368">
        <v>32</v>
      </c>
      <c r="G1368" t="str">
        <f>IFERROR(VLOOKUP(B1368, Data!H:H, 1, FALSE), "")</f>
        <v/>
      </c>
    </row>
    <row r="1369" spans="1:7" x14ac:dyDescent="0.25">
      <c r="A1369" t="s">
        <v>2347</v>
      </c>
      <c r="B1369" t="s">
        <v>3491</v>
      </c>
      <c r="C1369">
        <v>51.3998145199999</v>
      </c>
      <c r="D1369">
        <v>-9.7534800000000005E-2</v>
      </c>
      <c r="F1369">
        <v>5</v>
      </c>
      <c r="G1369" t="str">
        <f>IFERROR(VLOOKUP(B1369, Data!H:H, 1, FALSE), "")</f>
        <v/>
      </c>
    </row>
    <row r="1370" spans="1:7" x14ac:dyDescent="0.25">
      <c r="A1370" t="s">
        <v>2348</v>
      </c>
      <c r="B1370" t="s">
        <v>3492</v>
      </c>
      <c r="C1370">
        <v>51.407826579999998</v>
      </c>
      <c r="D1370">
        <v>-0.10430953999999899</v>
      </c>
      <c r="F1370">
        <v>5</v>
      </c>
      <c r="G1370" t="str">
        <f>IFERROR(VLOOKUP(B1370, Data!H:H, 1, FALSE), "")</f>
        <v/>
      </c>
    </row>
    <row r="1371" spans="1:7" x14ac:dyDescent="0.25">
      <c r="A1371" t="s">
        <v>2349</v>
      </c>
      <c r="B1371" t="s">
        <v>2808</v>
      </c>
      <c r="C1371">
        <v>51.339406810526299</v>
      </c>
      <c r="D1371">
        <v>-1.2609431578947301E-2</v>
      </c>
      <c r="F1371">
        <v>19</v>
      </c>
      <c r="G1371" t="str">
        <f>IFERROR(VLOOKUP(B1371, Data!H:H, 1, FALSE), "")</f>
        <v/>
      </c>
    </row>
    <row r="1372" spans="1:7" x14ac:dyDescent="0.25">
      <c r="A1372" t="s">
        <v>2350</v>
      </c>
      <c r="B1372" t="s">
        <v>3493</v>
      </c>
      <c r="C1372">
        <v>51.596175618181803</v>
      </c>
      <c r="D1372">
        <v>-0.38245271818181797</v>
      </c>
      <c r="F1372">
        <v>11</v>
      </c>
      <c r="G1372" t="str">
        <f>IFERROR(VLOOKUP(B1372, Data!H:H, 1, FALSE), "")</f>
        <v/>
      </c>
    </row>
    <row r="1373" spans="1:7" x14ac:dyDescent="0.25">
      <c r="A1373" t="s">
        <v>2351</v>
      </c>
      <c r="B1373" t="s">
        <v>3494</v>
      </c>
      <c r="C1373">
        <v>51.446955500000001</v>
      </c>
      <c r="D1373">
        <v>-0.32517517368421001</v>
      </c>
      <c r="E1373" t="s">
        <v>1206</v>
      </c>
      <c r="F1373">
        <v>19</v>
      </c>
      <c r="G1373" t="str">
        <f>IFERROR(VLOOKUP(B1373, Data!H:H, 1, FALSE), "")</f>
        <v/>
      </c>
    </row>
    <row r="1374" spans="1:7" x14ac:dyDescent="0.25">
      <c r="A1374" t="s">
        <v>2352</v>
      </c>
      <c r="B1374" t="s">
        <v>3495</v>
      </c>
      <c r="C1374">
        <v>51.517606016666598</v>
      </c>
      <c r="D1374">
        <v>-0.32299909999999998</v>
      </c>
      <c r="F1374">
        <v>6</v>
      </c>
      <c r="G1374" t="str">
        <f>IFERROR(VLOOKUP(B1374, Data!H:H, 1, FALSE), "")</f>
        <v/>
      </c>
    </row>
    <row r="1375" spans="1:7" x14ac:dyDescent="0.25">
      <c r="A1375" t="s">
        <v>2353</v>
      </c>
      <c r="B1375" t="s">
        <v>2808</v>
      </c>
      <c r="C1375">
        <v>51.384522811764697</v>
      </c>
      <c r="D1375">
        <v>-4.4355617647058802E-2</v>
      </c>
      <c r="E1375" t="s">
        <v>1206</v>
      </c>
      <c r="F1375">
        <v>17</v>
      </c>
      <c r="G1375" t="str">
        <f>IFERROR(VLOOKUP(B1375, Data!H:H, 1, FALSE), "")</f>
        <v/>
      </c>
    </row>
    <row r="1376" spans="1:7" x14ac:dyDescent="0.25">
      <c r="A1376" t="s">
        <v>2354</v>
      </c>
      <c r="B1376" t="s">
        <v>3496</v>
      </c>
      <c r="C1376">
        <v>51.330114628571401</v>
      </c>
      <c r="D1376">
        <v>-0.10905095714285699</v>
      </c>
      <c r="F1376">
        <v>7</v>
      </c>
      <c r="G1376" t="str">
        <f>IFERROR(VLOOKUP(B1376, Data!H:H, 1, FALSE), "")</f>
        <v/>
      </c>
    </row>
    <row r="1377" spans="1:7" x14ac:dyDescent="0.25">
      <c r="A1377" t="s">
        <v>2355</v>
      </c>
      <c r="B1377" t="s">
        <v>3497</v>
      </c>
      <c r="C1377">
        <v>51.319601211111099</v>
      </c>
      <c r="D1377">
        <v>-0.143213333333333</v>
      </c>
      <c r="F1377">
        <v>9</v>
      </c>
      <c r="G1377" t="str">
        <f>IFERROR(VLOOKUP(B1377, Data!H:H, 1, FALSE), "")</f>
        <v/>
      </c>
    </row>
    <row r="1378" spans="1:7" x14ac:dyDescent="0.25">
      <c r="A1378" t="s">
        <v>2356</v>
      </c>
      <c r="B1378" t="s">
        <v>3498</v>
      </c>
      <c r="C1378">
        <v>51.517292566666598</v>
      </c>
      <c r="D1378">
        <v>-0.13838724999999999</v>
      </c>
      <c r="F1378">
        <v>6</v>
      </c>
      <c r="G1378" t="str">
        <f>IFERROR(VLOOKUP(B1378, Data!H:H, 1, FALSE), "")</f>
        <v/>
      </c>
    </row>
    <row r="1379" spans="1:7" x14ac:dyDescent="0.25">
      <c r="A1379" t="s">
        <v>2357</v>
      </c>
      <c r="B1379" t="s">
        <v>3499</v>
      </c>
      <c r="C1379">
        <v>51.643300499999903</v>
      </c>
      <c r="D1379">
        <v>-6.6313419999999998E-2</v>
      </c>
      <c r="F1379">
        <v>5</v>
      </c>
      <c r="G1379" t="str">
        <f>IFERROR(VLOOKUP(B1379, Data!H:H, 1, FALSE), "")</f>
        <v/>
      </c>
    </row>
    <row r="1380" spans="1:7" x14ac:dyDescent="0.25">
      <c r="A1380" t="s">
        <v>2358</v>
      </c>
      <c r="B1380" t="s">
        <v>3500</v>
      </c>
      <c r="C1380">
        <v>51.554019692857104</v>
      </c>
      <c r="D1380">
        <v>0.21447741428571401</v>
      </c>
      <c r="F1380">
        <v>14</v>
      </c>
      <c r="G1380" t="str">
        <f>IFERROR(VLOOKUP(B1380, Data!H:H, 1, FALSE), "")</f>
        <v/>
      </c>
    </row>
    <row r="1381" spans="1:7" x14ac:dyDescent="0.25">
      <c r="A1381" t="s">
        <v>2359</v>
      </c>
      <c r="B1381" t="s">
        <v>2808</v>
      </c>
      <c r="C1381">
        <v>51.487253695238003</v>
      </c>
      <c r="D1381">
        <v>6.5880685714285694E-2</v>
      </c>
      <c r="F1381">
        <v>21</v>
      </c>
      <c r="G1381" t="str">
        <f>IFERROR(VLOOKUP(B1381, Data!H:H, 1, FALSE), "")</f>
        <v/>
      </c>
    </row>
    <row r="1382" spans="1:7" x14ac:dyDescent="0.25">
      <c r="A1382" t="s">
        <v>1668</v>
      </c>
      <c r="B1382" t="s">
        <v>3501</v>
      </c>
      <c r="C1382">
        <v>51.489324499999903</v>
      </c>
      <c r="D1382">
        <v>-0.47908509999999999</v>
      </c>
      <c r="E1382" t="s">
        <v>1206</v>
      </c>
      <c r="F1382">
        <v>5</v>
      </c>
      <c r="G1382" t="str">
        <f>IFERROR(VLOOKUP(B1382, Data!H:H, 1, FALSE), "")</f>
        <v/>
      </c>
    </row>
    <row r="1383" spans="1:7" x14ac:dyDescent="0.25">
      <c r="A1383" t="s">
        <v>2360</v>
      </c>
      <c r="B1383" t="s">
        <v>2808</v>
      </c>
      <c r="C1383">
        <v>51.626507500000002</v>
      </c>
      <c r="D1383">
        <v>-9.9540088888888906E-2</v>
      </c>
      <c r="F1383">
        <v>9</v>
      </c>
      <c r="G1383" t="str">
        <f>IFERROR(VLOOKUP(B1383, Data!H:H, 1, FALSE), "")</f>
        <v/>
      </c>
    </row>
    <row r="1384" spans="1:7" x14ac:dyDescent="0.25">
      <c r="A1384" t="s">
        <v>2361</v>
      </c>
      <c r="B1384" t="s">
        <v>3502</v>
      </c>
      <c r="C1384">
        <v>51.512974523076899</v>
      </c>
      <c r="D1384">
        <v>-0.25810870769230698</v>
      </c>
      <c r="E1384" t="s">
        <v>1206</v>
      </c>
      <c r="F1384">
        <v>13</v>
      </c>
      <c r="G1384" t="str">
        <f>IFERROR(VLOOKUP(B1384, Data!H:H, 1, FALSE), "")</f>
        <v/>
      </c>
    </row>
    <row r="1385" spans="1:7" x14ac:dyDescent="0.25">
      <c r="A1385" t="s">
        <v>2362</v>
      </c>
      <c r="B1385" t="s">
        <v>3503</v>
      </c>
      <c r="C1385">
        <v>51.529500175000003</v>
      </c>
      <c r="D1385">
        <v>0.18855867500000001</v>
      </c>
      <c r="F1385">
        <v>8</v>
      </c>
      <c r="G1385" t="str">
        <f>IFERROR(VLOOKUP(B1385, Data!H:H, 1, FALSE), "")</f>
        <v/>
      </c>
    </row>
    <row r="1386" spans="1:7" x14ac:dyDescent="0.25">
      <c r="A1386" t="s">
        <v>1638</v>
      </c>
      <c r="B1386" t="s">
        <v>2808</v>
      </c>
      <c r="C1386">
        <v>51.610888066666597</v>
      </c>
      <c r="D1386">
        <v>1.9261483333333301E-2</v>
      </c>
      <c r="E1386" t="s">
        <v>1206</v>
      </c>
      <c r="F1386">
        <v>6</v>
      </c>
      <c r="G1386" t="str">
        <f>IFERROR(VLOOKUP(B1386, Data!H:H, 1, FALSE), "")</f>
        <v/>
      </c>
    </row>
    <row r="1387" spans="1:7" x14ac:dyDescent="0.25">
      <c r="A1387" t="s">
        <v>2363</v>
      </c>
      <c r="B1387" t="s">
        <v>2529</v>
      </c>
      <c r="C1387">
        <v>51.561542512499898</v>
      </c>
      <c r="D1387">
        <v>-2.9161249999999999E-3</v>
      </c>
      <c r="E1387" t="s">
        <v>1206</v>
      </c>
      <c r="F1387">
        <v>8</v>
      </c>
      <c r="G1387" t="str">
        <f>IFERROR(VLOOKUP(B1387, Data!H:H, 1, FALSE), "")</f>
        <v/>
      </c>
    </row>
    <row r="1388" spans="1:7" x14ac:dyDescent="0.25">
      <c r="A1388" t="s">
        <v>2364</v>
      </c>
      <c r="B1388" t="s">
        <v>2808</v>
      </c>
      <c r="C1388">
        <v>51.561377239999999</v>
      </c>
      <c r="D1388">
        <v>-2.81343999999999E-3</v>
      </c>
      <c r="F1388">
        <v>5</v>
      </c>
      <c r="G1388" t="str">
        <f>IFERROR(VLOOKUP(B1388, Data!H:H, 1, FALSE), "")</f>
        <v/>
      </c>
    </row>
    <row r="1389" spans="1:7" x14ac:dyDescent="0.25">
      <c r="A1389" t="s">
        <v>2365</v>
      </c>
      <c r="B1389" t="s">
        <v>3504</v>
      </c>
      <c r="C1389">
        <v>51.573262344444402</v>
      </c>
      <c r="D1389">
        <v>0.19602772222222201</v>
      </c>
      <c r="F1389">
        <v>9</v>
      </c>
      <c r="G1389" t="str">
        <f>IFERROR(VLOOKUP(B1389, Data!H:H, 1, FALSE), "")</f>
        <v/>
      </c>
    </row>
    <row r="1390" spans="1:7" x14ac:dyDescent="0.25">
      <c r="A1390" t="s">
        <v>2366</v>
      </c>
      <c r="B1390" t="s">
        <v>2808</v>
      </c>
      <c r="C1390">
        <v>51.563962271428501</v>
      </c>
      <c r="D1390">
        <v>1.15210857142857E-2</v>
      </c>
      <c r="F1390">
        <v>7</v>
      </c>
      <c r="G1390" t="str">
        <f>IFERROR(VLOOKUP(B1390, Data!H:H, 1, FALSE), "")</f>
        <v/>
      </c>
    </row>
    <row r="1391" spans="1:7" x14ac:dyDescent="0.25">
      <c r="A1391" t="s">
        <v>2367</v>
      </c>
      <c r="B1391" t="s">
        <v>3505</v>
      </c>
      <c r="C1391">
        <v>51.581777339999903</v>
      </c>
      <c r="D1391">
        <v>-0.34188015999999999</v>
      </c>
      <c r="F1391">
        <v>5</v>
      </c>
      <c r="G1391" t="str">
        <f>IFERROR(VLOOKUP(B1391, Data!H:H, 1, FALSE), "")</f>
        <v/>
      </c>
    </row>
    <row r="1392" spans="1:7" x14ac:dyDescent="0.25">
      <c r="A1392" t="s">
        <v>2368</v>
      </c>
      <c r="B1392" t="s">
        <v>3506</v>
      </c>
      <c r="C1392">
        <v>51.580533179999897</v>
      </c>
      <c r="D1392">
        <v>0.17965017999999999</v>
      </c>
      <c r="F1392">
        <v>5</v>
      </c>
      <c r="G1392" t="str">
        <f>IFERROR(VLOOKUP(B1392, Data!H:H, 1, FALSE), "")</f>
        <v/>
      </c>
    </row>
    <row r="1393" spans="1:7" x14ac:dyDescent="0.25">
      <c r="A1393" t="s">
        <v>2369</v>
      </c>
      <c r="B1393" t="s">
        <v>3507</v>
      </c>
      <c r="C1393">
        <v>51.330485623076903</v>
      </c>
      <c r="D1393">
        <v>-0.107363392307692</v>
      </c>
      <c r="E1393" t="s">
        <v>1206</v>
      </c>
      <c r="F1393">
        <v>13</v>
      </c>
      <c r="G1393" t="str">
        <f>IFERROR(VLOOKUP(B1393, Data!H:H, 1, FALSE), "")</f>
        <v/>
      </c>
    </row>
    <row r="1394" spans="1:7" x14ac:dyDescent="0.25">
      <c r="A1394" t="s">
        <v>2370</v>
      </c>
      <c r="B1394" t="s">
        <v>3508</v>
      </c>
      <c r="C1394">
        <v>51.484617453846099</v>
      </c>
      <c r="D1394">
        <v>-0.23346318461538401</v>
      </c>
      <c r="E1394" t="s">
        <v>1206</v>
      </c>
      <c r="F1394">
        <v>13</v>
      </c>
      <c r="G1394" t="str">
        <f>IFERROR(VLOOKUP(B1394, Data!H:H, 1, FALSE), "")</f>
        <v/>
      </c>
    </row>
    <row r="1395" spans="1:7" x14ac:dyDescent="0.25">
      <c r="A1395" t="s">
        <v>1892</v>
      </c>
      <c r="B1395" t="s">
        <v>3509</v>
      </c>
      <c r="C1395">
        <v>51.565465859999897</v>
      </c>
      <c r="D1395">
        <v>0.19559114666666599</v>
      </c>
      <c r="F1395">
        <v>15</v>
      </c>
      <c r="G1395" t="str">
        <f>IFERROR(VLOOKUP(B1395, Data!H:H, 1, FALSE), "")</f>
        <v/>
      </c>
    </row>
    <row r="1396" spans="1:7" x14ac:dyDescent="0.25">
      <c r="A1396" t="s">
        <v>1461</v>
      </c>
      <c r="B1396" t="s">
        <v>2529</v>
      </c>
      <c r="C1396">
        <v>51.559769279999998</v>
      </c>
      <c r="D1396">
        <v>-8.3076799999999996E-3</v>
      </c>
      <c r="F1396">
        <v>5</v>
      </c>
      <c r="G1396" t="str">
        <f>IFERROR(VLOOKUP(B1396, Data!H:H, 1, FALSE), "")</f>
        <v/>
      </c>
    </row>
    <row r="1397" spans="1:7" x14ac:dyDescent="0.25">
      <c r="A1397" t="s">
        <v>1354</v>
      </c>
      <c r="B1397" t="s">
        <v>3510</v>
      </c>
      <c r="C1397">
        <v>51.483795903999997</v>
      </c>
      <c r="D1397">
        <v>0.14827333199999901</v>
      </c>
      <c r="E1397" t="s">
        <v>1206</v>
      </c>
      <c r="F1397">
        <v>25</v>
      </c>
      <c r="G1397" t="str">
        <f>IFERROR(VLOOKUP(B1397, Data!H:H, 1, FALSE), "")</f>
        <v/>
      </c>
    </row>
    <row r="1398" spans="1:7" x14ac:dyDescent="0.25">
      <c r="A1398" t="s">
        <v>1246</v>
      </c>
      <c r="B1398" t="s">
        <v>2808</v>
      </c>
      <c r="C1398">
        <v>51.522234546153797</v>
      </c>
      <c r="D1398">
        <v>5.8756384615384599E-2</v>
      </c>
      <c r="E1398" t="s">
        <v>1206</v>
      </c>
      <c r="F1398">
        <v>13</v>
      </c>
      <c r="G1398" t="str">
        <f>IFERROR(VLOOKUP(B1398, Data!H:H, 1, FALSE), "")</f>
        <v/>
      </c>
    </row>
    <row r="1399" spans="1:7" x14ac:dyDescent="0.25">
      <c r="A1399" t="s">
        <v>1420</v>
      </c>
      <c r="B1399" t="s">
        <v>2808</v>
      </c>
      <c r="C1399">
        <v>51.524468859999999</v>
      </c>
      <c r="D1399">
        <v>2.7988126666666599E-2</v>
      </c>
      <c r="F1399">
        <v>15</v>
      </c>
      <c r="G1399" t="str">
        <f>IFERROR(VLOOKUP(B1399, Data!H:H, 1, FALSE), "")</f>
        <v/>
      </c>
    </row>
    <row r="1400" spans="1:7" x14ac:dyDescent="0.25">
      <c r="A1400" t="s">
        <v>2371</v>
      </c>
      <c r="B1400" t="s">
        <v>2808</v>
      </c>
      <c r="C1400">
        <v>51.548451900000003</v>
      </c>
      <c r="D1400">
        <v>5.9519177777777703E-2</v>
      </c>
      <c r="E1400" t="s">
        <v>1206</v>
      </c>
      <c r="F1400">
        <v>9</v>
      </c>
      <c r="G1400" t="str">
        <f>IFERROR(VLOOKUP(B1400, Data!H:H, 1, FALSE), "")</f>
        <v/>
      </c>
    </row>
    <row r="1401" spans="1:7" x14ac:dyDescent="0.25">
      <c r="A1401" t="s">
        <v>2372</v>
      </c>
      <c r="B1401" t="s">
        <v>3511</v>
      </c>
      <c r="C1401">
        <v>51.524004900000001</v>
      </c>
      <c r="D1401">
        <v>-0.10411015999999999</v>
      </c>
      <c r="F1401">
        <v>5</v>
      </c>
      <c r="G1401" t="str">
        <f>IFERROR(VLOOKUP(B1401, Data!H:H, 1, FALSE), "")</f>
        <v/>
      </c>
    </row>
    <row r="1402" spans="1:7" x14ac:dyDescent="0.25">
      <c r="A1402" t="s">
        <v>1612</v>
      </c>
      <c r="B1402" t="s">
        <v>3512</v>
      </c>
      <c r="C1402">
        <v>51.424740795238101</v>
      </c>
      <c r="D1402">
        <v>-0.16201548571428501</v>
      </c>
      <c r="E1402" t="s">
        <v>1206</v>
      </c>
      <c r="F1402">
        <v>21</v>
      </c>
      <c r="G1402" t="str">
        <f>IFERROR(VLOOKUP(B1402, Data!H:H, 1, FALSE), "")</f>
        <v/>
      </c>
    </row>
    <row r="1403" spans="1:7" x14ac:dyDescent="0.25">
      <c r="A1403" t="s">
        <v>2373</v>
      </c>
      <c r="B1403" t="s">
        <v>3513</v>
      </c>
      <c r="C1403">
        <v>51.397975371428501</v>
      </c>
      <c r="D1403">
        <v>-7.3211200000000004E-2</v>
      </c>
      <c r="F1403">
        <v>7</v>
      </c>
      <c r="G1403" t="str">
        <f>IFERROR(VLOOKUP(B1403, Data!H:H, 1, FALSE), "")</f>
        <v/>
      </c>
    </row>
    <row r="1404" spans="1:7" x14ac:dyDescent="0.25">
      <c r="A1404" t="s">
        <v>2374</v>
      </c>
      <c r="B1404" t="s">
        <v>3514</v>
      </c>
      <c r="C1404">
        <v>51.454255439999997</v>
      </c>
      <c r="D1404">
        <v>-0.18209948000000001</v>
      </c>
      <c r="F1404">
        <v>5</v>
      </c>
      <c r="G1404" t="str">
        <f>IFERROR(VLOOKUP(B1404, Data!H:H, 1, FALSE), "")</f>
        <v/>
      </c>
    </row>
    <row r="1405" spans="1:7" x14ac:dyDescent="0.25">
      <c r="A1405" t="s">
        <v>2375</v>
      </c>
      <c r="B1405" t="s">
        <v>3515</v>
      </c>
      <c r="C1405">
        <v>51.522963816666604</v>
      </c>
      <c r="D1405">
        <v>-0.19406385000000001</v>
      </c>
      <c r="F1405">
        <v>12</v>
      </c>
      <c r="G1405" t="str">
        <f>IFERROR(VLOOKUP(B1405, Data!H:H, 1, FALSE), "")</f>
        <v/>
      </c>
    </row>
    <row r="1406" spans="1:7" x14ac:dyDescent="0.25">
      <c r="A1406" t="s">
        <v>2376</v>
      </c>
      <c r="B1406" t="s">
        <v>3516</v>
      </c>
      <c r="C1406">
        <v>51.473937825</v>
      </c>
      <c r="D1406">
        <v>-0.28902812499999903</v>
      </c>
      <c r="E1406" t="s">
        <v>1206</v>
      </c>
      <c r="F1406">
        <v>8</v>
      </c>
      <c r="G1406" t="str">
        <f>IFERROR(VLOOKUP(B1406, Data!H:H, 1, FALSE), "")</f>
        <v/>
      </c>
    </row>
    <row r="1407" spans="1:7" x14ac:dyDescent="0.25">
      <c r="A1407" t="s">
        <v>2377</v>
      </c>
      <c r="B1407" t="s">
        <v>3517</v>
      </c>
      <c r="C1407">
        <v>51.559882976922999</v>
      </c>
      <c r="D1407">
        <v>-0.103749876923076</v>
      </c>
      <c r="F1407">
        <v>13</v>
      </c>
      <c r="G1407" t="str">
        <f>IFERROR(VLOOKUP(B1407, Data!H:H, 1, FALSE), "")</f>
        <v/>
      </c>
    </row>
    <row r="1408" spans="1:7" x14ac:dyDescent="0.25">
      <c r="A1408" t="s">
        <v>2378</v>
      </c>
      <c r="B1408" t="s">
        <v>3518</v>
      </c>
      <c r="C1408">
        <v>51.5247695277777</v>
      </c>
      <c r="D1408">
        <v>-0.203425211111111</v>
      </c>
      <c r="E1408" t="s">
        <v>1206</v>
      </c>
      <c r="F1408">
        <v>18</v>
      </c>
      <c r="G1408" t="str">
        <f>IFERROR(VLOOKUP(B1408, Data!H:H, 1, FALSE), "")</f>
        <v/>
      </c>
    </row>
    <row r="1409" spans="1:7" x14ac:dyDescent="0.25">
      <c r="A1409" t="s">
        <v>2379</v>
      </c>
      <c r="B1409" t="s">
        <v>3519</v>
      </c>
      <c r="C1409">
        <v>51.4471229888888</v>
      </c>
      <c r="D1409">
        <v>0.11956433333333299</v>
      </c>
      <c r="F1409">
        <v>9</v>
      </c>
      <c r="G1409" t="str">
        <f>IFERROR(VLOOKUP(B1409, Data!H:H, 1, FALSE), "")</f>
        <v/>
      </c>
    </row>
    <row r="1410" spans="1:7" x14ac:dyDescent="0.25">
      <c r="A1410" t="s">
        <v>2380</v>
      </c>
      <c r="B1410" t="s">
        <v>3520</v>
      </c>
      <c r="C1410">
        <v>51.443808938095202</v>
      </c>
      <c r="D1410">
        <v>0.11997921428571399</v>
      </c>
      <c r="E1410" t="s">
        <v>1206</v>
      </c>
      <c r="F1410">
        <v>21</v>
      </c>
      <c r="G1410" t="str">
        <f>IFERROR(VLOOKUP(B1410, Data!H:H, 1, FALSE), "")</f>
        <v/>
      </c>
    </row>
    <row r="1411" spans="1:7" x14ac:dyDescent="0.25">
      <c r="A1411" t="s">
        <v>2381</v>
      </c>
      <c r="B1411" t="s">
        <v>3521</v>
      </c>
      <c r="C1411">
        <v>51.442980925000001</v>
      </c>
      <c r="D1411">
        <v>-0.40629751666666603</v>
      </c>
      <c r="F1411">
        <v>12</v>
      </c>
      <c r="G1411" t="str">
        <f>IFERROR(VLOOKUP(B1411, Data!H:H, 1, FALSE), "")</f>
        <v/>
      </c>
    </row>
    <row r="1412" spans="1:7" x14ac:dyDescent="0.25">
      <c r="A1412" t="s">
        <v>1233</v>
      </c>
      <c r="B1412" t="s">
        <v>3522</v>
      </c>
      <c r="C1412">
        <v>51.438687999999999</v>
      </c>
      <c r="D1412">
        <v>-0.420659061538461</v>
      </c>
      <c r="E1412" t="s">
        <v>1206</v>
      </c>
      <c r="F1412">
        <v>13</v>
      </c>
      <c r="G1412" t="str">
        <f>IFERROR(VLOOKUP(B1412, Data!H:H, 1, FALSE), "")</f>
        <v/>
      </c>
    </row>
    <row r="1413" spans="1:7" x14ac:dyDescent="0.25">
      <c r="A1413" t="s">
        <v>2175</v>
      </c>
      <c r="B1413" t="s">
        <v>3523</v>
      </c>
      <c r="C1413">
        <v>51.444749572727197</v>
      </c>
      <c r="D1413">
        <v>-0.19023249090909</v>
      </c>
      <c r="E1413" t="s">
        <v>1206</v>
      </c>
      <c r="F1413">
        <v>11</v>
      </c>
      <c r="G1413" t="str">
        <f>IFERROR(VLOOKUP(B1413, Data!H:H, 1, FALSE), "")</f>
        <v/>
      </c>
    </row>
    <row r="1414" spans="1:7" x14ac:dyDescent="0.25">
      <c r="A1414" t="s">
        <v>2382</v>
      </c>
      <c r="B1414" t="s">
        <v>3524</v>
      </c>
      <c r="C1414">
        <v>51.549109139999999</v>
      </c>
      <c r="D1414">
        <v>4.2234859999999999E-2</v>
      </c>
      <c r="E1414" t="s">
        <v>1206</v>
      </c>
      <c r="F1414">
        <v>5</v>
      </c>
      <c r="G1414" t="str">
        <f>IFERROR(VLOOKUP(B1414, Data!H:H, 1, FALSE), "")</f>
        <v/>
      </c>
    </row>
    <row r="1415" spans="1:7" x14ac:dyDescent="0.25">
      <c r="A1415" t="s">
        <v>1494</v>
      </c>
      <c r="B1415" t="s">
        <v>3525</v>
      </c>
      <c r="C1415">
        <v>51.583589690909001</v>
      </c>
      <c r="D1415">
        <v>0.100993945454545</v>
      </c>
      <c r="F1415">
        <v>11</v>
      </c>
      <c r="G1415" t="str">
        <f>IFERROR(VLOOKUP(B1415, Data!H:H, 1, FALSE), "")</f>
        <v/>
      </c>
    </row>
    <row r="1416" spans="1:7" x14ac:dyDescent="0.25">
      <c r="A1416" t="s">
        <v>1246</v>
      </c>
      <c r="B1416" t="s">
        <v>3526</v>
      </c>
      <c r="C1416">
        <v>51.54042226</v>
      </c>
      <c r="D1416">
        <v>0.28755436000000001</v>
      </c>
      <c r="E1416" t="s">
        <v>1206</v>
      </c>
      <c r="F1416">
        <v>5</v>
      </c>
      <c r="G1416" t="str">
        <f>IFERROR(VLOOKUP(B1416, Data!H:H, 1, FALSE), "")</f>
        <v/>
      </c>
    </row>
    <row r="1417" spans="1:7" x14ac:dyDescent="0.25">
      <c r="A1417" t="s">
        <v>2383</v>
      </c>
      <c r="B1417" t="s">
        <v>3527</v>
      </c>
      <c r="C1417">
        <v>51.416623080000001</v>
      </c>
      <c r="D1417">
        <v>-0.20791124</v>
      </c>
      <c r="F1417">
        <v>5</v>
      </c>
      <c r="G1417" t="str">
        <f>IFERROR(VLOOKUP(B1417, Data!H:H, 1, FALSE), "")</f>
        <v/>
      </c>
    </row>
    <row r="1418" spans="1:7" x14ac:dyDescent="0.25">
      <c r="A1418" t="s">
        <v>2248</v>
      </c>
      <c r="B1418" t="s">
        <v>2808</v>
      </c>
      <c r="C1418">
        <v>51.443349705882298</v>
      </c>
      <c r="D1418">
        <v>9.0282988235294098E-2</v>
      </c>
      <c r="E1418" t="s">
        <v>1206</v>
      </c>
      <c r="F1418">
        <v>17</v>
      </c>
      <c r="G1418" t="str">
        <f>IFERROR(VLOOKUP(B1418, Data!H:H, 1, FALSE), "")</f>
        <v/>
      </c>
    </row>
    <row r="1419" spans="1:7" x14ac:dyDescent="0.25">
      <c r="A1419" t="s">
        <v>2384</v>
      </c>
      <c r="B1419" t="s">
        <v>2808</v>
      </c>
      <c r="C1419">
        <v>51.445511618181797</v>
      </c>
      <c r="D1419">
        <v>8.4571236363636296E-2</v>
      </c>
      <c r="F1419">
        <v>11</v>
      </c>
      <c r="G1419" t="str">
        <f>IFERROR(VLOOKUP(B1419, Data!H:H, 1, FALSE), "")</f>
        <v/>
      </c>
    </row>
    <row r="1420" spans="1:7" x14ac:dyDescent="0.25">
      <c r="A1420" t="s">
        <v>2385</v>
      </c>
      <c r="B1420" t="s">
        <v>2808</v>
      </c>
      <c r="C1420">
        <v>51.543728642857097</v>
      </c>
      <c r="D1420">
        <v>5.5464814285714203E-2</v>
      </c>
      <c r="E1420" t="s">
        <v>1206</v>
      </c>
      <c r="F1420">
        <v>7</v>
      </c>
      <c r="G1420" t="str">
        <f>IFERROR(VLOOKUP(B1420, Data!H:H, 1, FALSE), "")</f>
        <v/>
      </c>
    </row>
    <row r="1421" spans="1:7" x14ac:dyDescent="0.25">
      <c r="A1421" t="s">
        <v>2315</v>
      </c>
      <c r="B1421" t="s">
        <v>3528</v>
      </c>
      <c r="C1421">
        <v>51.561923399999998</v>
      </c>
      <c r="D1421">
        <v>-0.29154775999999999</v>
      </c>
      <c r="E1421" t="s">
        <v>1206</v>
      </c>
      <c r="F1421">
        <v>5</v>
      </c>
      <c r="G1421" t="str">
        <f>IFERROR(VLOOKUP(B1421, Data!H:H, 1, FALSE), "")</f>
        <v/>
      </c>
    </row>
    <row r="1422" spans="1:7" x14ac:dyDescent="0.25">
      <c r="A1422" t="s">
        <v>2386</v>
      </c>
      <c r="B1422" t="s">
        <v>2808</v>
      </c>
      <c r="C1422">
        <v>51.578920981818101</v>
      </c>
      <c r="D1422">
        <v>6.3962090909090899E-2</v>
      </c>
      <c r="E1422" t="s">
        <v>1206</v>
      </c>
      <c r="F1422">
        <v>11</v>
      </c>
      <c r="G1422" t="str">
        <f>IFERROR(VLOOKUP(B1422, Data!H:H, 1, FALSE), "")</f>
        <v/>
      </c>
    </row>
    <row r="1423" spans="1:7" x14ac:dyDescent="0.25">
      <c r="A1423" t="s">
        <v>2387</v>
      </c>
      <c r="B1423" t="s">
        <v>2808</v>
      </c>
      <c r="C1423">
        <v>51.579249140000002</v>
      </c>
      <c r="D1423">
        <v>8.2037859999999893E-2</v>
      </c>
      <c r="E1423" t="s">
        <v>1206</v>
      </c>
      <c r="F1423">
        <v>5</v>
      </c>
      <c r="G1423" t="str">
        <f>IFERROR(VLOOKUP(B1423, Data!H:H, 1, FALSE), "")</f>
        <v/>
      </c>
    </row>
    <row r="1424" spans="1:7" x14ac:dyDescent="0.25">
      <c r="A1424" t="s">
        <v>1209</v>
      </c>
      <c r="B1424" t="s">
        <v>3529</v>
      </c>
      <c r="C1424">
        <v>51.589481820000003</v>
      </c>
      <c r="D1424">
        <v>7.6705319999999994E-2</v>
      </c>
      <c r="E1424" t="s">
        <v>1206</v>
      </c>
      <c r="F1424">
        <v>5</v>
      </c>
      <c r="G1424" t="str">
        <f>IFERROR(VLOOKUP(B1424, Data!H:H, 1, FALSE), "")</f>
        <v/>
      </c>
    </row>
    <row r="1425" spans="1:7" x14ac:dyDescent="0.25">
      <c r="A1425" t="s">
        <v>1309</v>
      </c>
      <c r="B1425" t="s">
        <v>3530</v>
      </c>
      <c r="C1425">
        <v>51.602465580000001</v>
      </c>
      <c r="D1425">
        <v>0.17380493999999999</v>
      </c>
      <c r="E1425" t="s">
        <v>1206</v>
      </c>
      <c r="F1425">
        <v>5</v>
      </c>
      <c r="G1425" t="str">
        <f>IFERROR(VLOOKUP(B1425, Data!H:H, 1, FALSE), "")</f>
        <v/>
      </c>
    </row>
    <row r="1426" spans="1:7" x14ac:dyDescent="0.25">
      <c r="A1426" t="s">
        <v>2388</v>
      </c>
      <c r="B1426" t="s">
        <v>3531</v>
      </c>
      <c r="C1426">
        <v>51.53337578</v>
      </c>
      <c r="D1426">
        <v>4.4616459999999997E-2</v>
      </c>
      <c r="E1426" t="s">
        <v>1206</v>
      </c>
      <c r="F1426">
        <v>5</v>
      </c>
      <c r="G1426" t="str">
        <f>IFERROR(VLOOKUP(B1426, Data!H:H, 1, FALSE), "")</f>
        <v/>
      </c>
    </row>
    <row r="1427" spans="1:7" x14ac:dyDescent="0.25">
      <c r="A1427" t="s">
        <v>1986</v>
      </c>
      <c r="B1427" t="s">
        <v>3532</v>
      </c>
      <c r="C1427">
        <v>51.552895539999902</v>
      </c>
      <c r="D1427">
        <v>3.2893360000000003E-2</v>
      </c>
      <c r="E1427" t="s">
        <v>1206</v>
      </c>
      <c r="F1427">
        <v>5</v>
      </c>
      <c r="G1427" t="str">
        <f>IFERROR(VLOOKUP(B1427, Data!H:H, 1, FALSE), "")</f>
        <v/>
      </c>
    </row>
    <row r="1428" spans="1:7" x14ac:dyDescent="0.25">
      <c r="A1428" t="s">
        <v>1354</v>
      </c>
      <c r="B1428" t="s">
        <v>3533</v>
      </c>
      <c r="C1428">
        <v>51.560597459999997</v>
      </c>
      <c r="D1428">
        <v>0.109923719999999</v>
      </c>
      <c r="E1428" t="s">
        <v>1206</v>
      </c>
      <c r="F1428">
        <v>5</v>
      </c>
      <c r="G1428" t="str">
        <f>IFERROR(VLOOKUP(B1428, Data!H:H, 1, FALSE), "")</f>
        <v/>
      </c>
    </row>
    <row r="1429" spans="1:7" x14ac:dyDescent="0.25">
      <c r="A1429" t="s">
        <v>1321</v>
      </c>
      <c r="B1429" t="s">
        <v>3534</v>
      </c>
      <c r="C1429">
        <v>51.568379719999903</v>
      </c>
      <c r="D1429">
        <v>0.11079352000000001</v>
      </c>
      <c r="E1429" t="s">
        <v>1206</v>
      </c>
      <c r="F1429">
        <v>5</v>
      </c>
      <c r="G1429" t="str">
        <f>IFERROR(VLOOKUP(B1429, Data!H:H, 1, FALSE), "")</f>
        <v/>
      </c>
    </row>
    <row r="1430" spans="1:7" x14ac:dyDescent="0.25">
      <c r="A1430" t="s">
        <v>1420</v>
      </c>
      <c r="B1430" t="s">
        <v>2808</v>
      </c>
      <c r="C1430">
        <v>51.570063488888799</v>
      </c>
      <c r="D1430">
        <v>5.7743977777777698E-2</v>
      </c>
      <c r="E1430" t="s">
        <v>1206</v>
      </c>
      <c r="F1430">
        <v>9</v>
      </c>
      <c r="G1430" t="str">
        <f>IFERROR(VLOOKUP(B1430, Data!H:H, 1, FALSE), "")</f>
        <v/>
      </c>
    </row>
    <row r="1431" spans="1:7" x14ac:dyDescent="0.25">
      <c r="A1431" t="s">
        <v>2386</v>
      </c>
      <c r="B1431" t="s">
        <v>3535</v>
      </c>
      <c r="C1431">
        <v>51.605631359999997</v>
      </c>
      <c r="D1431">
        <v>0.219588279999999</v>
      </c>
      <c r="E1431" t="s">
        <v>1206</v>
      </c>
      <c r="F1431">
        <v>5</v>
      </c>
      <c r="G1431" t="str">
        <f>IFERROR(VLOOKUP(B1431, Data!H:H, 1, FALSE), "")</f>
        <v/>
      </c>
    </row>
    <row r="1432" spans="1:7" x14ac:dyDescent="0.25">
      <c r="A1432" t="s">
        <v>2239</v>
      </c>
      <c r="B1432" t="s">
        <v>2808</v>
      </c>
      <c r="C1432">
        <v>51.55396382</v>
      </c>
      <c r="D1432">
        <v>5.5961859999999898E-2</v>
      </c>
      <c r="E1432" t="s">
        <v>1206</v>
      </c>
      <c r="F1432">
        <v>5</v>
      </c>
      <c r="G1432" t="str">
        <f>IFERROR(VLOOKUP(B1432, Data!H:H, 1, FALSE), "")</f>
        <v/>
      </c>
    </row>
    <row r="1433" spans="1:7" x14ac:dyDescent="0.25">
      <c r="A1433" t="s">
        <v>1375</v>
      </c>
      <c r="B1433" t="s">
        <v>2808</v>
      </c>
      <c r="C1433">
        <v>51.553296760000002</v>
      </c>
      <c r="D1433">
        <v>5.5580019999999897E-2</v>
      </c>
      <c r="F1433">
        <v>5</v>
      </c>
      <c r="G1433" t="str">
        <f>IFERROR(VLOOKUP(B1433, Data!H:H, 1, FALSE), "")</f>
        <v/>
      </c>
    </row>
    <row r="1434" spans="1:7" x14ac:dyDescent="0.25">
      <c r="A1434" t="s">
        <v>1909</v>
      </c>
      <c r="B1434" t="s">
        <v>3536</v>
      </c>
      <c r="C1434">
        <v>51.5294247</v>
      </c>
      <c r="D1434">
        <v>3.7282839999999998E-2</v>
      </c>
      <c r="E1434" t="s">
        <v>1206</v>
      </c>
      <c r="F1434">
        <v>5</v>
      </c>
      <c r="G1434" t="str">
        <f>IFERROR(VLOOKUP(B1434, Data!H:H, 1, FALSE), "")</f>
        <v/>
      </c>
    </row>
    <row r="1435" spans="1:7" x14ac:dyDescent="0.25">
      <c r="A1435" t="s">
        <v>2081</v>
      </c>
      <c r="B1435" t="s">
        <v>3537</v>
      </c>
      <c r="C1435">
        <v>51.53167826</v>
      </c>
      <c r="D1435">
        <v>2.4669239999999999E-2</v>
      </c>
      <c r="E1435" t="s">
        <v>1206</v>
      </c>
      <c r="F1435">
        <v>5</v>
      </c>
      <c r="G1435" t="str">
        <f>IFERROR(VLOOKUP(B1435, Data!H:H, 1, FALSE), "")</f>
        <v/>
      </c>
    </row>
    <row r="1436" spans="1:7" x14ac:dyDescent="0.25">
      <c r="A1436" t="s">
        <v>1281</v>
      </c>
      <c r="B1436" t="s">
        <v>3538</v>
      </c>
      <c r="C1436">
        <v>51.52298296</v>
      </c>
      <c r="D1436">
        <v>1.1660719999999999E-2</v>
      </c>
      <c r="E1436" t="s">
        <v>1206</v>
      </c>
      <c r="F1436">
        <v>5</v>
      </c>
      <c r="G1436" t="str">
        <f>IFERROR(VLOOKUP(B1436, Data!H:H, 1, FALSE), "")</f>
        <v/>
      </c>
    </row>
    <row r="1437" spans="1:7" x14ac:dyDescent="0.25">
      <c r="A1437" t="s">
        <v>2389</v>
      </c>
      <c r="B1437" t="s">
        <v>2808</v>
      </c>
      <c r="C1437">
        <v>51.452585021428497</v>
      </c>
      <c r="D1437">
        <v>-3.9524135714285702E-2</v>
      </c>
      <c r="E1437" t="s">
        <v>1206</v>
      </c>
      <c r="F1437">
        <v>14</v>
      </c>
      <c r="G1437" t="str">
        <f>IFERROR(VLOOKUP(B1437, Data!H:H, 1, FALSE), "")</f>
        <v/>
      </c>
    </row>
    <row r="1438" spans="1:7" x14ac:dyDescent="0.25">
      <c r="A1438" t="s">
        <v>2390</v>
      </c>
      <c r="B1438" t="s">
        <v>3539</v>
      </c>
      <c r="C1438">
        <v>51.5239011888888</v>
      </c>
      <c r="D1438">
        <v>2.1190000000000001E-2</v>
      </c>
      <c r="E1438" t="s">
        <v>1206</v>
      </c>
      <c r="F1438">
        <v>9</v>
      </c>
      <c r="G1438" t="str">
        <f>IFERROR(VLOOKUP(B1438, Data!H:H, 1, FALSE), "")</f>
        <v/>
      </c>
    </row>
    <row r="1439" spans="1:7" x14ac:dyDescent="0.25">
      <c r="A1439" t="s">
        <v>2391</v>
      </c>
      <c r="B1439" t="s">
        <v>3540</v>
      </c>
      <c r="C1439">
        <v>51.555980236363602</v>
      </c>
      <c r="D1439">
        <v>0.22916594545454499</v>
      </c>
      <c r="F1439">
        <v>11</v>
      </c>
      <c r="G1439" t="str">
        <f>IFERROR(VLOOKUP(B1439, Data!H:H, 1, FALSE), "")</f>
        <v/>
      </c>
    </row>
    <row r="1440" spans="1:7" x14ac:dyDescent="0.25">
      <c r="A1440" t="s">
        <v>2392</v>
      </c>
      <c r="B1440" t="s">
        <v>3541</v>
      </c>
      <c r="C1440">
        <v>51.524369469230699</v>
      </c>
      <c r="D1440">
        <v>-0.22329869999999999</v>
      </c>
      <c r="E1440" t="s">
        <v>1206</v>
      </c>
      <c r="F1440">
        <v>13</v>
      </c>
      <c r="G1440" t="str">
        <f>IFERROR(VLOOKUP(B1440, Data!H:H, 1, FALSE), "")</f>
        <v/>
      </c>
    </row>
    <row r="1441" spans="1:7" x14ac:dyDescent="0.25">
      <c r="A1441" t="s">
        <v>2393</v>
      </c>
      <c r="B1441" t="s">
        <v>3542</v>
      </c>
      <c r="C1441">
        <v>51.601020605263102</v>
      </c>
      <c r="D1441">
        <v>-0.40226645263157801</v>
      </c>
      <c r="F1441">
        <v>19</v>
      </c>
      <c r="G1441" t="str">
        <f>IFERROR(VLOOKUP(B1441, Data!H:H, 1, FALSE), "")</f>
        <v/>
      </c>
    </row>
    <row r="1442" spans="1:7" x14ac:dyDescent="0.25">
      <c r="A1442" t="s">
        <v>2394</v>
      </c>
      <c r="B1442" t="s">
        <v>3543</v>
      </c>
      <c r="C1442">
        <v>51.508970779166603</v>
      </c>
      <c r="D1442">
        <v>-0.21193018333333299</v>
      </c>
      <c r="F1442">
        <v>24</v>
      </c>
      <c r="G1442" t="str">
        <f>IFERROR(VLOOKUP(B1442, Data!H:H, 1, FALSE), "")</f>
        <v/>
      </c>
    </row>
    <row r="1443" spans="1:7" x14ac:dyDescent="0.25">
      <c r="A1443" t="s">
        <v>1237</v>
      </c>
      <c r="B1443" t="s">
        <v>2808</v>
      </c>
      <c r="C1443">
        <v>51.416105358823501</v>
      </c>
      <c r="D1443">
        <v>-3.1315335294117598E-2</v>
      </c>
      <c r="F1443">
        <v>17</v>
      </c>
      <c r="G1443" t="str">
        <f>IFERROR(VLOOKUP(B1443, Data!H:H, 1, FALSE), "")</f>
        <v/>
      </c>
    </row>
    <row r="1444" spans="1:7" x14ac:dyDescent="0.25">
      <c r="A1444" t="s">
        <v>2395</v>
      </c>
      <c r="B1444" t="s">
        <v>2808</v>
      </c>
      <c r="C1444">
        <v>51.539893342857098</v>
      </c>
      <c r="D1444">
        <v>3.5695871428571398E-2</v>
      </c>
      <c r="F1444">
        <v>7</v>
      </c>
      <c r="G1444" t="str">
        <f>IFERROR(VLOOKUP(B1444, Data!H:H, 1, FALSE), "")</f>
        <v/>
      </c>
    </row>
    <row r="1445" spans="1:7" x14ac:dyDescent="0.25">
      <c r="A1445" t="s">
        <v>1757</v>
      </c>
      <c r="B1445" t="s">
        <v>3544</v>
      </c>
      <c r="C1445">
        <v>51.5210218636363</v>
      </c>
      <c r="D1445">
        <v>-0.122394227272727</v>
      </c>
      <c r="E1445" t="s">
        <v>1206</v>
      </c>
      <c r="F1445">
        <v>11</v>
      </c>
      <c r="G1445" t="str">
        <f>IFERROR(VLOOKUP(B1445, Data!H:H, 1, FALSE), "")</f>
        <v/>
      </c>
    </row>
    <row r="1446" spans="1:7" x14ac:dyDescent="0.25">
      <c r="A1446" t="s">
        <v>2396</v>
      </c>
      <c r="B1446" t="s">
        <v>2982</v>
      </c>
      <c r="C1446">
        <v>51.550003660000002</v>
      </c>
      <c r="D1446">
        <v>-0.297557039999999</v>
      </c>
      <c r="F1446">
        <v>5</v>
      </c>
      <c r="G1446" t="str">
        <f>IFERROR(VLOOKUP(B1446, Data!H:H, 1, FALSE), "")</f>
        <v/>
      </c>
    </row>
    <row r="1447" spans="1:7" x14ac:dyDescent="0.25">
      <c r="A1447" t="s">
        <v>1283</v>
      </c>
      <c r="B1447" t="s">
        <v>3545</v>
      </c>
      <c r="C1447">
        <v>51.4602814230769</v>
      </c>
      <c r="D1447">
        <v>-0.27494921538461498</v>
      </c>
      <c r="E1447" t="s">
        <v>1206</v>
      </c>
      <c r="F1447">
        <v>13</v>
      </c>
      <c r="G1447" t="str">
        <f>IFERROR(VLOOKUP(B1447, Data!H:H, 1, FALSE), "")</f>
        <v/>
      </c>
    </row>
    <row r="1448" spans="1:7" x14ac:dyDescent="0.25">
      <c r="A1448" t="s">
        <v>1283</v>
      </c>
      <c r="B1448" t="s">
        <v>3546</v>
      </c>
      <c r="C1448">
        <v>51.364284144444397</v>
      </c>
      <c r="D1448">
        <v>0.107152988888888</v>
      </c>
      <c r="E1448" t="s">
        <v>1206</v>
      </c>
      <c r="F1448">
        <v>9</v>
      </c>
      <c r="G1448" t="str">
        <f>IFERROR(VLOOKUP(B1448, Data!H:H, 1, FALSE), "")</f>
        <v/>
      </c>
    </row>
    <row r="1449" spans="1:7" x14ac:dyDescent="0.25">
      <c r="A1449" t="s">
        <v>2397</v>
      </c>
      <c r="B1449" t="s">
        <v>3547</v>
      </c>
      <c r="C1449">
        <v>51.374690871428498</v>
      </c>
      <c r="D1449">
        <v>0.118001214285714</v>
      </c>
      <c r="E1449" t="s">
        <v>1206</v>
      </c>
      <c r="F1449">
        <v>7</v>
      </c>
      <c r="G1449" t="str">
        <f>IFERROR(VLOOKUP(B1449, Data!H:H, 1, FALSE), "")</f>
        <v/>
      </c>
    </row>
    <row r="1450" spans="1:7" x14ac:dyDescent="0.25">
      <c r="A1450" t="s">
        <v>1829</v>
      </c>
      <c r="B1450" t="s">
        <v>2808</v>
      </c>
      <c r="C1450">
        <v>51.404603977777697</v>
      </c>
      <c r="D1450">
        <v>-1.48392555555555E-2</v>
      </c>
      <c r="E1450" t="s">
        <v>1206</v>
      </c>
      <c r="F1450">
        <v>9</v>
      </c>
      <c r="G1450" t="str">
        <f>IFERROR(VLOOKUP(B1450, Data!H:H, 1, FALSE), "")</f>
        <v/>
      </c>
    </row>
    <row r="1451" spans="1:7" x14ac:dyDescent="0.25">
      <c r="A1451" t="s">
        <v>2398</v>
      </c>
      <c r="B1451" t="s">
        <v>3548</v>
      </c>
      <c r="C1451">
        <v>51.401260099999902</v>
      </c>
      <c r="D1451">
        <v>5.5889999999999998E-4</v>
      </c>
      <c r="E1451" t="s">
        <v>1206</v>
      </c>
      <c r="F1451">
        <v>11</v>
      </c>
      <c r="G1451" t="str">
        <f>IFERROR(VLOOKUP(B1451, Data!H:H, 1, FALSE), "")</f>
        <v/>
      </c>
    </row>
    <row r="1452" spans="1:7" x14ac:dyDescent="0.25">
      <c r="A1452" t="s">
        <v>2399</v>
      </c>
      <c r="B1452" t="s">
        <v>2808</v>
      </c>
      <c r="C1452">
        <v>51.409706888888799</v>
      </c>
      <c r="D1452">
        <v>7.6097444444444403E-3</v>
      </c>
      <c r="E1452" t="s">
        <v>1206</v>
      </c>
      <c r="F1452">
        <v>9</v>
      </c>
      <c r="G1452" t="str">
        <f>IFERROR(VLOOKUP(B1452, Data!H:H, 1, FALSE), "")</f>
        <v/>
      </c>
    </row>
    <row r="1453" spans="1:7" x14ac:dyDescent="0.25">
      <c r="A1453" t="s">
        <v>1209</v>
      </c>
      <c r="B1453" t="s">
        <v>2808</v>
      </c>
      <c r="C1453">
        <v>51.379505253846098</v>
      </c>
      <c r="D1453">
        <v>4.28940384615384E-2</v>
      </c>
      <c r="E1453" t="s">
        <v>1206</v>
      </c>
      <c r="F1453">
        <v>13</v>
      </c>
      <c r="G1453" t="str">
        <f>IFERROR(VLOOKUP(B1453, Data!H:H, 1, FALSE), "")</f>
        <v/>
      </c>
    </row>
    <row r="1454" spans="1:7" x14ac:dyDescent="0.25">
      <c r="A1454" t="s">
        <v>1283</v>
      </c>
      <c r="B1454" t="s">
        <v>3549</v>
      </c>
      <c r="C1454">
        <v>51.410518723076898</v>
      </c>
      <c r="D1454">
        <v>5.5567323076922998E-2</v>
      </c>
      <c r="E1454" t="s">
        <v>1206</v>
      </c>
      <c r="F1454">
        <v>13</v>
      </c>
      <c r="G1454" t="str">
        <f>IFERROR(VLOOKUP(B1454, Data!H:H, 1, FALSE), "")</f>
        <v/>
      </c>
    </row>
    <row r="1455" spans="1:7" x14ac:dyDescent="0.25">
      <c r="A1455" t="s">
        <v>1321</v>
      </c>
      <c r="B1455" t="s">
        <v>2808</v>
      </c>
      <c r="C1455">
        <v>51.3731613307692</v>
      </c>
      <c r="D1455">
        <v>7.0429338461538399E-2</v>
      </c>
      <c r="E1455" t="s">
        <v>1206</v>
      </c>
      <c r="F1455">
        <v>13</v>
      </c>
      <c r="G1455" t="str">
        <f>IFERROR(VLOOKUP(B1455, Data!H:H, 1, FALSE), "")</f>
        <v/>
      </c>
    </row>
    <row r="1456" spans="1:7" x14ac:dyDescent="0.25">
      <c r="A1456" t="s">
        <v>2104</v>
      </c>
      <c r="B1456" t="s">
        <v>2808</v>
      </c>
      <c r="C1456">
        <v>51.364511928571403</v>
      </c>
      <c r="D1456">
        <v>8.3937766666666594E-2</v>
      </c>
      <c r="E1456" t="s">
        <v>1206</v>
      </c>
      <c r="F1456">
        <v>21</v>
      </c>
      <c r="G1456" t="str">
        <f>IFERROR(VLOOKUP(B1456, Data!H:H, 1, FALSE), "")</f>
        <v/>
      </c>
    </row>
    <row r="1457" spans="1:7" x14ac:dyDescent="0.25">
      <c r="A1457" t="s">
        <v>1829</v>
      </c>
      <c r="B1457" t="s">
        <v>3550</v>
      </c>
      <c r="C1457">
        <v>51.402263296551702</v>
      </c>
      <c r="D1457">
        <v>0.104436875862068</v>
      </c>
      <c r="E1457" t="s">
        <v>1206</v>
      </c>
      <c r="F1457">
        <v>29</v>
      </c>
      <c r="G1457" t="str">
        <f>IFERROR(VLOOKUP(B1457, Data!H:H, 1, FALSE), "")</f>
        <v/>
      </c>
    </row>
    <row r="1458" spans="1:7" x14ac:dyDescent="0.25">
      <c r="A1458" t="s">
        <v>2400</v>
      </c>
      <c r="B1458" t="s">
        <v>3551</v>
      </c>
      <c r="C1458">
        <v>51.468579740000003</v>
      </c>
      <c r="D1458">
        <v>-0.25427501999999902</v>
      </c>
      <c r="F1458">
        <v>5</v>
      </c>
      <c r="G1458" t="str">
        <f>IFERROR(VLOOKUP(B1458, Data!H:H, 1, FALSE), "")</f>
        <v/>
      </c>
    </row>
    <row r="1459" spans="1:7" x14ac:dyDescent="0.25">
      <c r="A1459" t="s">
        <v>2401</v>
      </c>
      <c r="B1459" t="s">
        <v>3552</v>
      </c>
      <c r="C1459">
        <v>51.63739005</v>
      </c>
      <c r="D1459">
        <v>-0.13198370000000001</v>
      </c>
      <c r="F1459">
        <v>12</v>
      </c>
      <c r="G1459" t="str">
        <f>IFERROR(VLOOKUP(B1459, Data!H:H, 1, FALSE), "")</f>
        <v/>
      </c>
    </row>
    <row r="1460" spans="1:7" x14ac:dyDescent="0.25">
      <c r="A1460" t="s">
        <v>2402</v>
      </c>
      <c r="B1460" t="s">
        <v>3553</v>
      </c>
      <c r="C1460">
        <v>51.4706192681818</v>
      </c>
      <c r="D1460">
        <v>-0.25270768181818098</v>
      </c>
      <c r="F1460">
        <v>22</v>
      </c>
      <c r="G1460" t="str">
        <f>IFERROR(VLOOKUP(B1460, Data!H:H, 1, FALSE), "")</f>
        <v/>
      </c>
    </row>
    <row r="1461" spans="1:7" x14ac:dyDescent="0.25">
      <c r="A1461" t="s">
        <v>1302</v>
      </c>
      <c r="B1461" t="s">
        <v>2500</v>
      </c>
      <c r="C1461">
        <v>51.438472495999903</v>
      </c>
      <c r="D1461">
        <v>-0.119675064</v>
      </c>
      <c r="F1461">
        <v>25</v>
      </c>
      <c r="G1461" t="str">
        <f>IFERROR(VLOOKUP(B1461, Data!H:H, 1, FALSE), "")</f>
        <v/>
      </c>
    </row>
    <row r="1462" spans="1:7" x14ac:dyDescent="0.25">
      <c r="A1462" t="s">
        <v>2403</v>
      </c>
      <c r="B1462" t="s">
        <v>3554</v>
      </c>
      <c r="C1462">
        <v>51.463992638461498</v>
      </c>
      <c r="D1462">
        <v>-0.36710923076923002</v>
      </c>
      <c r="F1462">
        <v>13</v>
      </c>
      <c r="G1462" t="str">
        <f>IFERROR(VLOOKUP(B1462, Data!H:H, 1, FALSE), "")</f>
        <v/>
      </c>
    </row>
  </sheetData>
  <autoFilter ref="A1:G146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81"/>
  <sheetViews>
    <sheetView workbookViewId="0">
      <selection activeCell="L32" sqref="L32"/>
    </sheetView>
  </sheetViews>
  <sheetFormatPr defaultRowHeight="15" x14ac:dyDescent="0.25"/>
  <cols>
    <col min="1" max="1" width="48.5703125" bestFit="1" customWidth="1"/>
    <col min="2" max="2" width="12" bestFit="1" customWidth="1"/>
    <col min="3" max="3" width="12.7109375" bestFit="1" customWidth="1"/>
    <col min="4" max="4" width="10" bestFit="1" customWidth="1"/>
    <col min="12" max="12" width="65.5703125" customWidth="1"/>
    <col min="13" max="13" width="46.7109375" bestFit="1" customWidth="1"/>
    <col min="14" max="14" width="24.7109375" bestFit="1" customWidth="1"/>
  </cols>
  <sheetData>
    <row r="1" spans="1:13" x14ac:dyDescent="0.25">
      <c r="A1" t="s">
        <v>325</v>
      </c>
      <c r="B1">
        <v>51.531650447105797</v>
      </c>
      <c r="C1">
        <v>-7.3325101442545101E-2</v>
      </c>
      <c r="L1" t="s">
        <v>26</v>
      </c>
      <c r="M1" t="str">
        <f t="shared" ref="M1:M32" si="0">VLOOKUP(L1,A:A, 1, FALSE)</f>
        <v>All Saints Haggerston</v>
      </c>
    </row>
    <row r="2" spans="1:13" x14ac:dyDescent="0.25">
      <c r="A2" t="s">
        <v>319</v>
      </c>
      <c r="B2">
        <v>51.5344451892447</v>
      </c>
      <c r="C2">
        <v>-8.1066230198176797E-2</v>
      </c>
      <c r="L2" t="s">
        <v>490</v>
      </c>
      <c r="M2" t="str">
        <f t="shared" si="0"/>
        <v>All Souls Clapton Park</v>
      </c>
    </row>
    <row r="3" spans="1:13" x14ac:dyDescent="0.25">
      <c r="A3" t="s">
        <v>353</v>
      </c>
      <c r="B3">
        <v>51.537165447157498</v>
      </c>
      <c r="C3">
        <v>-9.5713957781238201E-2</v>
      </c>
      <c r="L3" t="s">
        <v>495</v>
      </c>
      <c r="M3" t="str">
        <f t="shared" si="0"/>
        <v>Christchurch-on-the-Mead</v>
      </c>
    </row>
    <row r="4" spans="1:13" x14ac:dyDescent="0.25">
      <c r="A4" t="s">
        <v>372</v>
      </c>
      <c r="B4">
        <v>51.540949565646301</v>
      </c>
      <c r="C4">
        <v>-9.7240249247532107E-2</v>
      </c>
      <c r="L4" t="s">
        <v>17</v>
      </c>
      <c r="M4" t="str">
        <f t="shared" si="0"/>
        <v>Grace Church Hackney</v>
      </c>
    </row>
    <row r="5" spans="1:13" x14ac:dyDescent="0.25">
      <c r="A5" t="s">
        <v>51</v>
      </c>
      <c r="B5">
        <v>51.535916660772003</v>
      </c>
      <c r="C5">
        <v>-0.110737476021272</v>
      </c>
      <c r="L5" t="s">
        <v>290</v>
      </c>
      <c r="M5" t="str">
        <f t="shared" si="0"/>
        <v>Holy Trinity Dalston</v>
      </c>
    </row>
    <row r="6" spans="1:13" x14ac:dyDescent="0.25">
      <c r="A6" t="s">
        <v>616</v>
      </c>
      <c r="B6">
        <v>51.535314899906403</v>
      </c>
      <c r="C6">
        <v>-0.116563743568527</v>
      </c>
      <c r="L6" t="s">
        <v>321</v>
      </c>
      <c r="M6" t="str">
        <f t="shared" si="0"/>
        <v>Holy Trinity Hoxton</v>
      </c>
    </row>
    <row r="7" spans="1:13" x14ac:dyDescent="0.25">
      <c r="A7" t="s">
        <v>614</v>
      </c>
      <c r="B7">
        <v>51.541076389573497</v>
      </c>
      <c r="C7">
        <v>-0.115256759678392</v>
      </c>
      <c r="L7" t="s">
        <v>308</v>
      </c>
      <c r="M7" t="str">
        <f t="shared" si="0"/>
        <v>St Andrew Stoke Newington</v>
      </c>
    </row>
    <row r="8" spans="1:13" x14ac:dyDescent="0.25">
      <c r="A8" t="s">
        <v>370</v>
      </c>
      <c r="B8">
        <v>51.533426749770904</v>
      </c>
      <c r="C8">
        <v>-0.11202074867818899</v>
      </c>
      <c r="L8" t="s">
        <v>319</v>
      </c>
      <c r="M8" t="str">
        <f t="shared" si="0"/>
        <v>St Anne Hoxton</v>
      </c>
    </row>
    <row r="9" spans="1:13" x14ac:dyDescent="0.25">
      <c r="A9" t="s">
        <v>378</v>
      </c>
      <c r="B9">
        <v>51.525505465136398</v>
      </c>
      <c r="C9">
        <v>-0.109171692733864</v>
      </c>
      <c r="L9" t="s">
        <v>331</v>
      </c>
      <c r="M9" t="str">
        <f t="shared" si="0"/>
        <v>St Barnabas Dalston</v>
      </c>
    </row>
    <row r="10" spans="1:13" x14ac:dyDescent="0.25">
      <c r="A10" t="s">
        <v>1189</v>
      </c>
      <c r="B10">
        <v>51.523560341322202</v>
      </c>
      <c r="C10">
        <v>-0.10558786565784101</v>
      </c>
      <c r="L10" t="s">
        <v>1144</v>
      </c>
      <c r="M10" t="str">
        <f t="shared" si="0"/>
        <v>St Barnabas Homerton</v>
      </c>
    </row>
    <row r="11" spans="1:13" x14ac:dyDescent="0.25">
      <c r="A11" t="s">
        <v>382</v>
      </c>
      <c r="B11">
        <v>51.527822</v>
      </c>
      <c r="C11">
        <v>-9.7649624000000004E-2</v>
      </c>
      <c r="L11" t="s">
        <v>327</v>
      </c>
      <c r="M11" t="str">
        <f t="shared" si="0"/>
        <v>St Bartholomew Stamford Hill</v>
      </c>
    </row>
    <row r="12" spans="1:13" x14ac:dyDescent="0.25">
      <c r="A12" t="s">
        <v>3570</v>
      </c>
      <c r="B12">
        <v>51.5300671090815</v>
      </c>
      <c r="C12">
        <v>-0.108815501266303</v>
      </c>
      <c r="L12" t="s">
        <v>325</v>
      </c>
      <c r="M12" t="str">
        <f t="shared" si="0"/>
        <v>St Chad Haggerston</v>
      </c>
    </row>
    <row r="13" spans="1:13" x14ac:dyDescent="0.25">
      <c r="A13" t="s">
        <v>350</v>
      </c>
      <c r="B13">
        <v>51.552225</v>
      </c>
      <c r="C13">
        <v>-9.8607849999999997E-2</v>
      </c>
      <c r="L13" t="s">
        <v>329</v>
      </c>
      <c r="M13" t="str">
        <f t="shared" si="0"/>
        <v>St James Clapton</v>
      </c>
    </row>
    <row r="14" spans="1:13" x14ac:dyDescent="0.25">
      <c r="A14" t="s">
        <v>3571</v>
      </c>
      <c r="B14">
        <v>51.548383953262302</v>
      </c>
      <c r="C14">
        <v>-0.10789382750259401</v>
      </c>
      <c r="L14" t="s">
        <v>298</v>
      </c>
      <c r="M14" t="str">
        <f t="shared" si="0"/>
        <v>St John of Jerusalem South Hackney</v>
      </c>
    </row>
    <row r="15" spans="1:13" x14ac:dyDescent="0.25">
      <c r="A15" t="s">
        <v>357</v>
      </c>
      <c r="B15">
        <v>51.552510339039401</v>
      </c>
      <c r="C15">
        <v>-0.121301754601159</v>
      </c>
      <c r="L15" t="s">
        <v>323</v>
      </c>
      <c r="M15" t="str">
        <f t="shared" si="0"/>
        <v>St John the Baptist Hoxton</v>
      </c>
    </row>
    <row r="16" spans="1:13" x14ac:dyDescent="0.25">
      <c r="A16" t="s">
        <v>3569</v>
      </c>
      <c r="B16">
        <v>51.556881473099502</v>
      </c>
      <c r="C16">
        <v>-0.12657019190899399</v>
      </c>
      <c r="L16" t="s">
        <v>315</v>
      </c>
      <c r="M16" t="str">
        <f t="shared" si="0"/>
        <v>St John the Evangelist Brownswood Park</v>
      </c>
    </row>
    <row r="17" spans="1:13" x14ac:dyDescent="0.25">
      <c r="A17" t="s">
        <v>384</v>
      </c>
      <c r="B17">
        <v>51.559040199711703</v>
      </c>
      <c r="C17">
        <v>-0.11422380442386</v>
      </c>
      <c r="L17" t="s">
        <v>317</v>
      </c>
      <c r="M17" t="str">
        <f t="shared" si="0"/>
        <v>St Leonard Shoreditch</v>
      </c>
    </row>
    <row r="18" spans="1:13" x14ac:dyDescent="0.25">
      <c r="A18" t="s">
        <v>3566</v>
      </c>
      <c r="B18">
        <v>51.565132571407098</v>
      </c>
      <c r="C18">
        <v>-0.115750461615544</v>
      </c>
      <c r="L18" t="s">
        <v>293</v>
      </c>
      <c r="M18" t="str">
        <f t="shared" si="0"/>
        <v>St Mark Dalston</v>
      </c>
    </row>
    <row r="19" spans="1:13" x14ac:dyDescent="0.25">
      <c r="A19" t="s">
        <v>1164</v>
      </c>
      <c r="B19">
        <v>51.569727238478002</v>
      </c>
      <c r="C19">
        <v>-0.117351071069542</v>
      </c>
      <c r="L19" t="s">
        <v>300</v>
      </c>
      <c r="M19" t="str">
        <f t="shared" si="0"/>
        <v>St Mary of Eton Hackney</v>
      </c>
    </row>
    <row r="20" spans="1:13" x14ac:dyDescent="0.25">
      <c r="A20" t="s">
        <v>361</v>
      </c>
      <c r="B20">
        <v>51.571299616046403</v>
      </c>
      <c r="C20">
        <v>-0.122906882918061</v>
      </c>
      <c r="L20" t="s">
        <v>306</v>
      </c>
      <c r="M20" t="str">
        <f t="shared" si="0"/>
        <v>St Mary Stoke Newington</v>
      </c>
    </row>
    <row r="21" spans="1:13" x14ac:dyDescent="0.25">
      <c r="A21" t="s">
        <v>341</v>
      </c>
      <c r="B21">
        <v>51.569445416505502</v>
      </c>
      <c r="C21">
        <v>-0.13567321649257699</v>
      </c>
      <c r="L21" t="s">
        <v>284</v>
      </c>
      <c r="M21" t="str">
        <f t="shared" si="0"/>
        <v>St Matthew Upper Clapton</v>
      </c>
    </row>
    <row r="22" spans="1:13" x14ac:dyDescent="0.25">
      <c r="A22" t="s">
        <v>1148</v>
      </c>
      <c r="B22">
        <v>51.557048000000002</v>
      </c>
      <c r="C22">
        <v>-7.3969093999999999E-2</v>
      </c>
      <c r="L22" t="s">
        <v>310</v>
      </c>
      <c r="M22" t="str">
        <f t="shared" si="0"/>
        <v>St Matthias Stoke Newington</v>
      </c>
    </row>
    <row r="23" spans="1:13" x14ac:dyDescent="0.25">
      <c r="A23" t="s">
        <v>290</v>
      </c>
      <c r="B23">
        <v>51.544359</v>
      </c>
      <c r="C23">
        <v>-7.2875257999999998E-2</v>
      </c>
      <c r="L23" t="s">
        <v>3567</v>
      </c>
      <c r="M23" t="str">
        <f t="shared" si="0"/>
        <v>St Michael and All Angels London Fields</v>
      </c>
    </row>
    <row r="24" spans="1:13" x14ac:dyDescent="0.25">
      <c r="A24" t="s">
        <v>1693</v>
      </c>
      <c r="B24">
        <v>51.540774999999996</v>
      </c>
      <c r="C24">
        <v>-8.0208288000000003E-2</v>
      </c>
      <c r="L24" t="s">
        <v>3568</v>
      </c>
      <c r="M24" t="str">
        <f t="shared" si="0"/>
        <v>St Michael and All Angels Stoke Newington Common</v>
      </c>
    </row>
    <row r="25" spans="1:13" x14ac:dyDescent="0.25">
      <c r="A25" t="s">
        <v>355</v>
      </c>
      <c r="B25">
        <v>51.548848733814602</v>
      </c>
      <c r="C25">
        <v>-8.0037133887809198E-2</v>
      </c>
      <c r="L25" t="s">
        <v>313</v>
      </c>
      <c r="M25" t="str">
        <f t="shared" si="0"/>
        <v>St Olave Woodberry Down</v>
      </c>
    </row>
    <row r="26" spans="1:13" x14ac:dyDescent="0.25">
      <c r="A26" t="s">
        <v>315</v>
      </c>
      <c r="B26">
        <v>51.565557063236199</v>
      </c>
      <c r="C26">
        <v>-0.100552489253722</v>
      </c>
      <c r="L26" t="s">
        <v>1148</v>
      </c>
      <c r="M26" t="str">
        <f t="shared" si="0"/>
        <v>St Paul West Hackney</v>
      </c>
    </row>
    <row r="27" spans="1:13" x14ac:dyDescent="0.25">
      <c r="A27" t="s">
        <v>313</v>
      </c>
      <c r="B27">
        <v>51.571211427888102</v>
      </c>
      <c r="C27">
        <v>-9.3690366985368298E-2</v>
      </c>
      <c r="L27" t="s">
        <v>304</v>
      </c>
      <c r="M27" t="str">
        <f t="shared" si="0"/>
        <v>St Peter de Beauvoir Town</v>
      </c>
    </row>
    <row r="28" spans="1:13" x14ac:dyDescent="0.25">
      <c r="A28" t="s">
        <v>308</v>
      </c>
      <c r="B28">
        <v>51.570622006646602</v>
      </c>
      <c r="C28">
        <v>-8.0251944675386794E-2</v>
      </c>
      <c r="L28" t="s">
        <v>286</v>
      </c>
      <c r="M28" t="str">
        <f t="shared" si="0"/>
        <v>St Thomas Clapton Common</v>
      </c>
    </row>
    <row r="29" spans="1:13" x14ac:dyDescent="0.25">
      <c r="A29" t="s">
        <v>327</v>
      </c>
      <c r="B29">
        <v>51.576380189797902</v>
      </c>
      <c r="C29">
        <v>-6.9595203316465903E-2</v>
      </c>
      <c r="L29" t="s">
        <v>616</v>
      </c>
      <c r="M29" t="str">
        <f t="shared" si="0"/>
        <v>All Saints Caledonian Road</v>
      </c>
    </row>
    <row r="30" spans="1:13" x14ac:dyDescent="0.25">
      <c r="A30" t="s">
        <v>286</v>
      </c>
      <c r="B30">
        <v>51.569816725565602</v>
      </c>
      <c r="C30">
        <v>-6.42123072093925E-2</v>
      </c>
      <c r="L30" t="s">
        <v>350</v>
      </c>
      <c r="M30" t="str">
        <f t="shared" si="0"/>
        <v>Christ Church Highbury</v>
      </c>
    </row>
    <row r="31" spans="1:13" x14ac:dyDescent="0.25">
      <c r="A31" t="s">
        <v>306</v>
      </c>
      <c r="B31">
        <v>51.560817679581803</v>
      </c>
      <c r="C31">
        <v>-8.4449350833892795E-2</v>
      </c>
      <c r="L31" t="s">
        <v>384</v>
      </c>
      <c r="M31" t="str">
        <f t="shared" si="0"/>
        <v>Emmanuel Hornsey Road</v>
      </c>
    </row>
    <row r="32" spans="1:13" x14ac:dyDescent="0.25">
      <c r="A32" t="s">
        <v>3568</v>
      </c>
      <c r="B32">
        <v>51.562533444553303</v>
      </c>
      <c r="C32">
        <v>-6.6554918471506394E-2</v>
      </c>
      <c r="L32" t="s">
        <v>3571</v>
      </c>
      <c r="M32" t="str">
        <f t="shared" si="0"/>
        <v>Hope Church Islington (St Mary Magadelene)</v>
      </c>
    </row>
    <row r="33" spans="1:13" x14ac:dyDescent="0.25">
      <c r="A33" t="s">
        <v>284</v>
      </c>
      <c r="B33">
        <v>51.565328632011898</v>
      </c>
      <c r="C33">
        <v>-5.4581612348556498E-2</v>
      </c>
      <c r="L33" t="s">
        <v>378</v>
      </c>
      <c r="M33" t="str">
        <f t="shared" ref="M33:M64" si="1">VLOOKUP(L33,A:A, 1, FALSE)</f>
        <v>Our Most Holy Redeemer Clerkenwell</v>
      </c>
    </row>
    <row r="34" spans="1:13" x14ac:dyDescent="0.25">
      <c r="A34" t="s">
        <v>329</v>
      </c>
      <c r="B34">
        <v>51.5573988707743</v>
      </c>
      <c r="C34">
        <v>-5.6414005273790403E-2</v>
      </c>
      <c r="L34" t="s">
        <v>614</v>
      </c>
      <c r="M34" t="str">
        <f t="shared" si="1"/>
        <v>St Andrew Thornhill Square</v>
      </c>
    </row>
    <row r="35" spans="1:13" x14ac:dyDescent="0.25">
      <c r="A35" t="s">
        <v>293</v>
      </c>
      <c r="B35">
        <v>51.549381897708898</v>
      </c>
      <c r="C35">
        <v>-7.0435003192865706E-2</v>
      </c>
      <c r="L35" t="s">
        <v>341</v>
      </c>
      <c r="M35" t="str">
        <f t="shared" si="1"/>
        <v>St Andrew Whitehall Park</v>
      </c>
    </row>
    <row r="36" spans="1:13" x14ac:dyDescent="0.25">
      <c r="A36" t="s">
        <v>26</v>
      </c>
      <c r="B36">
        <v>51.5390852435048</v>
      </c>
      <c r="C36">
        <v>-7.3378533124923706E-2</v>
      </c>
      <c r="L36" t="s">
        <v>348</v>
      </c>
      <c r="M36" t="str">
        <f t="shared" si="1"/>
        <v>St Augustine Highbury New Park</v>
      </c>
    </row>
    <row r="37" spans="1:13" x14ac:dyDescent="0.25">
      <c r="A37" t="s">
        <v>3567</v>
      </c>
      <c r="B37">
        <v>51.540798584623502</v>
      </c>
      <c r="C37">
        <v>-6.3923746347427299E-2</v>
      </c>
      <c r="L37" t="s">
        <v>382</v>
      </c>
      <c r="M37" t="str">
        <f t="shared" si="1"/>
        <v>St Clement King Square</v>
      </c>
    </row>
    <row r="38" spans="1:13" x14ac:dyDescent="0.25">
      <c r="A38" t="s">
        <v>319</v>
      </c>
      <c r="B38">
        <v>51.534456421233799</v>
      </c>
      <c r="C38">
        <v>-8.1066269693823495E-2</v>
      </c>
      <c r="L38" t="s">
        <v>3569</v>
      </c>
      <c r="M38" t="str">
        <f t="shared" si="1"/>
        <v>St George and All Saints Tufnell Park</v>
      </c>
    </row>
    <row r="39" spans="1:13" x14ac:dyDescent="0.25">
      <c r="A39" t="s">
        <v>323</v>
      </c>
      <c r="B39">
        <v>51.530534000000003</v>
      </c>
      <c r="C39">
        <v>-8.3623584000000001E-2</v>
      </c>
      <c r="L39" t="s">
        <v>1189</v>
      </c>
      <c r="M39" t="str">
        <f t="shared" si="1"/>
        <v>St James Clerkenwell (Inspire)</v>
      </c>
    </row>
    <row r="40" spans="1:13" x14ac:dyDescent="0.25">
      <c r="A40" t="s">
        <v>443</v>
      </c>
      <c r="B40">
        <v>51.519075999999998</v>
      </c>
      <c r="C40">
        <v>-7.3683262999999999E-2</v>
      </c>
      <c r="L40" t="s">
        <v>353</v>
      </c>
      <c r="M40" t="str">
        <f t="shared" si="1"/>
        <v>St James Islington</v>
      </c>
    </row>
    <row r="41" spans="1:13" x14ac:dyDescent="0.25">
      <c r="A41" t="s">
        <v>321</v>
      </c>
      <c r="B41">
        <v>51.531064826425002</v>
      </c>
      <c r="C41">
        <v>-9.1753005981445299E-2</v>
      </c>
      <c r="L41" t="s">
        <v>3564</v>
      </c>
      <c r="M41" t="str">
        <f t="shared" si="1"/>
        <v>St John the Evangelist Upper Holloway</v>
      </c>
    </row>
    <row r="42" spans="1:13" x14ac:dyDescent="0.25">
      <c r="A42" t="s">
        <v>317</v>
      </c>
      <c r="B42">
        <v>51.526835578514699</v>
      </c>
      <c r="C42">
        <v>-7.7172517776489202E-2</v>
      </c>
      <c r="L42" t="s">
        <v>355</v>
      </c>
      <c r="M42" t="str">
        <f t="shared" si="1"/>
        <v>St Jude and St Paul Mildmay Grove</v>
      </c>
    </row>
    <row r="43" spans="1:13" x14ac:dyDescent="0.25">
      <c r="A43" t="s">
        <v>405</v>
      </c>
      <c r="B43">
        <v>51.525150034037502</v>
      </c>
      <c r="C43">
        <v>-6.7168489755466895E-2</v>
      </c>
      <c r="L43" t="s">
        <v>357</v>
      </c>
      <c r="M43" t="str">
        <f t="shared" si="1"/>
        <v>St Luke West Holloway</v>
      </c>
    </row>
    <row r="44" spans="1:13" x14ac:dyDescent="0.25">
      <c r="A44" t="s">
        <v>412</v>
      </c>
      <c r="B44">
        <v>51.530219022745698</v>
      </c>
      <c r="C44">
        <v>-6.4495056867599501E-2</v>
      </c>
      <c r="L44" t="s">
        <v>380</v>
      </c>
      <c r="M44" t="str">
        <f t="shared" si="1"/>
        <v>St Mark Clerkenwell</v>
      </c>
    </row>
    <row r="45" spans="1:13" x14ac:dyDescent="0.25">
      <c r="A45" t="s">
        <v>48</v>
      </c>
      <c r="B45">
        <v>51.5275758467278</v>
      </c>
      <c r="C45">
        <v>-5.49061596393585E-2</v>
      </c>
      <c r="L45" t="s">
        <v>3566</v>
      </c>
      <c r="M45" t="str">
        <f t="shared" si="1"/>
        <v>St Mark Tollington Park</v>
      </c>
    </row>
    <row r="46" spans="1:13" x14ac:dyDescent="0.25">
      <c r="A46" t="s">
        <v>409</v>
      </c>
      <c r="B46">
        <v>51.531837036825003</v>
      </c>
      <c r="C46">
        <v>-4.7868043184280402E-2</v>
      </c>
      <c r="L46" t="s">
        <v>361</v>
      </c>
      <c r="M46" t="str">
        <f t="shared" si="1"/>
        <v>St Mary Hornsey Rise</v>
      </c>
    </row>
    <row r="47" spans="1:13" x14ac:dyDescent="0.25">
      <c r="A47" t="s">
        <v>407</v>
      </c>
      <c r="B47">
        <v>51.531114268152002</v>
      </c>
      <c r="C47">
        <v>-3.9985030889511101E-2</v>
      </c>
      <c r="L47" t="s">
        <v>339</v>
      </c>
      <c r="M47" t="str">
        <f t="shared" si="1"/>
        <v>St Mary Islington</v>
      </c>
    </row>
    <row r="48" spans="1:13" x14ac:dyDescent="0.25">
      <c r="A48" t="s">
        <v>427</v>
      </c>
      <c r="B48">
        <v>51.533165339799098</v>
      </c>
      <c r="C48">
        <v>-3.2346099615096997E-2</v>
      </c>
      <c r="L48" t="s">
        <v>1164</v>
      </c>
      <c r="M48" t="str">
        <f t="shared" si="1"/>
        <v>St Saviour Hanley Road</v>
      </c>
    </row>
    <row r="49" spans="1:13" x14ac:dyDescent="0.25">
      <c r="A49" t="s">
        <v>3565</v>
      </c>
      <c r="B49">
        <v>51.528793808418399</v>
      </c>
      <c r="C49">
        <v>-1.6676858990480801E-2</v>
      </c>
      <c r="L49" t="s">
        <v>370</v>
      </c>
      <c r="M49" t="str">
        <f t="shared" si="1"/>
        <v>St Silas Pentonville</v>
      </c>
    </row>
    <row r="50" spans="1:13" x14ac:dyDescent="0.25">
      <c r="A50" t="s">
        <v>424</v>
      </c>
      <c r="B50">
        <v>51.520519005954199</v>
      </c>
      <c r="C50">
        <v>-2.0099205887675799E-2</v>
      </c>
      <c r="L50" t="s">
        <v>372</v>
      </c>
      <c r="M50" t="str">
        <f t="shared" si="1"/>
        <v>St Stephen Canonbury</v>
      </c>
    </row>
    <row r="51" spans="1:13" x14ac:dyDescent="0.25">
      <c r="A51" t="s">
        <v>441</v>
      </c>
      <c r="B51">
        <v>51.517570669620198</v>
      </c>
      <c r="C51">
        <v>-2.9391646385192802E-2</v>
      </c>
      <c r="L51" t="s">
        <v>374</v>
      </c>
      <c r="M51" t="str">
        <f t="shared" si="1"/>
        <v>St Thomas Finsbury Park</v>
      </c>
    </row>
    <row r="52" spans="1:13" x14ac:dyDescent="0.25">
      <c r="A52" t="s">
        <v>1175</v>
      </c>
      <c r="B52">
        <v>51.5116870528202</v>
      </c>
      <c r="C52">
        <v>-3.0262023210525499E-2</v>
      </c>
      <c r="L52" t="s">
        <v>51</v>
      </c>
      <c r="M52" t="str">
        <f t="shared" si="1"/>
        <v>The Church on the Corner</v>
      </c>
    </row>
    <row r="53" spans="1:13" x14ac:dyDescent="0.25">
      <c r="A53" t="s">
        <v>465</v>
      </c>
      <c r="B53">
        <v>51.507479886186999</v>
      </c>
      <c r="C53">
        <v>-2.4196207523345899E-2</v>
      </c>
      <c r="L53" t="s">
        <v>3570</v>
      </c>
      <c r="M53" t="str">
        <f t="shared" si="1"/>
        <v>Trinity Church Islington (meets at St Marks)</v>
      </c>
    </row>
    <row r="54" spans="1:13" x14ac:dyDescent="0.25">
      <c r="A54" t="s">
        <v>414</v>
      </c>
      <c r="B54">
        <v>51.510557353971699</v>
      </c>
      <c r="C54">
        <v>-1.16386820278369E-2</v>
      </c>
      <c r="L54" t="s">
        <v>424</v>
      </c>
      <c r="M54" t="str">
        <f t="shared" si="1"/>
        <v>All Hallows Bromley by Bow</v>
      </c>
    </row>
    <row r="55" spans="1:13" x14ac:dyDescent="0.25">
      <c r="A55" t="s">
        <v>3561</v>
      </c>
      <c r="B55">
        <v>51.516883</v>
      </c>
      <c r="C55">
        <v>-4.1691713999999998E-2</v>
      </c>
      <c r="L55" t="s">
        <v>753</v>
      </c>
      <c r="M55" t="str">
        <f t="shared" si="1"/>
        <v>All Saints Poplar</v>
      </c>
    </row>
    <row r="56" spans="1:13" x14ac:dyDescent="0.25">
      <c r="A56" t="s">
        <v>755</v>
      </c>
      <c r="B56">
        <v>51.514217405491202</v>
      </c>
      <c r="C56">
        <v>-5.61118125915527E-3</v>
      </c>
      <c r="L56" t="s">
        <v>3563</v>
      </c>
      <c r="M56" t="str">
        <f t="shared" si="1"/>
        <v>Christ Church and St John w St Luke Isle of Dogs</v>
      </c>
    </row>
    <row r="57" spans="1:13" x14ac:dyDescent="0.25">
      <c r="A57" t="s">
        <v>432</v>
      </c>
      <c r="B57">
        <v>51.510041200987303</v>
      </c>
      <c r="C57">
        <v>-5.9716701507568297E-2</v>
      </c>
      <c r="L57" t="s">
        <v>420</v>
      </c>
      <c r="M57" t="str">
        <f t="shared" si="1"/>
        <v>Christ Church Isle of Dogs</v>
      </c>
    </row>
    <row r="58" spans="1:13" x14ac:dyDescent="0.25">
      <c r="A58" t="s">
        <v>438</v>
      </c>
      <c r="B58">
        <v>51.509417577712</v>
      </c>
      <c r="C58">
        <v>-5.2039264968477501E-2</v>
      </c>
      <c r="L58" t="s">
        <v>443</v>
      </c>
      <c r="M58" t="str">
        <f t="shared" si="1"/>
        <v>Christ Church Spitalfields</v>
      </c>
    </row>
    <row r="59" spans="1:13" x14ac:dyDescent="0.25">
      <c r="A59" t="s">
        <v>434</v>
      </c>
      <c r="B59">
        <v>51.511239326369399</v>
      </c>
      <c r="C59">
        <v>-5.0697428427437498E-2</v>
      </c>
      <c r="L59" t="s">
        <v>414</v>
      </c>
      <c r="M59" t="str">
        <f t="shared" si="1"/>
        <v>Poplar Team Ministry</v>
      </c>
    </row>
    <row r="60" spans="1:13" x14ac:dyDescent="0.25">
      <c r="A60" t="s">
        <v>436</v>
      </c>
      <c r="B60">
        <v>51.506199445269402</v>
      </c>
      <c r="C60">
        <v>-5.8042992253317598E-2</v>
      </c>
      <c r="L60" t="s">
        <v>429</v>
      </c>
      <c r="M60" t="str">
        <f t="shared" si="1"/>
        <v>St Anne w St Peter Limehouse</v>
      </c>
    </row>
    <row r="61" spans="1:13" x14ac:dyDescent="0.25">
      <c r="A61" t="s">
        <v>424</v>
      </c>
      <c r="B61">
        <v>51.5205240973036</v>
      </c>
      <c r="C61">
        <v>-2.0101815462112399E-2</v>
      </c>
      <c r="L61" t="s">
        <v>1175</v>
      </c>
      <c r="M61" t="str">
        <f t="shared" si="1"/>
        <v>St Anne Limehouse</v>
      </c>
    </row>
    <row r="62" spans="1:13" x14ac:dyDescent="0.25">
      <c r="A62" t="s">
        <v>495</v>
      </c>
      <c r="B62">
        <v>51.550402523279097</v>
      </c>
      <c r="C62">
        <v>-3.4594070957249999E-2</v>
      </c>
      <c r="L62" t="s">
        <v>407</v>
      </c>
      <c r="M62" t="str">
        <f t="shared" si="1"/>
        <v>St Barnabas Bethnal Green</v>
      </c>
    </row>
    <row r="63" spans="1:13" x14ac:dyDescent="0.25">
      <c r="A63" t="s">
        <v>490</v>
      </c>
      <c r="B63">
        <v>51.555745230306499</v>
      </c>
      <c r="C63">
        <v>-4.1488478709130701E-2</v>
      </c>
      <c r="L63" t="s">
        <v>3561</v>
      </c>
      <c r="M63" t="str">
        <f t="shared" si="1"/>
        <v>St Dunstan and All Saints Stepney</v>
      </c>
    </row>
    <row r="64" spans="1:13" x14ac:dyDescent="0.25">
      <c r="A64" t="s">
        <v>298</v>
      </c>
      <c r="B64">
        <v>51.540439762070797</v>
      </c>
      <c r="C64">
        <v>-4.60749864578247E-2</v>
      </c>
      <c r="L64" t="s">
        <v>432</v>
      </c>
      <c r="M64" t="str">
        <f t="shared" si="1"/>
        <v>St George-in-the-East</v>
      </c>
    </row>
    <row r="65" spans="1:13" x14ac:dyDescent="0.25">
      <c r="A65" t="s">
        <v>331</v>
      </c>
      <c r="B65">
        <v>51.5488792489475</v>
      </c>
      <c r="C65">
        <v>-4.2668581008911098E-2</v>
      </c>
      <c r="L65" t="s">
        <v>409</v>
      </c>
      <c r="M65" t="str">
        <f t="shared" ref="M65:M77" si="2">VLOOKUP(L65,A:A, 1, FALSE)</f>
        <v>St James-the-Less Bethnal Green</v>
      </c>
    </row>
    <row r="66" spans="1:13" x14ac:dyDescent="0.25">
      <c r="A66" t="s">
        <v>300</v>
      </c>
      <c r="B66">
        <v>51.545373380460497</v>
      </c>
      <c r="C66">
        <v>-3.05570662021637E-2</v>
      </c>
      <c r="L66" t="s">
        <v>48</v>
      </c>
      <c r="M66" t="str">
        <f t="shared" si="2"/>
        <v>St John on Bethnal Green</v>
      </c>
    </row>
    <row r="67" spans="1:13" x14ac:dyDescent="0.25">
      <c r="A67" t="s">
        <v>310</v>
      </c>
      <c r="B67">
        <v>51.552504999999996</v>
      </c>
      <c r="C67">
        <v>-7.9339420999999993E-2</v>
      </c>
      <c r="L67" t="s">
        <v>1198</v>
      </c>
      <c r="M67" t="str">
        <f t="shared" si="2"/>
        <v>St Luke's Millwall (CCIoD)</v>
      </c>
    </row>
    <row r="68" spans="1:13" x14ac:dyDescent="0.25">
      <c r="A68" t="s">
        <v>3561</v>
      </c>
      <c r="B68">
        <v>51.516883</v>
      </c>
      <c r="C68">
        <v>-4.1691713999999998E-2</v>
      </c>
      <c r="L68" t="s">
        <v>3565</v>
      </c>
      <c r="M68" t="str">
        <f t="shared" si="2"/>
        <v>St Mary and Holy Trinity Bow</v>
      </c>
    </row>
    <row r="69" spans="1:13" x14ac:dyDescent="0.25">
      <c r="A69" t="s">
        <v>348</v>
      </c>
      <c r="B69">
        <v>51.565567305267699</v>
      </c>
      <c r="C69">
        <v>-0.100556015968322</v>
      </c>
      <c r="L69" t="s">
        <v>434</v>
      </c>
      <c r="M69" t="str">
        <f t="shared" si="2"/>
        <v>St Mary Cable Street</v>
      </c>
    </row>
    <row r="70" spans="1:13" x14ac:dyDescent="0.25">
      <c r="A70" t="s">
        <v>1198</v>
      </c>
      <c r="B70">
        <v>51.499764567856403</v>
      </c>
      <c r="C70">
        <v>-2.3431991046805E-2</v>
      </c>
      <c r="L70" t="s">
        <v>405</v>
      </c>
      <c r="M70" t="str">
        <f t="shared" si="2"/>
        <v>St Matthew Bethnal Green</v>
      </c>
    </row>
    <row r="71" spans="1:13" x14ac:dyDescent="0.25">
      <c r="A71" t="s">
        <v>3564</v>
      </c>
      <c r="B71">
        <v>51.565559805618904</v>
      </c>
      <c r="C71">
        <v>-0.100550651550292</v>
      </c>
      <c r="L71" t="s">
        <v>755</v>
      </c>
      <c r="M71" t="str">
        <f t="shared" si="2"/>
        <v>St Nicholas Aberfeldy</v>
      </c>
    </row>
    <row r="72" spans="1:13" x14ac:dyDescent="0.25">
      <c r="A72" t="s">
        <v>339</v>
      </c>
      <c r="B72">
        <v>51.538373999999997</v>
      </c>
      <c r="C72">
        <v>-0.10180962</v>
      </c>
      <c r="L72" t="s">
        <v>427</v>
      </c>
      <c r="M72" t="str">
        <f t="shared" si="2"/>
        <v>St Paul and St Mark Old Ford</v>
      </c>
    </row>
    <row r="73" spans="1:13" x14ac:dyDescent="0.25">
      <c r="A73" t="s">
        <v>380</v>
      </c>
      <c r="B73">
        <v>51.530051380484103</v>
      </c>
      <c r="C73">
        <v>-0.108695179224014</v>
      </c>
      <c r="L73" t="s">
        <v>441</v>
      </c>
      <c r="M73" t="str">
        <f t="shared" si="2"/>
        <v>St Paul Bow Common</v>
      </c>
    </row>
    <row r="74" spans="1:13" x14ac:dyDescent="0.25">
      <c r="A74" t="s">
        <v>374</v>
      </c>
      <c r="B74">
        <v>51.559954458674099</v>
      </c>
      <c r="C74">
        <v>-0.10392889380455</v>
      </c>
      <c r="L74" t="s">
        <v>438</v>
      </c>
      <c r="M74" t="str">
        <f t="shared" si="2"/>
        <v>St Paul Shadwell</v>
      </c>
    </row>
    <row r="75" spans="1:13" x14ac:dyDescent="0.25">
      <c r="A75" t="s">
        <v>753</v>
      </c>
      <c r="B75">
        <v>51.510534327410198</v>
      </c>
      <c r="C75">
        <v>-1.1635422706604E-2</v>
      </c>
      <c r="L75" t="s">
        <v>412</v>
      </c>
      <c r="M75" t="str">
        <f t="shared" si="2"/>
        <v>St Peter Bethnal Green</v>
      </c>
    </row>
    <row r="76" spans="1:13" x14ac:dyDescent="0.25">
      <c r="A76" t="s">
        <v>420</v>
      </c>
      <c r="B76">
        <v>51.4890609954114</v>
      </c>
      <c r="C76">
        <v>-6.2535703182220398E-3</v>
      </c>
      <c r="L76" t="s">
        <v>436</v>
      </c>
      <c r="M76" t="str">
        <f t="shared" si="2"/>
        <v>St Peter London Docks</v>
      </c>
    </row>
    <row r="77" spans="1:13" x14ac:dyDescent="0.25">
      <c r="A77" t="s">
        <v>331</v>
      </c>
      <c r="B77">
        <v>51.5488868149979</v>
      </c>
      <c r="C77">
        <v>-4.2670268235269697E-2</v>
      </c>
      <c r="L77" t="s">
        <v>465</v>
      </c>
      <c r="M77" t="str">
        <f t="shared" si="2"/>
        <v>St Peter's Barge Canary Wharf</v>
      </c>
    </row>
    <row r="78" spans="1:13" x14ac:dyDescent="0.25">
      <c r="A78" t="s">
        <v>1144</v>
      </c>
      <c r="B78">
        <v>51.548879272441603</v>
      </c>
      <c r="C78">
        <v>-4.2664557695388801E-2</v>
      </c>
    </row>
    <row r="79" spans="1:13" x14ac:dyDescent="0.25">
      <c r="A79" t="s">
        <v>17</v>
      </c>
      <c r="B79">
        <v>51.534468392717301</v>
      </c>
      <c r="C79">
        <v>-8.1064330354874106E-2</v>
      </c>
    </row>
    <row r="80" spans="1:13" x14ac:dyDescent="0.25">
      <c r="A80" t="s">
        <v>3563</v>
      </c>
      <c r="B80">
        <v>51.499136</v>
      </c>
      <c r="C80">
        <v>-2.3736838999999999E-2</v>
      </c>
      <c r="D80" t="s">
        <v>3560</v>
      </c>
    </row>
    <row r="81" spans="1:4" x14ac:dyDescent="0.25">
      <c r="A81" t="s">
        <v>429</v>
      </c>
      <c r="B81">
        <v>51.51144</v>
      </c>
      <c r="C81">
        <v>-2.8652011000000002E-2</v>
      </c>
      <c r="D81" t="s">
        <v>3560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62"/>
  <sheetViews>
    <sheetView workbookViewId="0"/>
  </sheetViews>
  <sheetFormatPr defaultRowHeight="15" x14ac:dyDescent="0.25"/>
  <sheetData>
    <row r="1" spans="1:2" x14ac:dyDescent="0.25">
      <c r="A1" t="s">
        <v>3555</v>
      </c>
      <c r="B1" t="s">
        <v>3556</v>
      </c>
    </row>
    <row r="2" spans="1:2" x14ac:dyDescent="0.25">
      <c r="A2" t="s">
        <v>77</v>
      </c>
      <c r="B2" t="s">
        <v>2404</v>
      </c>
    </row>
    <row r="3" spans="1:2" x14ac:dyDescent="0.25">
      <c r="A3" t="s">
        <v>221</v>
      </c>
      <c r="B3" t="s">
        <v>2405</v>
      </c>
    </row>
    <row r="4" spans="1:2" x14ac:dyDescent="0.25">
      <c r="A4" t="s">
        <v>879</v>
      </c>
      <c r="B4" t="s">
        <v>2406</v>
      </c>
    </row>
    <row r="5" spans="1:2" x14ac:dyDescent="0.25">
      <c r="A5" t="s">
        <v>226</v>
      </c>
      <c r="B5" t="s">
        <v>2407</v>
      </c>
    </row>
    <row r="6" spans="1:2" x14ac:dyDescent="0.25">
      <c r="A6" t="s">
        <v>1187</v>
      </c>
      <c r="B6" t="s">
        <v>2408</v>
      </c>
    </row>
    <row r="7" spans="1:2" x14ac:dyDescent="0.25">
      <c r="A7" t="s">
        <v>274</v>
      </c>
      <c r="B7" t="s">
        <v>2409</v>
      </c>
    </row>
    <row r="8" spans="1:2" x14ac:dyDescent="0.25">
      <c r="A8" t="s">
        <v>888</v>
      </c>
      <c r="B8" t="s">
        <v>2410</v>
      </c>
    </row>
    <row r="9" spans="1:2" x14ac:dyDescent="0.25">
      <c r="A9" t="s">
        <v>275</v>
      </c>
      <c r="B9" t="s">
        <v>2411</v>
      </c>
    </row>
    <row r="10" spans="1:2" x14ac:dyDescent="0.25">
      <c r="A10" t="s">
        <v>226</v>
      </c>
      <c r="B10" t="s">
        <v>2412</v>
      </c>
    </row>
    <row r="11" spans="1:2" x14ac:dyDescent="0.25">
      <c r="A11" t="s">
        <v>220</v>
      </c>
      <c r="B11" t="s">
        <v>2413</v>
      </c>
    </row>
    <row r="12" spans="1:2" x14ac:dyDescent="0.25">
      <c r="A12" t="s">
        <v>220</v>
      </c>
      <c r="B12" t="s">
        <v>2414</v>
      </c>
    </row>
    <row r="13" spans="1:2" x14ac:dyDescent="0.25">
      <c r="A13" t="s">
        <v>229</v>
      </c>
      <c r="B13" t="s">
        <v>2415</v>
      </c>
    </row>
    <row r="14" spans="1:2" x14ac:dyDescent="0.25">
      <c r="A14" t="s">
        <v>273</v>
      </c>
      <c r="B14" t="s">
        <v>2416</v>
      </c>
    </row>
    <row r="15" spans="1:2" x14ac:dyDescent="0.25">
      <c r="A15" t="s">
        <v>270</v>
      </c>
      <c r="B15" t="s">
        <v>2417</v>
      </c>
    </row>
    <row r="16" spans="1:2" x14ac:dyDescent="0.25">
      <c r="A16" t="s">
        <v>908</v>
      </c>
      <c r="B16" t="s">
        <v>2418</v>
      </c>
    </row>
    <row r="17" spans="1:2" x14ac:dyDescent="0.25">
      <c r="A17" t="s">
        <v>227</v>
      </c>
      <c r="B17" t="s">
        <v>2419</v>
      </c>
    </row>
    <row r="18" spans="1:2" x14ac:dyDescent="0.25">
      <c r="A18" t="s">
        <v>215</v>
      </c>
      <c r="B18" t="s">
        <v>2420</v>
      </c>
    </row>
    <row r="19" spans="1:2" x14ac:dyDescent="0.25">
      <c r="A19" t="s">
        <v>228</v>
      </c>
      <c r="B19" t="s">
        <v>2421</v>
      </c>
    </row>
    <row r="20" spans="1:2" x14ac:dyDescent="0.25">
      <c r="A20" t="s">
        <v>218</v>
      </c>
      <c r="B20" t="s">
        <v>2422</v>
      </c>
    </row>
    <row r="21" spans="1:2" x14ac:dyDescent="0.25">
      <c r="A21" t="s">
        <v>222</v>
      </c>
      <c r="B21" t="s">
        <v>2423</v>
      </c>
    </row>
    <row r="22" spans="1:2" x14ac:dyDescent="0.25">
      <c r="A22" t="s">
        <v>230</v>
      </c>
      <c r="B22" t="s">
        <v>2424</v>
      </c>
    </row>
    <row r="23" spans="1:2" x14ac:dyDescent="0.25">
      <c r="A23" t="s">
        <v>216</v>
      </c>
      <c r="B23" t="s">
        <v>2425</v>
      </c>
    </row>
    <row r="24" spans="1:2" x14ac:dyDescent="0.25">
      <c r="A24" t="s">
        <v>232</v>
      </c>
      <c r="B24" t="s">
        <v>2426</v>
      </c>
    </row>
    <row r="25" spans="1:2" x14ac:dyDescent="0.25">
      <c r="A25" t="s">
        <v>224</v>
      </c>
      <c r="B25" t="s">
        <v>2427</v>
      </c>
    </row>
    <row r="26" spans="1:2" x14ac:dyDescent="0.25">
      <c r="A26" t="s">
        <v>276</v>
      </c>
      <c r="B26" t="s">
        <v>2428</v>
      </c>
    </row>
    <row r="27" spans="1:2" x14ac:dyDescent="0.25">
      <c r="A27" t="s">
        <v>231</v>
      </c>
      <c r="B27" t="s">
        <v>2429</v>
      </c>
    </row>
    <row r="28" spans="1:2" x14ac:dyDescent="0.25">
      <c r="A28" t="s">
        <v>944</v>
      </c>
      <c r="B28" t="s">
        <v>2430</v>
      </c>
    </row>
    <row r="29" spans="1:2" x14ac:dyDescent="0.25">
      <c r="A29" t="s">
        <v>219</v>
      </c>
      <c r="B29" t="s">
        <v>2431</v>
      </c>
    </row>
    <row r="30" spans="1:2" x14ac:dyDescent="0.25">
      <c r="A30" t="s">
        <v>217</v>
      </c>
      <c r="B30" t="s">
        <v>2432</v>
      </c>
    </row>
    <row r="31" spans="1:2" x14ac:dyDescent="0.25">
      <c r="A31" t="s">
        <v>1197</v>
      </c>
      <c r="B31" t="s">
        <v>2433</v>
      </c>
    </row>
    <row r="32" spans="1:2" x14ac:dyDescent="0.25">
      <c r="A32" t="s">
        <v>240</v>
      </c>
      <c r="B32" t="s">
        <v>2434</v>
      </c>
    </row>
    <row r="33" spans="1:2" x14ac:dyDescent="0.25">
      <c r="A33" t="s">
        <v>249</v>
      </c>
      <c r="B33" t="s">
        <v>2435</v>
      </c>
    </row>
    <row r="34" spans="1:2" x14ac:dyDescent="0.25">
      <c r="A34" t="s">
        <v>243</v>
      </c>
      <c r="B34" t="s">
        <v>2436</v>
      </c>
    </row>
    <row r="35" spans="1:2" x14ac:dyDescent="0.25">
      <c r="A35" t="s">
        <v>459</v>
      </c>
      <c r="B35" t="s">
        <v>2437</v>
      </c>
    </row>
    <row r="36" spans="1:2" x14ac:dyDescent="0.25">
      <c r="A36" t="s">
        <v>233</v>
      </c>
      <c r="B36" t="s">
        <v>2438</v>
      </c>
    </row>
    <row r="37" spans="1:2" x14ac:dyDescent="0.25">
      <c r="A37" t="s">
        <v>245</v>
      </c>
      <c r="B37" t="s">
        <v>2439</v>
      </c>
    </row>
    <row r="38" spans="1:2" x14ac:dyDescent="0.25">
      <c r="A38" t="s">
        <v>77</v>
      </c>
      <c r="B38" t="s">
        <v>2440</v>
      </c>
    </row>
    <row r="39" spans="1:2" x14ac:dyDescent="0.25">
      <c r="A39" t="s">
        <v>241</v>
      </c>
      <c r="B39" t="s">
        <v>2441</v>
      </c>
    </row>
    <row r="40" spans="1:2" x14ac:dyDescent="0.25">
      <c r="A40" t="s">
        <v>238</v>
      </c>
      <c r="B40" t="s">
        <v>2441</v>
      </c>
    </row>
    <row r="41" spans="1:2" x14ac:dyDescent="0.25">
      <c r="A41" t="s">
        <v>250</v>
      </c>
      <c r="B41" t="s">
        <v>2442</v>
      </c>
    </row>
    <row r="42" spans="1:2" x14ac:dyDescent="0.25">
      <c r="A42" t="s">
        <v>236</v>
      </c>
      <c r="B42" t="s">
        <v>2443</v>
      </c>
    </row>
    <row r="43" spans="1:2" x14ac:dyDescent="0.25">
      <c r="A43" t="s">
        <v>267</v>
      </c>
      <c r="B43" t="s">
        <v>2444</v>
      </c>
    </row>
    <row r="44" spans="1:2" x14ac:dyDescent="0.25">
      <c r="A44" t="s">
        <v>277</v>
      </c>
      <c r="B44" t="s">
        <v>2445</v>
      </c>
    </row>
    <row r="45" spans="1:2" x14ac:dyDescent="0.25">
      <c r="A45" t="s">
        <v>280</v>
      </c>
      <c r="B45" t="s">
        <v>2446</v>
      </c>
    </row>
    <row r="46" spans="1:2" x14ac:dyDescent="0.25">
      <c r="A46" t="s">
        <v>242</v>
      </c>
      <c r="B46" t="s">
        <v>2447</v>
      </c>
    </row>
    <row r="47" spans="1:2" x14ac:dyDescent="0.25">
      <c r="A47" t="s">
        <v>237</v>
      </c>
      <c r="B47" t="s">
        <v>2448</v>
      </c>
    </row>
    <row r="48" spans="1:2" x14ac:dyDescent="0.25">
      <c r="A48" t="s">
        <v>248</v>
      </c>
      <c r="B48" t="s">
        <v>2449</v>
      </c>
    </row>
    <row r="49" spans="1:2" x14ac:dyDescent="0.25">
      <c r="A49" t="s">
        <v>244</v>
      </c>
      <c r="B49" t="s">
        <v>2450</v>
      </c>
    </row>
    <row r="50" spans="1:2" x14ac:dyDescent="0.25">
      <c r="A50" t="s">
        <v>246</v>
      </c>
      <c r="B50" t="s">
        <v>2451</v>
      </c>
    </row>
    <row r="51" spans="1:2" x14ac:dyDescent="0.25">
      <c r="A51" t="s">
        <v>77</v>
      </c>
      <c r="B51" t="s">
        <v>2452</v>
      </c>
    </row>
    <row r="52" spans="1:2" x14ac:dyDescent="0.25">
      <c r="A52" t="s">
        <v>460</v>
      </c>
      <c r="B52" t="s">
        <v>2453</v>
      </c>
    </row>
    <row r="53" spans="1:2" x14ac:dyDescent="0.25">
      <c r="A53" t="s">
        <v>247</v>
      </c>
      <c r="B53" t="s">
        <v>2454</v>
      </c>
    </row>
    <row r="54" spans="1:2" x14ac:dyDescent="0.25">
      <c r="A54" t="s">
        <v>235</v>
      </c>
      <c r="B54" t="s">
        <v>2455</v>
      </c>
    </row>
    <row r="55" spans="1:2" x14ac:dyDescent="0.25">
      <c r="A55" t="s">
        <v>239</v>
      </c>
      <c r="B55" t="s">
        <v>2456</v>
      </c>
    </row>
    <row r="56" spans="1:2" x14ac:dyDescent="0.25">
      <c r="A56" t="s">
        <v>77</v>
      </c>
      <c r="B56" t="s">
        <v>2457</v>
      </c>
    </row>
    <row r="57" spans="1:2" x14ac:dyDescent="0.25">
      <c r="A57" t="s">
        <v>77</v>
      </c>
      <c r="B57" t="s">
        <v>2458</v>
      </c>
    </row>
    <row r="58" spans="1:2" x14ac:dyDescent="0.25">
      <c r="A58" t="s">
        <v>234</v>
      </c>
      <c r="B58" t="s">
        <v>2459</v>
      </c>
    </row>
    <row r="59" spans="1:2" x14ac:dyDescent="0.25">
      <c r="A59" t="s">
        <v>77</v>
      </c>
      <c r="B59" t="s">
        <v>2460</v>
      </c>
    </row>
    <row r="60" spans="1:2" x14ac:dyDescent="0.25">
      <c r="A60" t="s">
        <v>237</v>
      </c>
      <c r="B60" t="s">
        <v>2461</v>
      </c>
    </row>
    <row r="61" spans="1:2" x14ac:dyDescent="0.25">
      <c r="A61" t="s">
        <v>1030</v>
      </c>
      <c r="B61" t="s">
        <v>2462</v>
      </c>
    </row>
    <row r="62" spans="1:2" x14ac:dyDescent="0.25">
      <c r="A62" t="s">
        <v>260</v>
      </c>
      <c r="B62" t="s">
        <v>2463</v>
      </c>
    </row>
    <row r="63" spans="1:2" x14ac:dyDescent="0.25">
      <c r="A63" t="s">
        <v>256</v>
      </c>
      <c r="B63" t="s">
        <v>2464</v>
      </c>
    </row>
    <row r="64" spans="1:2" x14ac:dyDescent="0.25">
      <c r="A64" t="s">
        <v>255</v>
      </c>
      <c r="B64" t="s">
        <v>2465</v>
      </c>
    </row>
    <row r="65" spans="1:2" x14ac:dyDescent="0.25">
      <c r="A65" t="s">
        <v>263</v>
      </c>
      <c r="B65" t="s">
        <v>2466</v>
      </c>
    </row>
    <row r="66" spans="1:2" x14ac:dyDescent="0.25">
      <c r="A66" t="s">
        <v>77</v>
      </c>
      <c r="B66" t="s">
        <v>2467</v>
      </c>
    </row>
    <row r="67" spans="1:2" x14ac:dyDescent="0.25">
      <c r="A67" t="s">
        <v>77</v>
      </c>
      <c r="B67" t="s">
        <v>2468</v>
      </c>
    </row>
    <row r="68" spans="1:2" x14ac:dyDescent="0.25">
      <c r="A68" t="s">
        <v>260</v>
      </c>
      <c r="B68" t="s">
        <v>2469</v>
      </c>
    </row>
    <row r="69" spans="1:2" x14ac:dyDescent="0.25">
      <c r="A69" t="s">
        <v>257</v>
      </c>
      <c r="B69" t="s">
        <v>2470</v>
      </c>
    </row>
    <row r="70" spans="1:2" x14ac:dyDescent="0.25">
      <c r="A70" t="s">
        <v>1052</v>
      </c>
      <c r="B70" t="s">
        <v>2471</v>
      </c>
    </row>
    <row r="71" spans="1:2" x14ac:dyDescent="0.25">
      <c r="A71" t="s">
        <v>268</v>
      </c>
      <c r="B71" t="s">
        <v>2472</v>
      </c>
    </row>
    <row r="72" spans="1:2" x14ac:dyDescent="0.25">
      <c r="A72" t="s">
        <v>266</v>
      </c>
      <c r="B72" t="s">
        <v>2473</v>
      </c>
    </row>
    <row r="73" spans="1:2" x14ac:dyDescent="0.25">
      <c r="A73" t="s">
        <v>1059</v>
      </c>
      <c r="B73" t="s">
        <v>2474</v>
      </c>
    </row>
    <row r="74" spans="1:2" x14ac:dyDescent="0.25">
      <c r="A74" t="s">
        <v>251</v>
      </c>
      <c r="B74" t="s">
        <v>2475</v>
      </c>
    </row>
    <row r="75" spans="1:2" x14ac:dyDescent="0.25">
      <c r="A75" t="s">
        <v>279</v>
      </c>
      <c r="B75" t="s">
        <v>2476</v>
      </c>
    </row>
    <row r="76" spans="1:2" x14ac:dyDescent="0.25">
      <c r="A76" t="s">
        <v>256</v>
      </c>
      <c r="B76" t="s">
        <v>2477</v>
      </c>
    </row>
    <row r="77" spans="1:2" x14ac:dyDescent="0.25">
      <c r="A77" t="s">
        <v>77</v>
      </c>
      <c r="B77" t="s">
        <v>2478</v>
      </c>
    </row>
    <row r="78" spans="1:2" x14ac:dyDescent="0.25">
      <c r="A78" t="s">
        <v>278</v>
      </c>
      <c r="B78" t="s">
        <v>2479</v>
      </c>
    </row>
    <row r="79" spans="1:2" x14ac:dyDescent="0.25">
      <c r="A79" t="s">
        <v>264</v>
      </c>
      <c r="B79" t="s">
        <v>2480</v>
      </c>
    </row>
    <row r="80" spans="1:2" x14ac:dyDescent="0.25">
      <c r="A80" t="s">
        <v>269</v>
      </c>
      <c r="B80" t="s">
        <v>2480</v>
      </c>
    </row>
    <row r="81" spans="1:2" x14ac:dyDescent="0.25">
      <c r="A81" t="s">
        <v>261</v>
      </c>
      <c r="B81" t="s">
        <v>2481</v>
      </c>
    </row>
    <row r="82" spans="1:2" x14ac:dyDescent="0.25">
      <c r="A82" t="s">
        <v>259</v>
      </c>
      <c r="B82" t="s">
        <v>2482</v>
      </c>
    </row>
    <row r="83" spans="1:2" x14ac:dyDescent="0.25">
      <c r="A83" t="s">
        <v>253</v>
      </c>
      <c r="B83" t="s">
        <v>2483</v>
      </c>
    </row>
    <row r="84" spans="1:2" x14ac:dyDescent="0.25">
      <c r="A84" t="s">
        <v>262</v>
      </c>
      <c r="B84" t="s">
        <v>2484</v>
      </c>
    </row>
    <row r="85" spans="1:2" x14ac:dyDescent="0.25">
      <c r="A85" t="s">
        <v>252</v>
      </c>
      <c r="B85" t="s">
        <v>2485</v>
      </c>
    </row>
    <row r="86" spans="1:2" x14ac:dyDescent="0.25">
      <c r="A86" t="s">
        <v>258</v>
      </c>
      <c r="B86" t="s">
        <v>2486</v>
      </c>
    </row>
    <row r="87" spans="1:2" x14ac:dyDescent="0.25">
      <c r="A87" t="s">
        <v>1131</v>
      </c>
      <c r="B87" t="s">
        <v>2487</v>
      </c>
    </row>
    <row r="88" spans="1:2" x14ac:dyDescent="0.25">
      <c r="A88" t="s">
        <v>1194</v>
      </c>
      <c r="B88" t="s">
        <v>2488</v>
      </c>
    </row>
    <row r="89" spans="1:2" x14ac:dyDescent="0.25">
      <c r="B89" t="s">
        <v>2489</v>
      </c>
    </row>
    <row r="90" spans="1:2" x14ac:dyDescent="0.25">
      <c r="B90" t="s">
        <v>2490</v>
      </c>
    </row>
    <row r="91" spans="1:2" x14ac:dyDescent="0.25">
      <c r="B91" t="s">
        <v>2491</v>
      </c>
    </row>
    <row r="92" spans="1:2" x14ac:dyDescent="0.25">
      <c r="B92" t="s">
        <v>2492</v>
      </c>
    </row>
    <row r="93" spans="1:2" x14ac:dyDescent="0.25">
      <c r="B93" t="s">
        <v>2493</v>
      </c>
    </row>
    <row r="94" spans="1:2" x14ac:dyDescent="0.25">
      <c r="B94" t="s">
        <v>2494</v>
      </c>
    </row>
    <row r="95" spans="1:2" x14ac:dyDescent="0.25">
      <c r="B95" t="s">
        <v>2495</v>
      </c>
    </row>
    <row r="96" spans="1:2" x14ac:dyDescent="0.25">
      <c r="B96" t="s">
        <v>2496</v>
      </c>
    </row>
    <row r="97" spans="2:2" x14ac:dyDescent="0.25">
      <c r="B97" t="s">
        <v>2497</v>
      </c>
    </row>
    <row r="98" spans="2:2" x14ac:dyDescent="0.25">
      <c r="B98" t="s">
        <v>2498</v>
      </c>
    </row>
    <row r="99" spans="2:2" x14ac:dyDescent="0.25">
      <c r="B99" t="s">
        <v>2499</v>
      </c>
    </row>
    <row r="100" spans="2:2" x14ac:dyDescent="0.25">
      <c r="B100" t="s">
        <v>2500</v>
      </c>
    </row>
    <row r="101" spans="2:2" x14ac:dyDescent="0.25">
      <c r="B101" t="s">
        <v>2501</v>
      </c>
    </row>
    <row r="102" spans="2:2" x14ac:dyDescent="0.25">
      <c r="B102" t="s">
        <v>2502</v>
      </c>
    </row>
    <row r="103" spans="2:2" x14ac:dyDescent="0.25">
      <c r="B103" t="s">
        <v>2503</v>
      </c>
    </row>
    <row r="104" spans="2:2" x14ac:dyDescent="0.25">
      <c r="B104" t="s">
        <v>2504</v>
      </c>
    </row>
    <row r="105" spans="2:2" x14ac:dyDescent="0.25">
      <c r="B105" t="s">
        <v>2505</v>
      </c>
    </row>
    <row r="106" spans="2:2" x14ac:dyDescent="0.25">
      <c r="B106" t="s">
        <v>2506</v>
      </c>
    </row>
    <row r="107" spans="2:2" x14ac:dyDescent="0.25">
      <c r="B107" t="s">
        <v>2507</v>
      </c>
    </row>
    <row r="108" spans="2:2" x14ac:dyDescent="0.25">
      <c r="B108" t="s">
        <v>2508</v>
      </c>
    </row>
    <row r="109" spans="2:2" x14ac:dyDescent="0.25">
      <c r="B109" t="s">
        <v>2509</v>
      </c>
    </row>
    <row r="110" spans="2:2" x14ac:dyDescent="0.25">
      <c r="B110" t="s">
        <v>2510</v>
      </c>
    </row>
    <row r="111" spans="2:2" x14ac:dyDescent="0.25">
      <c r="B111" t="s">
        <v>2431</v>
      </c>
    </row>
    <row r="112" spans="2:2" x14ac:dyDescent="0.25">
      <c r="B112" t="s">
        <v>2511</v>
      </c>
    </row>
    <row r="113" spans="2:2" x14ac:dyDescent="0.25">
      <c r="B113" t="s">
        <v>2512</v>
      </c>
    </row>
    <row r="114" spans="2:2" x14ac:dyDescent="0.25">
      <c r="B114" t="s">
        <v>2513</v>
      </c>
    </row>
    <row r="115" spans="2:2" x14ac:dyDescent="0.25">
      <c r="B115" t="s">
        <v>2514</v>
      </c>
    </row>
    <row r="116" spans="2:2" x14ac:dyDescent="0.25">
      <c r="B116" t="s">
        <v>2515</v>
      </c>
    </row>
    <row r="117" spans="2:2" x14ac:dyDescent="0.25">
      <c r="B117" t="s">
        <v>2516</v>
      </c>
    </row>
    <row r="118" spans="2:2" x14ac:dyDescent="0.25">
      <c r="B118" t="s">
        <v>2517</v>
      </c>
    </row>
    <row r="119" spans="2:2" x14ac:dyDescent="0.25">
      <c r="B119" t="s">
        <v>2518</v>
      </c>
    </row>
    <row r="120" spans="2:2" x14ac:dyDescent="0.25">
      <c r="B120" t="s">
        <v>2519</v>
      </c>
    </row>
    <row r="121" spans="2:2" x14ac:dyDescent="0.25">
      <c r="B121" t="s">
        <v>2520</v>
      </c>
    </row>
    <row r="122" spans="2:2" x14ac:dyDescent="0.25">
      <c r="B122" t="s">
        <v>2521</v>
      </c>
    </row>
    <row r="123" spans="2:2" x14ac:dyDescent="0.25">
      <c r="B123" t="s">
        <v>2522</v>
      </c>
    </row>
    <row r="124" spans="2:2" x14ac:dyDescent="0.25">
      <c r="B124" t="s">
        <v>2523</v>
      </c>
    </row>
    <row r="125" spans="2:2" x14ac:dyDescent="0.25">
      <c r="B125" t="s">
        <v>2524</v>
      </c>
    </row>
    <row r="126" spans="2:2" x14ac:dyDescent="0.25">
      <c r="B126" t="s">
        <v>2525</v>
      </c>
    </row>
    <row r="127" spans="2:2" x14ac:dyDescent="0.25">
      <c r="B127" t="s">
        <v>2526</v>
      </c>
    </row>
    <row r="128" spans="2:2" x14ac:dyDescent="0.25">
      <c r="B128" t="s">
        <v>2527</v>
      </c>
    </row>
    <row r="129" spans="2:2" x14ac:dyDescent="0.25">
      <c r="B129" t="s">
        <v>2528</v>
      </c>
    </row>
    <row r="130" spans="2:2" x14ac:dyDescent="0.25">
      <c r="B130" t="s">
        <v>2529</v>
      </c>
    </row>
    <row r="131" spans="2:2" x14ac:dyDescent="0.25">
      <c r="B131" t="s">
        <v>2529</v>
      </c>
    </row>
    <row r="132" spans="2:2" x14ac:dyDescent="0.25">
      <c r="B132" t="s">
        <v>2529</v>
      </c>
    </row>
    <row r="133" spans="2:2" x14ac:dyDescent="0.25">
      <c r="B133" t="s">
        <v>2529</v>
      </c>
    </row>
    <row r="134" spans="2:2" x14ac:dyDescent="0.25">
      <c r="B134" t="s">
        <v>2530</v>
      </c>
    </row>
    <row r="135" spans="2:2" x14ac:dyDescent="0.25">
      <c r="B135" t="s">
        <v>2531</v>
      </c>
    </row>
    <row r="136" spans="2:2" x14ac:dyDescent="0.25">
      <c r="B136" t="s">
        <v>2532</v>
      </c>
    </row>
    <row r="137" spans="2:2" x14ac:dyDescent="0.25">
      <c r="B137" t="s">
        <v>2533</v>
      </c>
    </row>
    <row r="138" spans="2:2" x14ac:dyDescent="0.25">
      <c r="B138" t="s">
        <v>2534</v>
      </c>
    </row>
    <row r="139" spans="2:2" x14ac:dyDescent="0.25">
      <c r="B139" t="s">
        <v>2535</v>
      </c>
    </row>
    <row r="140" spans="2:2" x14ac:dyDescent="0.25">
      <c r="B140" t="s">
        <v>2536</v>
      </c>
    </row>
    <row r="141" spans="2:2" x14ac:dyDescent="0.25">
      <c r="B141" t="s">
        <v>2537</v>
      </c>
    </row>
    <row r="142" spans="2:2" x14ac:dyDescent="0.25">
      <c r="B142" t="s">
        <v>2538</v>
      </c>
    </row>
    <row r="143" spans="2:2" x14ac:dyDescent="0.25">
      <c r="B143" t="s">
        <v>2539</v>
      </c>
    </row>
    <row r="144" spans="2:2" x14ac:dyDescent="0.25">
      <c r="B144" t="s">
        <v>2540</v>
      </c>
    </row>
    <row r="145" spans="2:2" x14ac:dyDescent="0.25">
      <c r="B145" t="s">
        <v>2541</v>
      </c>
    </row>
    <row r="146" spans="2:2" x14ac:dyDescent="0.25">
      <c r="B146" t="s">
        <v>2542</v>
      </c>
    </row>
    <row r="147" spans="2:2" x14ac:dyDescent="0.25">
      <c r="B147" t="s">
        <v>2543</v>
      </c>
    </row>
    <row r="148" spans="2:2" x14ac:dyDescent="0.25">
      <c r="B148" t="s">
        <v>2544</v>
      </c>
    </row>
    <row r="149" spans="2:2" x14ac:dyDescent="0.25">
      <c r="B149" t="s">
        <v>2545</v>
      </c>
    </row>
    <row r="150" spans="2:2" x14ac:dyDescent="0.25">
      <c r="B150" t="s">
        <v>2546</v>
      </c>
    </row>
    <row r="151" spans="2:2" x14ac:dyDescent="0.25">
      <c r="B151" t="s">
        <v>2547</v>
      </c>
    </row>
    <row r="152" spans="2:2" x14ac:dyDescent="0.25">
      <c r="B152" t="s">
        <v>2548</v>
      </c>
    </row>
    <row r="153" spans="2:2" x14ac:dyDescent="0.25">
      <c r="B153" t="s">
        <v>2549</v>
      </c>
    </row>
    <row r="154" spans="2:2" x14ac:dyDescent="0.25">
      <c r="B154" t="s">
        <v>2550</v>
      </c>
    </row>
    <row r="155" spans="2:2" x14ac:dyDescent="0.25">
      <c r="B155" t="s">
        <v>2551</v>
      </c>
    </row>
    <row r="156" spans="2:2" x14ac:dyDescent="0.25">
      <c r="B156" t="s">
        <v>2552</v>
      </c>
    </row>
    <row r="157" spans="2:2" x14ac:dyDescent="0.25">
      <c r="B157" t="s">
        <v>2553</v>
      </c>
    </row>
    <row r="158" spans="2:2" x14ac:dyDescent="0.25">
      <c r="B158" t="s">
        <v>2554</v>
      </c>
    </row>
    <row r="159" spans="2:2" x14ac:dyDescent="0.25">
      <c r="B159" t="s">
        <v>215</v>
      </c>
    </row>
    <row r="160" spans="2:2" x14ac:dyDescent="0.25">
      <c r="B160" t="s">
        <v>2555</v>
      </c>
    </row>
    <row r="161" spans="2:2" x14ac:dyDescent="0.25">
      <c r="B161" t="s">
        <v>2556</v>
      </c>
    </row>
    <row r="162" spans="2:2" x14ac:dyDescent="0.25">
      <c r="B162" t="s">
        <v>2557</v>
      </c>
    </row>
    <row r="163" spans="2:2" x14ac:dyDescent="0.25">
      <c r="B163" t="s">
        <v>2558</v>
      </c>
    </row>
    <row r="164" spans="2:2" x14ac:dyDescent="0.25">
      <c r="B164" t="s">
        <v>2559</v>
      </c>
    </row>
    <row r="165" spans="2:2" x14ac:dyDescent="0.25">
      <c r="B165" t="s">
        <v>2560</v>
      </c>
    </row>
    <row r="166" spans="2:2" x14ac:dyDescent="0.25">
      <c r="B166" t="s">
        <v>2561</v>
      </c>
    </row>
    <row r="167" spans="2:2" x14ac:dyDescent="0.25">
      <c r="B167" t="s">
        <v>2562</v>
      </c>
    </row>
    <row r="168" spans="2:2" x14ac:dyDescent="0.25">
      <c r="B168" t="s">
        <v>2563</v>
      </c>
    </row>
    <row r="169" spans="2:2" x14ac:dyDescent="0.25">
      <c r="B169" t="s">
        <v>2564</v>
      </c>
    </row>
    <row r="170" spans="2:2" x14ac:dyDescent="0.25">
      <c r="B170" t="s">
        <v>2565</v>
      </c>
    </row>
    <row r="171" spans="2:2" x14ac:dyDescent="0.25">
      <c r="B171" t="s">
        <v>2566</v>
      </c>
    </row>
    <row r="172" spans="2:2" x14ac:dyDescent="0.25">
      <c r="B172" t="s">
        <v>2567</v>
      </c>
    </row>
    <row r="173" spans="2:2" x14ac:dyDescent="0.25">
      <c r="B173" t="s">
        <v>2568</v>
      </c>
    </row>
    <row r="174" spans="2:2" x14ac:dyDescent="0.25">
      <c r="B174" t="s">
        <v>2569</v>
      </c>
    </row>
    <row r="175" spans="2:2" x14ac:dyDescent="0.25">
      <c r="B175" t="s">
        <v>2570</v>
      </c>
    </row>
    <row r="176" spans="2:2" x14ac:dyDescent="0.25">
      <c r="B176" t="s">
        <v>2571</v>
      </c>
    </row>
    <row r="177" spans="2:2" x14ac:dyDescent="0.25">
      <c r="B177" t="s">
        <v>2572</v>
      </c>
    </row>
    <row r="178" spans="2:2" x14ac:dyDescent="0.25">
      <c r="B178" t="s">
        <v>2573</v>
      </c>
    </row>
    <row r="179" spans="2:2" x14ac:dyDescent="0.25">
      <c r="B179" t="s">
        <v>2574</v>
      </c>
    </row>
    <row r="180" spans="2:2" x14ac:dyDescent="0.25">
      <c r="B180" t="s">
        <v>2575</v>
      </c>
    </row>
    <row r="181" spans="2:2" x14ac:dyDescent="0.25">
      <c r="B181" t="s">
        <v>2576</v>
      </c>
    </row>
    <row r="182" spans="2:2" x14ac:dyDescent="0.25">
      <c r="B182" t="s">
        <v>2577</v>
      </c>
    </row>
    <row r="183" spans="2:2" x14ac:dyDescent="0.25">
      <c r="B183" t="s">
        <v>2578</v>
      </c>
    </row>
    <row r="184" spans="2:2" x14ac:dyDescent="0.25">
      <c r="B184" t="s">
        <v>2579</v>
      </c>
    </row>
    <row r="185" spans="2:2" x14ac:dyDescent="0.25">
      <c r="B185" t="s">
        <v>2580</v>
      </c>
    </row>
    <row r="186" spans="2:2" x14ac:dyDescent="0.25">
      <c r="B186" t="s">
        <v>2581</v>
      </c>
    </row>
    <row r="187" spans="2:2" x14ac:dyDescent="0.25">
      <c r="B187" t="s">
        <v>2582</v>
      </c>
    </row>
    <row r="188" spans="2:2" x14ac:dyDescent="0.25">
      <c r="B188" t="s">
        <v>2583</v>
      </c>
    </row>
    <row r="189" spans="2:2" x14ac:dyDescent="0.25">
      <c r="B189" t="s">
        <v>2584</v>
      </c>
    </row>
    <row r="190" spans="2:2" x14ac:dyDescent="0.25">
      <c r="B190" t="s">
        <v>2585</v>
      </c>
    </row>
    <row r="191" spans="2:2" x14ac:dyDescent="0.25">
      <c r="B191" t="s">
        <v>2586</v>
      </c>
    </row>
    <row r="192" spans="2:2" x14ac:dyDescent="0.25">
      <c r="B192" t="s">
        <v>2587</v>
      </c>
    </row>
    <row r="193" spans="2:2" x14ac:dyDescent="0.25">
      <c r="B193" t="s">
        <v>2588</v>
      </c>
    </row>
    <row r="194" spans="2:2" x14ac:dyDescent="0.25">
      <c r="B194" t="s">
        <v>2544</v>
      </c>
    </row>
    <row r="195" spans="2:2" x14ac:dyDescent="0.25">
      <c r="B195" t="s">
        <v>2589</v>
      </c>
    </row>
    <row r="196" spans="2:2" x14ac:dyDescent="0.25">
      <c r="B196" t="s">
        <v>2590</v>
      </c>
    </row>
    <row r="197" spans="2:2" x14ac:dyDescent="0.25">
      <c r="B197" t="s">
        <v>2591</v>
      </c>
    </row>
    <row r="198" spans="2:2" x14ac:dyDescent="0.25">
      <c r="B198" t="s">
        <v>2592</v>
      </c>
    </row>
    <row r="199" spans="2:2" x14ac:dyDescent="0.25">
      <c r="B199" t="s">
        <v>2593</v>
      </c>
    </row>
    <row r="200" spans="2:2" x14ac:dyDescent="0.25">
      <c r="B200" t="s">
        <v>2594</v>
      </c>
    </row>
    <row r="201" spans="2:2" x14ac:dyDescent="0.25">
      <c r="B201" t="s">
        <v>2529</v>
      </c>
    </row>
    <row r="202" spans="2:2" x14ac:dyDescent="0.25">
      <c r="B202" t="s">
        <v>2595</v>
      </c>
    </row>
    <row r="203" spans="2:2" x14ac:dyDescent="0.25">
      <c r="B203" t="s">
        <v>2596</v>
      </c>
    </row>
    <row r="204" spans="2:2" x14ac:dyDescent="0.25">
      <c r="B204" t="s">
        <v>2597</v>
      </c>
    </row>
    <row r="205" spans="2:2" x14ac:dyDescent="0.25">
      <c r="B205" t="s">
        <v>2598</v>
      </c>
    </row>
    <row r="206" spans="2:2" x14ac:dyDescent="0.25">
      <c r="B206" t="s">
        <v>2599</v>
      </c>
    </row>
    <row r="207" spans="2:2" x14ac:dyDescent="0.25">
      <c r="B207" t="s">
        <v>2600</v>
      </c>
    </row>
    <row r="208" spans="2:2" x14ac:dyDescent="0.25">
      <c r="B208" t="s">
        <v>2601</v>
      </c>
    </row>
    <row r="209" spans="2:2" x14ac:dyDescent="0.25">
      <c r="B209" t="s">
        <v>2602</v>
      </c>
    </row>
    <row r="210" spans="2:2" x14ac:dyDescent="0.25">
      <c r="B210" t="s">
        <v>2603</v>
      </c>
    </row>
    <row r="211" spans="2:2" x14ac:dyDescent="0.25">
      <c r="B211" t="s">
        <v>2604</v>
      </c>
    </row>
    <row r="212" spans="2:2" x14ac:dyDescent="0.25">
      <c r="B212" t="s">
        <v>2605</v>
      </c>
    </row>
    <row r="213" spans="2:2" x14ac:dyDescent="0.25">
      <c r="B213" t="s">
        <v>2606</v>
      </c>
    </row>
    <row r="214" spans="2:2" x14ac:dyDescent="0.25">
      <c r="B214" t="s">
        <v>2607</v>
      </c>
    </row>
    <row r="215" spans="2:2" x14ac:dyDescent="0.25">
      <c r="B215" t="s">
        <v>2608</v>
      </c>
    </row>
    <row r="216" spans="2:2" x14ac:dyDescent="0.25">
      <c r="B216" t="s">
        <v>2609</v>
      </c>
    </row>
    <row r="217" spans="2:2" x14ac:dyDescent="0.25">
      <c r="B217" t="s">
        <v>2610</v>
      </c>
    </row>
    <row r="218" spans="2:2" x14ac:dyDescent="0.25">
      <c r="B218" t="s">
        <v>2611</v>
      </c>
    </row>
    <row r="219" spans="2:2" x14ac:dyDescent="0.25">
      <c r="B219" t="s">
        <v>2612</v>
      </c>
    </row>
    <row r="220" spans="2:2" x14ac:dyDescent="0.25">
      <c r="B220" t="s">
        <v>2613</v>
      </c>
    </row>
    <row r="221" spans="2:2" x14ac:dyDescent="0.25">
      <c r="B221" t="s">
        <v>2614</v>
      </c>
    </row>
    <row r="222" spans="2:2" x14ac:dyDescent="0.25">
      <c r="B222" t="s">
        <v>2615</v>
      </c>
    </row>
    <row r="223" spans="2:2" x14ac:dyDescent="0.25">
      <c r="B223" t="s">
        <v>2615</v>
      </c>
    </row>
    <row r="224" spans="2:2" x14ac:dyDescent="0.25">
      <c r="B224" t="s">
        <v>2529</v>
      </c>
    </row>
    <row r="225" spans="2:2" x14ac:dyDescent="0.25">
      <c r="B225" t="s">
        <v>2529</v>
      </c>
    </row>
    <row r="226" spans="2:2" x14ac:dyDescent="0.25">
      <c r="B226" t="s">
        <v>2529</v>
      </c>
    </row>
    <row r="227" spans="2:2" x14ac:dyDescent="0.25">
      <c r="B227" t="s">
        <v>2615</v>
      </c>
    </row>
    <row r="228" spans="2:2" x14ac:dyDescent="0.25">
      <c r="B228" t="s">
        <v>2616</v>
      </c>
    </row>
    <row r="229" spans="2:2" x14ac:dyDescent="0.25">
      <c r="B229" t="s">
        <v>2617</v>
      </c>
    </row>
    <row r="230" spans="2:2" x14ac:dyDescent="0.25">
      <c r="B230" t="s">
        <v>2618</v>
      </c>
    </row>
    <row r="231" spans="2:2" x14ac:dyDescent="0.25">
      <c r="B231" t="s">
        <v>2619</v>
      </c>
    </row>
    <row r="232" spans="2:2" x14ac:dyDescent="0.25">
      <c r="B232" t="s">
        <v>2620</v>
      </c>
    </row>
    <row r="233" spans="2:2" x14ac:dyDescent="0.25">
      <c r="B233" t="s">
        <v>2621</v>
      </c>
    </row>
    <row r="234" spans="2:2" x14ac:dyDescent="0.25">
      <c r="B234" t="s">
        <v>2622</v>
      </c>
    </row>
    <row r="235" spans="2:2" x14ac:dyDescent="0.25">
      <c r="B235" t="s">
        <v>2623</v>
      </c>
    </row>
    <row r="236" spans="2:2" x14ac:dyDescent="0.25">
      <c r="B236" t="s">
        <v>2624</v>
      </c>
    </row>
    <row r="237" spans="2:2" x14ac:dyDescent="0.25">
      <c r="B237" t="s">
        <v>2625</v>
      </c>
    </row>
    <row r="238" spans="2:2" x14ac:dyDescent="0.25">
      <c r="B238" t="s">
        <v>2626</v>
      </c>
    </row>
    <row r="239" spans="2:2" x14ac:dyDescent="0.25">
      <c r="B239" t="s">
        <v>2627</v>
      </c>
    </row>
    <row r="240" spans="2:2" x14ac:dyDescent="0.25">
      <c r="B240" t="s">
        <v>2628</v>
      </c>
    </row>
    <row r="241" spans="2:2" x14ac:dyDescent="0.25">
      <c r="B241" t="s">
        <v>2629</v>
      </c>
    </row>
    <row r="242" spans="2:2" x14ac:dyDescent="0.25">
      <c r="B242" t="s">
        <v>2630</v>
      </c>
    </row>
    <row r="243" spans="2:2" x14ac:dyDescent="0.25">
      <c r="B243" t="s">
        <v>2631</v>
      </c>
    </row>
    <row r="244" spans="2:2" x14ac:dyDescent="0.25">
      <c r="B244" t="s">
        <v>2632</v>
      </c>
    </row>
    <row r="245" spans="2:2" x14ac:dyDescent="0.25">
      <c r="B245" t="s">
        <v>2633</v>
      </c>
    </row>
    <row r="246" spans="2:2" x14ac:dyDescent="0.25">
      <c r="B246" t="s">
        <v>2634</v>
      </c>
    </row>
    <row r="247" spans="2:2" x14ac:dyDescent="0.25">
      <c r="B247" t="s">
        <v>2635</v>
      </c>
    </row>
    <row r="248" spans="2:2" x14ac:dyDescent="0.25">
      <c r="B248" t="s">
        <v>2636</v>
      </c>
    </row>
    <row r="249" spans="2:2" x14ac:dyDescent="0.25">
      <c r="B249" t="s">
        <v>2637</v>
      </c>
    </row>
    <row r="250" spans="2:2" x14ac:dyDescent="0.25">
      <c r="B250" t="s">
        <v>2638</v>
      </c>
    </row>
    <row r="251" spans="2:2" x14ac:dyDescent="0.25">
      <c r="B251" t="s">
        <v>2639</v>
      </c>
    </row>
    <row r="252" spans="2:2" x14ac:dyDescent="0.25">
      <c r="B252" t="s">
        <v>2640</v>
      </c>
    </row>
    <row r="253" spans="2:2" x14ac:dyDescent="0.25">
      <c r="B253" t="s">
        <v>2641</v>
      </c>
    </row>
    <row r="254" spans="2:2" x14ac:dyDescent="0.25">
      <c r="B254" t="s">
        <v>2642</v>
      </c>
    </row>
    <row r="255" spans="2:2" x14ac:dyDescent="0.25">
      <c r="B255" t="s">
        <v>2643</v>
      </c>
    </row>
    <row r="256" spans="2:2" x14ac:dyDescent="0.25">
      <c r="B256" t="s">
        <v>2644</v>
      </c>
    </row>
    <row r="257" spans="2:2" x14ac:dyDescent="0.25">
      <c r="B257" t="s">
        <v>2645</v>
      </c>
    </row>
    <row r="258" spans="2:2" x14ac:dyDescent="0.25">
      <c r="B258" t="s">
        <v>2646</v>
      </c>
    </row>
    <row r="259" spans="2:2" x14ac:dyDescent="0.25">
      <c r="B259" t="s">
        <v>2647</v>
      </c>
    </row>
    <row r="260" spans="2:2" x14ac:dyDescent="0.25">
      <c r="B260" t="s">
        <v>2648</v>
      </c>
    </row>
    <row r="261" spans="2:2" x14ac:dyDescent="0.25">
      <c r="B261" t="s">
        <v>2649</v>
      </c>
    </row>
    <row r="262" spans="2:2" x14ac:dyDescent="0.25">
      <c r="B262" t="s">
        <v>2650</v>
      </c>
    </row>
    <row r="263" spans="2:2" x14ac:dyDescent="0.25">
      <c r="B263" t="s">
        <v>2651</v>
      </c>
    </row>
    <row r="264" spans="2:2" x14ac:dyDescent="0.25">
      <c r="B264" t="s">
        <v>2652</v>
      </c>
    </row>
    <row r="265" spans="2:2" x14ac:dyDescent="0.25">
      <c r="B265" t="s">
        <v>2653</v>
      </c>
    </row>
    <row r="266" spans="2:2" x14ac:dyDescent="0.25">
      <c r="B266" t="s">
        <v>2654</v>
      </c>
    </row>
    <row r="267" spans="2:2" x14ac:dyDescent="0.25">
      <c r="B267" t="s">
        <v>2655</v>
      </c>
    </row>
    <row r="268" spans="2:2" x14ac:dyDescent="0.25">
      <c r="B268" t="s">
        <v>2656</v>
      </c>
    </row>
    <row r="269" spans="2:2" x14ac:dyDescent="0.25">
      <c r="B269" t="s">
        <v>2657</v>
      </c>
    </row>
    <row r="270" spans="2:2" x14ac:dyDescent="0.25">
      <c r="B270" t="s">
        <v>2658</v>
      </c>
    </row>
    <row r="271" spans="2:2" x14ac:dyDescent="0.25">
      <c r="B271" t="s">
        <v>2659</v>
      </c>
    </row>
    <row r="272" spans="2:2" x14ac:dyDescent="0.25">
      <c r="B272" t="s">
        <v>2660</v>
      </c>
    </row>
    <row r="273" spans="2:2" x14ac:dyDescent="0.25">
      <c r="B273" t="s">
        <v>2661</v>
      </c>
    </row>
    <row r="274" spans="2:2" x14ac:dyDescent="0.25">
      <c r="B274" t="s">
        <v>2662</v>
      </c>
    </row>
    <row r="275" spans="2:2" x14ac:dyDescent="0.25">
      <c r="B275" t="s">
        <v>2663</v>
      </c>
    </row>
    <row r="276" spans="2:2" x14ac:dyDescent="0.25">
      <c r="B276" t="s">
        <v>2664</v>
      </c>
    </row>
    <row r="277" spans="2:2" x14ac:dyDescent="0.25">
      <c r="B277" t="s">
        <v>2665</v>
      </c>
    </row>
    <row r="278" spans="2:2" x14ac:dyDescent="0.25">
      <c r="B278" t="s">
        <v>2666</v>
      </c>
    </row>
    <row r="279" spans="2:2" x14ac:dyDescent="0.25">
      <c r="B279" t="s">
        <v>2667</v>
      </c>
    </row>
    <row r="280" spans="2:2" x14ac:dyDescent="0.25">
      <c r="B280" t="s">
        <v>2668</v>
      </c>
    </row>
    <row r="281" spans="2:2" x14ac:dyDescent="0.25">
      <c r="B281" t="s">
        <v>2669</v>
      </c>
    </row>
    <row r="282" spans="2:2" x14ac:dyDescent="0.25">
      <c r="B282" t="s">
        <v>2670</v>
      </c>
    </row>
    <row r="283" spans="2:2" x14ac:dyDescent="0.25">
      <c r="B283" t="s">
        <v>2671</v>
      </c>
    </row>
    <row r="284" spans="2:2" x14ac:dyDescent="0.25">
      <c r="B284" t="s">
        <v>2672</v>
      </c>
    </row>
    <row r="285" spans="2:2" x14ac:dyDescent="0.25">
      <c r="B285" t="s">
        <v>2673</v>
      </c>
    </row>
    <row r="286" spans="2:2" x14ac:dyDescent="0.25">
      <c r="B286" t="s">
        <v>2674</v>
      </c>
    </row>
    <row r="287" spans="2:2" x14ac:dyDescent="0.25">
      <c r="B287" t="s">
        <v>2675</v>
      </c>
    </row>
    <row r="288" spans="2:2" x14ac:dyDescent="0.25">
      <c r="B288" t="s">
        <v>2676</v>
      </c>
    </row>
    <row r="289" spans="2:2" x14ac:dyDescent="0.25">
      <c r="B289" t="s">
        <v>2677</v>
      </c>
    </row>
    <row r="290" spans="2:2" x14ac:dyDescent="0.25">
      <c r="B290" t="s">
        <v>2678</v>
      </c>
    </row>
    <row r="291" spans="2:2" x14ac:dyDescent="0.25">
      <c r="B291" t="s">
        <v>2679</v>
      </c>
    </row>
    <row r="292" spans="2:2" x14ac:dyDescent="0.25">
      <c r="B292" t="s">
        <v>2680</v>
      </c>
    </row>
    <row r="293" spans="2:2" x14ac:dyDescent="0.25">
      <c r="B293" t="s">
        <v>2681</v>
      </c>
    </row>
    <row r="294" spans="2:2" x14ac:dyDescent="0.25">
      <c r="B294" t="s">
        <v>2682</v>
      </c>
    </row>
    <row r="295" spans="2:2" x14ac:dyDescent="0.25">
      <c r="B295" t="s">
        <v>2683</v>
      </c>
    </row>
    <row r="296" spans="2:2" x14ac:dyDescent="0.25">
      <c r="B296" t="s">
        <v>2684</v>
      </c>
    </row>
    <row r="297" spans="2:2" x14ac:dyDescent="0.25">
      <c r="B297" t="s">
        <v>2685</v>
      </c>
    </row>
    <row r="298" spans="2:2" x14ac:dyDescent="0.25">
      <c r="B298" t="s">
        <v>2686</v>
      </c>
    </row>
    <row r="299" spans="2:2" x14ac:dyDescent="0.25">
      <c r="B299" t="s">
        <v>2687</v>
      </c>
    </row>
    <row r="300" spans="2:2" x14ac:dyDescent="0.25">
      <c r="B300" t="s">
        <v>2688</v>
      </c>
    </row>
    <row r="301" spans="2:2" x14ac:dyDescent="0.25">
      <c r="B301" t="s">
        <v>2689</v>
      </c>
    </row>
    <row r="302" spans="2:2" x14ac:dyDescent="0.25">
      <c r="B302" t="s">
        <v>2690</v>
      </c>
    </row>
    <row r="303" spans="2:2" x14ac:dyDescent="0.25">
      <c r="B303" t="s">
        <v>2691</v>
      </c>
    </row>
    <row r="304" spans="2:2" x14ac:dyDescent="0.25">
      <c r="B304" t="s">
        <v>2692</v>
      </c>
    </row>
    <row r="305" spans="2:2" x14ac:dyDescent="0.25">
      <c r="B305" t="s">
        <v>2693</v>
      </c>
    </row>
    <row r="306" spans="2:2" x14ac:dyDescent="0.25">
      <c r="B306" t="s">
        <v>2694</v>
      </c>
    </row>
    <row r="307" spans="2:2" x14ac:dyDescent="0.25">
      <c r="B307" t="s">
        <v>2695</v>
      </c>
    </row>
    <row r="308" spans="2:2" x14ac:dyDescent="0.25">
      <c r="B308" t="s">
        <v>2696</v>
      </c>
    </row>
    <row r="309" spans="2:2" x14ac:dyDescent="0.25">
      <c r="B309" t="s">
        <v>2697</v>
      </c>
    </row>
    <row r="310" spans="2:2" x14ac:dyDescent="0.25">
      <c r="B310" t="s">
        <v>2698</v>
      </c>
    </row>
    <row r="311" spans="2:2" x14ac:dyDescent="0.25">
      <c r="B311" t="s">
        <v>2699</v>
      </c>
    </row>
    <row r="312" spans="2:2" x14ac:dyDescent="0.25">
      <c r="B312" t="s">
        <v>2699</v>
      </c>
    </row>
    <row r="313" spans="2:2" x14ac:dyDescent="0.25">
      <c r="B313" t="s">
        <v>2700</v>
      </c>
    </row>
    <row r="314" spans="2:2" x14ac:dyDescent="0.25">
      <c r="B314" t="s">
        <v>2701</v>
      </c>
    </row>
    <row r="315" spans="2:2" x14ac:dyDescent="0.25">
      <c r="B315" t="s">
        <v>2702</v>
      </c>
    </row>
    <row r="316" spans="2:2" x14ac:dyDescent="0.25">
      <c r="B316" t="s">
        <v>2703</v>
      </c>
    </row>
    <row r="317" spans="2:2" x14ac:dyDescent="0.25">
      <c r="B317" t="s">
        <v>2704</v>
      </c>
    </row>
    <row r="318" spans="2:2" x14ac:dyDescent="0.25">
      <c r="B318" t="s">
        <v>2705</v>
      </c>
    </row>
    <row r="319" spans="2:2" x14ac:dyDescent="0.25">
      <c r="B319" t="s">
        <v>2706</v>
      </c>
    </row>
    <row r="320" spans="2:2" x14ac:dyDescent="0.25">
      <c r="B320" t="s">
        <v>2707</v>
      </c>
    </row>
    <row r="321" spans="2:2" x14ac:dyDescent="0.25">
      <c r="B321" t="s">
        <v>2708</v>
      </c>
    </row>
    <row r="322" spans="2:2" x14ac:dyDescent="0.25">
      <c r="B322" t="s">
        <v>2709</v>
      </c>
    </row>
    <row r="323" spans="2:2" x14ac:dyDescent="0.25">
      <c r="B323" t="s">
        <v>2710</v>
      </c>
    </row>
    <row r="324" spans="2:2" x14ac:dyDescent="0.25">
      <c r="B324" t="s">
        <v>2711</v>
      </c>
    </row>
    <row r="325" spans="2:2" x14ac:dyDescent="0.25">
      <c r="B325" t="s">
        <v>2712</v>
      </c>
    </row>
    <row r="326" spans="2:2" x14ac:dyDescent="0.25">
      <c r="B326" t="s">
        <v>2713</v>
      </c>
    </row>
    <row r="327" spans="2:2" x14ac:dyDescent="0.25">
      <c r="B327" t="s">
        <v>2714</v>
      </c>
    </row>
    <row r="328" spans="2:2" x14ac:dyDescent="0.25">
      <c r="B328" t="s">
        <v>2715</v>
      </c>
    </row>
    <row r="329" spans="2:2" x14ac:dyDescent="0.25">
      <c r="B329" t="s">
        <v>2716</v>
      </c>
    </row>
    <row r="330" spans="2:2" x14ac:dyDescent="0.25">
      <c r="B330" t="s">
        <v>2717</v>
      </c>
    </row>
    <row r="331" spans="2:2" x14ac:dyDescent="0.25">
      <c r="B331" t="s">
        <v>2718</v>
      </c>
    </row>
    <row r="332" spans="2:2" x14ac:dyDescent="0.25">
      <c r="B332" t="s">
        <v>2719</v>
      </c>
    </row>
    <row r="333" spans="2:2" x14ac:dyDescent="0.25">
      <c r="B333" t="s">
        <v>2720</v>
      </c>
    </row>
    <row r="334" spans="2:2" x14ac:dyDescent="0.25">
      <c r="B334" t="s">
        <v>2721</v>
      </c>
    </row>
    <row r="335" spans="2:2" x14ac:dyDescent="0.25">
      <c r="B335" t="s">
        <v>2722</v>
      </c>
    </row>
    <row r="336" spans="2:2" x14ac:dyDescent="0.25">
      <c r="B336" t="s">
        <v>2723</v>
      </c>
    </row>
    <row r="337" spans="2:2" x14ac:dyDescent="0.25">
      <c r="B337" t="s">
        <v>2724</v>
      </c>
    </row>
    <row r="338" spans="2:2" x14ac:dyDescent="0.25">
      <c r="B338" t="s">
        <v>2725</v>
      </c>
    </row>
    <row r="339" spans="2:2" x14ac:dyDescent="0.25">
      <c r="B339" t="s">
        <v>2726</v>
      </c>
    </row>
    <row r="340" spans="2:2" x14ac:dyDescent="0.25">
      <c r="B340" t="s">
        <v>2727</v>
      </c>
    </row>
    <row r="341" spans="2:2" x14ac:dyDescent="0.25">
      <c r="B341" t="s">
        <v>2728</v>
      </c>
    </row>
    <row r="342" spans="2:2" x14ac:dyDescent="0.25">
      <c r="B342" t="s">
        <v>2729</v>
      </c>
    </row>
    <row r="343" spans="2:2" x14ac:dyDescent="0.25">
      <c r="B343" t="s">
        <v>2730</v>
      </c>
    </row>
    <row r="344" spans="2:2" x14ac:dyDescent="0.25">
      <c r="B344" t="s">
        <v>2731</v>
      </c>
    </row>
    <row r="345" spans="2:2" x14ac:dyDescent="0.25">
      <c r="B345" t="s">
        <v>2732</v>
      </c>
    </row>
    <row r="346" spans="2:2" x14ac:dyDescent="0.25">
      <c r="B346" t="s">
        <v>2733</v>
      </c>
    </row>
    <row r="347" spans="2:2" x14ac:dyDescent="0.25">
      <c r="B347" t="s">
        <v>2734</v>
      </c>
    </row>
    <row r="348" spans="2:2" x14ac:dyDescent="0.25">
      <c r="B348" t="s">
        <v>2735</v>
      </c>
    </row>
    <row r="349" spans="2:2" x14ac:dyDescent="0.25">
      <c r="B349" t="s">
        <v>2736</v>
      </c>
    </row>
    <row r="350" spans="2:2" x14ac:dyDescent="0.25">
      <c r="B350" t="s">
        <v>2737</v>
      </c>
    </row>
    <row r="351" spans="2:2" x14ac:dyDescent="0.25">
      <c r="B351" t="s">
        <v>2738</v>
      </c>
    </row>
    <row r="352" spans="2:2" x14ac:dyDescent="0.25">
      <c r="B352" t="s">
        <v>2739</v>
      </c>
    </row>
    <row r="353" spans="2:2" x14ac:dyDescent="0.25">
      <c r="B353" t="s">
        <v>2740</v>
      </c>
    </row>
    <row r="354" spans="2:2" x14ac:dyDescent="0.25">
      <c r="B354" t="s">
        <v>2741</v>
      </c>
    </row>
    <row r="355" spans="2:2" x14ac:dyDescent="0.25">
      <c r="B355" t="s">
        <v>2742</v>
      </c>
    </row>
    <row r="356" spans="2:2" x14ac:dyDescent="0.25">
      <c r="B356" t="s">
        <v>2743</v>
      </c>
    </row>
    <row r="357" spans="2:2" x14ac:dyDescent="0.25">
      <c r="B357" t="s">
        <v>2744</v>
      </c>
    </row>
    <row r="358" spans="2:2" x14ac:dyDescent="0.25">
      <c r="B358" t="s">
        <v>2745</v>
      </c>
    </row>
    <row r="359" spans="2:2" x14ac:dyDescent="0.25">
      <c r="B359" t="s">
        <v>2746</v>
      </c>
    </row>
    <row r="360" spans="2:2" x14ac:dyDescent="0.25">
      <c r="B360" t="s">
        <v>2747</v>
      </c>
    </row>
    <row r="361" spans="2:2" x14ac:dyDescent="0.25">
      <c r="B361" t="s">
        <v>2748</v>
      </c>
    </row>
    <row r="362" spans="2:2" x14ac:dyDescent="0.25">
      <c r="B362" t="s">
        <v>2749</v>
      </c>
    </row>
    <row r="363" spans="2:2" x14ac:dyDescent="0.25">
      <c r="B363" t="s">
        <v>2750</v>
      </c>
    </row>
    <row r="364" spans="2:2" x14ac:dyDescent="0.25">
      <c r="B364" t="s">
        <v>2750</v>
      </c>
    </row>
    <row r="365" spans="2:2" x14ac:dyDescent="0.25">
      <c r="B365" t="s">
        <v>2751</v>
      </c>
    </row>
    <row r="366" spans="2:2" x14ac:dyDescent="0.25">
      <c r="B366" t="s">
        <v>2752</v>
      </c>
    </row>
    <row r="367" spans="2:2" x14ac:dyDescent="0.25">
      <c r="B367" t="s">
        <v>2753</v>
      </c>
    </row>
    <row r="368" spans="2:2" x14ac:dyDescent="0.25">
      <c r="B368" t="s">
        <v>2579</v>
      </c>
    </row>
    <row r="369" spans="2:2" x14ac:dyDescent="0.25">
      <c r="B369" t="s">
        <v>2754</v>
      </c>
    </row>
    <row r="370" spans="2:2" x14ac:dyDescent="0.25">
      <c r="B370" t="s">
        <v>2755</v>
      </c>
    </row>
    <row r="371" spans="2:2" x14ac:dyDescent="0.25">
      <c r="B371" t="s">
        <v>2756</v>
      </c>
    </row>
    <row r="372" spans="2:2" x14ac:dyDescent="0.25">
      <c r="B372" t="s">
        <v>2756</v>
      </c>
    </row>
    <row r="373" spans="2:2" x14ac:dyDescent="0.25">
      <c r="B373" t="s">
        <v>2757</v>
      </c>
    </row>
    <row r="374" spans="2:2" x14ac:dyDescent="0.25">
      <c r="B374" t="s">
        <v>2758</v>
      </c>
    </row>
    <row r="375" spans="2:2" x14ac:dyDescent="0.25">
      <c r="B375" t="s">
        <v>2759</v>
      </c>
    </row>
    <row r="376" spans="2:2" x14ac:dyDescent="0.25">
      <c r="B376" t="s">
        <v>2760</v>
      </c>
    </row>
    <row r="377" spans="2:2" x14ac:dyDescent="0.25">
      <c r="B377" t="s">
        <v>2761</v>
      </c>
    </row>
    <row r="378" spans="2:2" x14ac:dyDescent="0.25">
      <c r="B378" t="s">
        <v>2762</v>
      </c>
    </row>
    <row r="379" spans="2:2" x14ac:dyDescent="0.25">
      <c r="B379" t="s">
        <v>2763</v>
      </c>
    </row>
    <row r="380" spans="2:2" x14ac:dyDescent="0.25">
      <c r="B380" t="s">
        <v>2764</v>
      </c>
    </row>
    <row r="381" spans="2:2" x14ac:dyDescent="0.25">
      <c r="B381" t="s">
        <v>2765</v>
      </c>
    </row>
    <row r="382" spans="2:2" x14ac:dyDescent="0.25">
      <c r="B382" t="s">
        <v>2766</v>
      </c>
    </row>
    <row r="383" spans="2:2" x14ac:dyDescent="0.25">
      <c r="B383" t="s">
        <v>2767</v>
      </c>
    </row>
    <row r="384" spans="2:2" x14ac:dyDescent="0.25">
      <c r="B384" t="s">
        <v>2768</v>
      </c>
    </row>
    <row r="385" spans="2:2" x14ac:dyDescent="0.25">
      <c r="B385" t="s">
        <v>2769</v>
      </c>
    </row>
    <row r="386" spans="2:2" x14ac:dyDescent="0.25">
      <c r="B386" t="s">
        <v>2770</v>
      </c>
    </row>
    <row r="387" spans="2:2" x14ac:dyDescent="0.25">
      <c r="B387" t="s">
        <v>2771</v>
      </c>
    </row>
    <row r="388" spans="2:2" x14ac:dyDescent="0.25">
      <c r="B388" t="s">
        <v>2772</v>
      </c>
    </row>
    <row r="389" spans="2:2" x14ac:dyDescent="0.25">
      <c r="B389" t="s">
        <v>2773</v>
      </c>
    </row>
    <row r="390" spans="2:2" x14ac:dyDescent="0.25">
      <c r="B390" t="s">
        <v>2774</v>
      </c>
    </row>
    <row r="391" spans="2:2" x14ac:dyDescent="0.25">
      <c r="B391" t="s">
        <v>2775</v>
      </c>
    </row>
    <row r="392" spans="2:2" x14ac:dyDescent="0.25">
      <c r="B392" t="s">
        <v>2776</v>
      </c>
    </row>
    <row r="393" spans="2:2" x14ac:dyDescent="0.25">
      <c r="B393" t="s">
        <v>2777</v>
      </c>
    </row>
    <row r="394" spans="2:2" x14ac:dyDescent="0.25">
      <c r="B394" t="s">
        <v>2778</v>
      </c>
    </row>
    <row r="395" spans="2:2" x14ac:dyDescent="0.25">
      <c r="B395" t="s">
        <v>2779</v>
      </c>
    </row>
    <row r="396" spans="2:2" x14ac:dyDescent="0.25">
      <c r="B396" t="s">
        <v>2780</v>
      </c>
    </row>
    <row r="397" spans="2:2" x14ac:dyDescent="0.25">
      <c r="B397" t="s">
        <v>2781</v>
      </c>
    </row>
    <row r="398" spans="2:2" x14ac:dyDescent="0.25">
      <c r="B398" t="s">
        <v>2782</v>
      </c>
    </row>
    <row r="399" spans="2:2" x14ac:dyDescent="0.25">
      <c r="B399" t="s">
        <v>2783</v>
      </c>
    </row>
    <row r="400" spans="2:2" x14ac:dyDescent="0.25">
      <c r="B400" t="s">
        <v>2784</v>
      </c>
    </row>
    <row r="401" spans="2:2" x14ac:dyDescent="0.25">
      <c r="B401" t="s">
        <v>2785</v>
      </c>
    </row>
    <row r="402" spans="2:2" x14ac:dyDescent="0.25">
      <c r="B402" t="s">
        <v>2786</v>
      </c>
    </row>
    <row r="403" spans="2:2" x14ac:dyDescent="0.25">
      <c r="B403" t="s">
        <v>2787</v>
      </c>
    </row>
    <row r="404" spans="2:2" x14ac:dyDescent="0.25">
      <c r="B404" t="s">
        <v>2788</v>
      </c>
    </row>
    <row r="405" spans="2:2" x14ac:dyDescent="0.25">
      <c r="B405" t="s">
        <v>2789</v>
      </c>
    </row>
    <row r="406" spans="2:2" x14ac:dyDescent="0.25">
      <c r="B406" t="s">
        <v>2790</v>
      </c>
    </row>
    <row r="407" spans="2:2" x14ac:dyDescent="0.25">
      <c r="B407" t="s">
        <v>2791</v>
      </c>
    </row>
    <row r="408" spans="2:2" x14ac:dyDescent="0.25">
      <c r="B408" t="s">
        <v>2792</v>
      </c>
    </row>
    <row r="409" spans="2:2" x14ac:dyDescent="0.25">
      <c r="B409" t="s">
        <v>2793</v>
      </c>
    </row>
    <row r="410" spans="2:2" x14ac:dyDescent="0.25">
      <c r="B410" t="s">
        <v>2794</v>
      </c>
    </row>
    <row r="411" spans="2:2" x14ac:dyDescent="0.25">
      <c r="B411" t="s">
        <v>2795</v>
      </c>
    </row>
    <row r="412" spans="2:2" x14ac:dyDescent="0.25">
      <c r="B412" t="s">
        <v>2796</v>
      </c>
    </row>
    <row r="413" spans="2:2" x14ac:dyDescent="0.25">
      <c r="B413" t="s">
        <v>2797</v>
      </c>
    </row>
    <row r="414" spans="2:2" x14ac:dyDescent="0.25">
      <c r="B414" t="s">
        <v>2798</v>
      </c>
    </row>
    <row r="415" spans="2:2" x14ac:dyDescent="0.25">
      <c r="B415" t="s">
        <v>2799</v>
      </c>
    </row>
    <row r="416" spans="2:2" x14ac:dyDescent="0.25">
      <c r="B416" t="s">
        <v>2800</v>
      </c>
    </row>
    <row r="417" spans="2:2" x14ac:dyDescent="0.25">
      <c r="B417" t="s">
        <v>2801</v>
      </c>
    </row>
    <row r="418" spans="2:2" x14ac:dyDescent="0.25">
      <c r="B418" t="s">
        <v>2802</v>
      </c>
    </row>
    <row r="419" spans="2:2" x14ac:dyDescent="0.25">
      <c r="B419" t="s">
        <v>2803</v>
      </c>
    </row>
    <row r="420" spans="2:2" x14ac:dyDescent="0.25">
      <c r="B420" t="s">
        <v>2804</v>
      </c>
    </row>
    <row r="421" spans="2:2" x14ac:dyDescent="0.25">
      <c r="B421" t="s">
        <v>246</v>
      </c>
    </row>
    <row r="422" spans="2:2" x14ac:dyDescent="0.25">
      <c r="B422" t="s">
        <v>2805</v>
      </c>
    </row>
    <row r="423" spans="2:2" x14ac:dyDescent="0.25">
      <c r="B423" t="s">
        <v>2806</v>
      </c>
    </row>
    <row r="424" spans="2:2" x14ac:dyDescent="0.25">
      <c r="B424" t="s">
        <v>2807</v>
      </c>
    </row>
    <row r="425" spans="2:2" x14ac:dyDescent="0.25">
      <c r="B425" t="s">
        <v>2808</v>
      </c>
    </row>
    <row r="426" spans="2:2" x14ac:dyDescent="0.25">
      <c r="B426" t="s">
        <v>2809</v>
      </c>
    </row>
    <row r="427" spans="2:2" x14ac:dyDescent="0.25">
      <c r="B427" t="s">
        <v>2810</v>
      </c>
    </row>
    <row r="428" spans="2:2" x14ac:dyDescent="0.25">
      <c r="B428" t="s">
        <v>2811</v>
      </c>
    </row>
    <row r="429" spans="2:2" x14ac:dyDescent="0.25">
      <c r="B429" t="s">
        <v>2808</v>
      </c>
    </row>
    <row r="430" spans="2:2" x14ac:dyDescent="0.25">
      <c r="B430" t="s">
        <v>2812</v>
      </c>
    </row>
    <row r="431" spans="2:2" x14ac:dyDescent="0.25">
      <c r="B431" t="s">
        <v>2813</v>
      </c>
    </row>
    <row r="432" spans="2:2" x14ac:dyDescent="0.25">
      <c r="B432" t="s">
        <v>1059</v>
      </c>
    </row>
    <row r="433" spans="2:2" x14ac:dyDescent="0.25">
      <c r="B433" t="s">
        <v>2808</v>
      </c>
    </row>
    <row r="434" spans="2:2" x14ac:dyDescent="0.25">
      <c r="B434" t="s">
        <v>2814</v>
      </c>
    </row>
    <row r="435" spans="2:2" x14ac:dyDescent="0.25">
      <c r="B435" t="s">
        <v>2815</v>
      </c>
    </row>
    <row r="436" spans="2:2" x14ac:dyDescent="0.25">
      <c r="B436" t="s">
        <v>2816</v>
      </c>
    </row>
    <row r="437" spans="2:2" x14ac:dyDescent="0.25">
      <c r="B437" t="s">
        <v>2817</v>
      </c>
    </row>
    <row r="438" spans="2:2" x14ac:dyDescent="0.25">
      <c r="B438" t="s">
        <v>2818</v>
      </c>
    </row>
    <row r="439" spans="2:2" x14ac:dyDescent="0.25">
      <c r="B439" t="s">
        <v>2819</v>
      </c>
    </row>
    <row r="440" spans="2:2" x14ac:dyDescent="0.25">
      <c r="B440" t="s">
        <v>2820</v>
      </c>
    </row>
    <row r="441" spans="2:2" x14ac:dyDescent="0.25">
      <c r="B441" t="s">
        <v>2821</v>
      </c>
    </row>
    <row r="442" spans="2:2" x14ac:dyDescent="0.25">
      <c r="B442" t="s">
        <v>2822</v>
      </c>
    </row>
    <row r="443" spans="2:2" x14ac:dyDescent="0.25">
      <c r="B443" t="s">
        <v>2823</v>
      </c>
    </row>
    <row r="444" spans="2:2" x14ac:dyDescent="0.25">
      <c r="B444" t="s">
        <v>2824</v>
      </c>
    </row>
    <row r="445" spans="2:2" x14ac:dyDescent="0.25">
      <c r="B445" t="s">
        <v>2808</v>
      </c>
    </row>
    <row r="446" spans="2:2" x14ac:dyDescent="0.25">
      <c r="B446" t="s">
        <v>2825</v>
      </c>
    </row>
    <row r="447" spans="2:2" x14ac:dyDescent="0.25">
      <c r="B447" t="s">
        <v>2826</v>
      </c>
    </row>
    <row r="448" spans="2:2" x14ac:dyDescent="0.25">
      <c r="B448" t="s">
        <v>2827</v>
      </c>
    </row>
    <row r="449" spans="2:2" x14ac:dyDescent="0.25">
      <c r="B449" t="s">
        <v>2828</v>
      </c>
    </row>
    <row r="450" spans="2:2" x14ac:dyDescent="0.25">
      <c r="B450" t="s">
        <v>2829</v>
      </c>
    </row>
    <row r="451" spans="2:2" x14ac:dyDescent="0.25">
      <c r="B451" t="s">
        <v>2830</v>
      </c>
    </row>
    <row r="452" spans="2:2" x14ac:dyDescent="0.25">
      <c r="B452" t="s">
        <v>2831</v>
      </c>
    </row>
    <row r="453" spans="2:2" x14ac:dyDescent="0.25">
      <c r="B453" t="s">
        <v>2832</v>
      </c>
    </row>
    <row r="454" spans="2:2" x14ac:dyDescent="0.25">
      <c r="B454" t="s">
        <v>2833</v>
      </c>
    </row>
    <row r="455" spans="2:2" x14ac:dyDescent="0.25">
      <c r="B455" t="s">
        <v>2794</v>
      </c>
    </row>
    <row r="456" spans="2:2" x14ac:dyDescent="0.25">
      <c r="B456" t="s">
        <v>2834</v>
      </c>
    </row>
    <row r="457" spans="2:2" x14ac:dyDescent="0.25">
      <c r="B457" t="s">
        <v>2808</v>
      </c>
    </row>
    <row r="458" spans="2:2" x14ac:dyDescent="0.25">
      <c r="B458" t="s">
        <v>2835</v>
      </c>
    </row>
    <row r="459" spans="2:2" x14ac:dyDescent="0.25">
      <c r="B459" t="s">
        <v>2808</v>
      </c>
    </row>
    <row r="460" spans="2:2" x14ac:dyDescent="0.25">
      <c r="B460" t="s">
        <v>2808</v>
      </c>
    </row>
    <row r="461" spans="2:2" x14ac:dyDescent="0.25">
      <c r="B461" t="s">
        <v>2836</v>
      </c>
    </row>
    <row r="462" spans="2:2" x14ac:dyDescent="0.25">
      <c r="B462" t="s">
        <v>2837</v>
      </c>
    </row>
    <row r="463" spans="2:2" x14ac:dyDescent="0.25">
      <c r="B463" t="s">
        <v>2838</v>
      </c>
    </row>
    <row r="464" spans="2:2" x14ac:dyDescent="0.25">
      <c r="B464" t="s">
        <v>2839</v>
      </c>
    </row>
    <row r="465" spans="2:2" x14ac:dyDescent="0.25">
      <c r="B465" t="s">
        <v>2840</v>
      </c>
    </row>
    <row r="466" spans="2:2" x14ac:dyDescent="0.25">
      <c r="B466" t="s">
        <v>2808</v>
      </c>
    </row>
    <row r="467" spans="2:2" x14ac:dyDescent="0.25">
      <c r="B467" t="s">
        <v>2841</v>
      </c>
    </row>
    <row r="468" spans="2:2" x14ac:dyDescent="0.25">
      <c r="B468" t="s">
        <v>2842</v>
      </c>
    </row>
    <row r="469" spans="2:2" x14ac:dyDescent="0.25">
      <c r="B469" t="s">
        <v>2843</v>
      </c>
    </row>
    <row r="470" spans="2:2" x14ac:dyDescent="0.25">
      <c r="B470" t="s">
        <v>2808</v>
      </c>
    </row>
    <row r="471" spans="2:2" x14ac:dyDescent="0.25">
      <c r="B471" t="s">
        <v>2844</v>
      </c>
    </row>
    <row r="472" spans="2:2" x14ac:dyDescent="0.25">
      <c r="B472" t="s">
        <v>248</v>
      </c>
    </row>
    <row r="473" spans="2:2" x14ac:dyDescent="0.25">
      <c r="B473" t="s">
        <v>2808</v>
      </c>
    </row>
    <row r="474" spans="2:2" x14ac:dyDescent="0.25">
      <c r="B474" t="s">
        <v>2845</v>
      </c>
    </row>
    <row r="475" spans="2:2" x14ac:dyDescent="0.25">
      <c r="B475" t="s">
        <v>2808</v>
      </c>
    </row>
    <row r="476" spans="2:2" x14ac:dyDescent="0.25">
      <c r="B476" t="s">
        <v>2846</v>
      </c>
    </row>
    <row r="477" spans="2:2" x14ac:dyDescent="0.25">
      <c r="B477" t="s">
        <v>2847</v>
      </c>
    </row>
    <row r="478" spans="2:2" x14ac:dyDescent="0.25">
      <c r="B478" t="s">
        <v>2848</v>
      </c>
    </row>
    <row r="479" spans="2:2" x14ac:dyDescent="0.25">
      <c r="B479" t="s">
        <v>2849</v>
      </c>
    </row>
    <row r="480" spans="2:2" x14ac:dyDescent="0.25">
      <c r="B480" t="s">
        <v>2850</v>
      </c>
    </row>
    <row r="481" spans="2:2" x14ac:dyDescent="0.25">
      <c r="B481" t="s">
        <v>2808</v>
      </c>
    </row>
    <row r="482" spans="2:2" x14ac:dyDescent="0.25">
      <c r="B482" t="s">
        <v>2851</v>
      </c>
    </row>
    <row r="483" spans="2:2" x14ac:dyDescent="0.25">
      <c r="B483" t="s">
        <v>2852</v>
      </c>
    </row>
    <row r="484" spans="2:2" x14ac:dyDescent="0.25">
      <c r="B484" t="s">
        <v>2853</v>
      </c>
    </row>
    <row r="485" spans="2:2" x14ac:dyDescent="0.25">
      <c r="B485" t="s">
        <v>2808</v>
      </c>
    </row>
    <row r="486" spans="2:2" x14ac:dyDescent="0.25">
      <c r="B486" t="s">
        <v>2854</v>
      </c>
    </row>
    <row r="487" spans="2:2" x14ac:dyDescent="0.25">
      <c r="B487" t="s">
        <v>2808</v>
      </c>
    </row>
    <row r="488" spans="2:2" x14ac:dyDescent="0.25">
      <c r="B488" t="s">
        <v>2808</v>
      </c>
    </row>
    <row r="489" spans="2:2" x14ac:dyDescent="0.25">
      <c r="B489" t="s">
        <v>2855</v>
      </c>
    </row>
    <row r="490" spans="2:2" x14ac:dyDescent="0.25">
      <c r="B490" t="s">
        <v>2856</v>
      </c>
    </row>
    <row r="491" spans="2:2" x14ac:dyDescent="0.25">
      <c r="B491" t="s">
        <v>2857</v>
      </c>
    </row>
    <row r="492" spans="2:2" x14ac:dyDescent="0.25">
      <c r="B492" t="s">
        <v>2808</v>
      </c>
    </row>
    <row r="493" spans="2:2" x14ac:dyDescent="0.25">
      <c r="B493" t="s">
        <v>2858</v>
      </c>
    </row>
    <row r="494" spans="2:2" x14ac:dyDescent="0.25">
      <c r="B494" t="s">
        <v>2859</v>
      </c>
    </row>
    <row r="495" spans="2:2" x14ac:dyDescent="0.25">
      <c r="B495" t="s">
        <v>2860</v>
      </c>
    </row>
    <row r="496" spans="2:2" x14ac:dyDescent="0.25">
      <c r="B496" t="s">
        <v>2808</v>
      </c>
    </row>
    <row r="497" spans="2:2" x14ac:dyDescent="0.25">
      <c r="B497" t="s">
        <v>2808</v>
      </c>
    </row>
    <row r="498" spans="2:2" x14ac:dyDescent="0.25">
      <c r="B498" t="s">
        <v>2861</v>
      </c>
    </row>
    <row r="499" spans="2:2" x14ac:dyDescent="0.25">
      <c r="B499" t="s">
        <v>2862</v>
      </c>
    </row>
    <row r="500" spans="2:2" x14ac:dyDescent="0.25">
      <c r="B500" t="s">
        <v>2863</v>
      </c>
    </row>
    <row r="501" spans="2:2" x14ac:dyDescent="0.25">
      <c r="B501" t="s">
        <v>2864</v>
      </c>
    </row>
    <row r="502" spans="2:2" x14ac:dyDescent="0.25">
      <c r="B502" t="s">
        <v>2865</v>
      </c>
    </row>
    <row r="503" spans="2:2" x14ac:dyDescent="0.25">
      <c r="B503" t="s">
        <v>2866</v>
      </c>
    </row>
    <row r="504" spans="2:2" x14ac:dyDescent="0.25">
      <c r="B504" t="s">
        <v>2808</v>
      </c>
    </row>
    <row r="505" spans="2:2" x14ac:dyDescent="0.25">
      <c r="B505" t="s">
        <v>2808</v>
      </c>
    </row>
    <row r="506" spans="2:2" x14ac:dyDescent="0.25">
      <c r="B506" t="s">
        <v>2867</v>
      </c>
    </row>
    <row r="507" spans="2:2" x14ac:dyDescent="0.25">
      <c r="B507" t="s">
        <v>2868</v>
      </c>
    </row>
    <row r="508" spans="2:2" x14ac:dyDescent="0.25">
      <c r="B508" t="s">
        <v>2869</v>
      </c>
    </row>
    <row r="509" spans="2:2" x14ac:dyDescent="0.25">
      <c r="B509" t="s">
        <v>2870</v>
      </c>
    </row>
    <row r="510" spans="2:2" x14ac:dyDescent="0.25">
      <c r="B510" t="s">
        <v>2871</v>
      </c>
    </row>
    <row r="511" spans="2:2" x14ac:dyDescent="0.25">
      <c r="B511" t="s">
        <v>2872</v>
      </c>
    </row>
    <row r="512" spans="2:2" x14ac:dyDescent="0.25">
      <c r="B512" t="s">
        <v>2873</v>
      </c>
    </row>
    <row r="513" spans="2:2" x14ac:dyDescent="0.25">
      <c r="B513" t="s">
        <v>2874</v>
      </c>
    </row>
    <row r="514" spans="2:2" x14ac:dyDescent="0.25">
      <c r="B514" t="s">
        <v>2808</v>
      </c>
    </row>
    <row r="515" spans="2:2" x14ac:dyDescent="0.25">
      <c r="B515" t="s">
        <v>236</v>
      </c>
    </row>
    <row r="516" spans="2:2" x14ac:dyDescent="0.25">
      <c r="B516" t="s">
        <v>2875</v>
      </c>
    </row>
    <row r="517" spans="2:2" x14ac:dyDescent="0.25">
      <c r="B517" t="s">
        <v>2876</v>
      </c>
    </row>
    <row r="518" spans="2:2" x14ac:dyDescent="0.25">
      <c r="B518" t="s">
        <v>2877</v>
      </c>
    </row>
    <row r="519" spans="2:2" x14ac:dyDescent="0.25">
      <c r="B519" t="s">
        <v>2878</v>
      </c>
    </row>
    <row r="520" spans="2:2" x14ac:dyDescent="0.25">
      <c r="B520" t="s">
        <v>2879</v>
      </c>
    </row>
    <row r="521" spans="2:2" x14ac:dyDescent="0.25">
      <c r="B521" t="s">
        <v>2808</v>
      </c>
    </row>
    <row r="522" spans="2:2" x14ac:dyDescent="0.25">
      <c r="B522" t="s">
        <v>2880</v>
      </c>
    </row>
    <row r="523" spans="2:2" x14ac:dyDescent="0.25">
      <c r="B523" t="s">
        <v>2881</v>
      </c>
    </row>
    <row r="524" spans="2:2" x14ac:dyDescent="0.25">
      <c r="B524" t="s">
        <v>2882</v>
      </c>
    </row>
    <row r="525" spans="2:2" x14ac:dyDescent="0.25">
      <c r="B525" t="s">
        <v>2883</v>
      </c>
    </row>
    <row r="526" spans="2:2" x14ac:dyDescent="0.25">
      <c r="B526" t="s">
        <v>2884</v>
      </c>
    </row>
    <row r="527" spans="2:2" x14ac:dyDescent="0.25">
      <c r="B527" t="s">
        <v>2808</v>
      </c>
    </row>
    <row r="528" spans="2:2" x14ac:dyDescent="0.25">
      <c r="B528" t="s">
        <v>2885</v>
      </c>
    </row>
    <row r="529" spans="2:2" x14ac:dyDescent="0.25">
      <c r="B529" t="s">
        <v>2808</v>
      </c>
    </row>
    <row r="530" spans="2:2" x14ac:dyDescent="0.25">
      <c r="B530" t="s">
        <v>2886</v>
      </c>
    </row>
    <row r="531" spans="2:2" x14ac:dyDescent="0.25">
      <c r="B531" t="s">
        <v>2808</v>
      </c>
    </row>
    <row r="532" spans="2:2" x14ac:dyDescent="0.25">
      <c r="B532" t="s">
        <v>2808</v>
      </c>
    </row>
    <row r="533" spans="2:2" x14ac:dyDescent="0.25">
      <c r="B533" t="s">
        <v>2887</v>
      </c>
    </row>
    <row r="534" spans="2:2" x14ac:dyDescent="0.25">
      <c r="B534" t="s">
        <v>2888</v>
      </c>
    </row>
    <row r="535" spans="2:2" x14ac:dyDescent="0.25">
      <c r="B535" t="s">
        <v>2889</v>
      </c>
    </row>
    <row r="536" spans="2:2" x14ac:dyDescent="0.25">
      <c r="B536" t="s">
        <v>2808</v>
      </c>
    </row>
    <row r="537" spans="2:2" x14ac:dyDescent="0.25">
      <c r="B537" t="s">
        <v>2890</v>
      </c>
    </row>
    <row r="538" spans="2:2" x14ac:dyDescent="0.25">
      <c r="B538" t="s">
        <v>2808</v>
      </c>
    </row>
    <row r="539" spans="2:2" x14ac:dyDescent="0.25">
      <c r="B539" t="s">
        <v>2808</v>
      </c>
    </row>
    <row r="540" spans="2:2" x14ac:dyDescent="0.25">
      <c r="B540" t="s">
        <v>2891</v>
      </c>
    </row>
    <row r="541" spans="2:2" x14ac:dyDescent="0.25">
      <c r="B541" t="s">
        <v>2892</v>
      </c>
    </row>
    <row r="542" spans="2:2" x14ac:dyDescent="0.25">
      <c r="B542" t="s">
        <v>2893</v>
      </c>
    </row>
    <row r="543" spans="2:2" x14ac:dyDescent="0.25">
      <c r="B543" t="s">
        <v>2883</v>
      </c>
    </row>
    <row r="544" spans="2:2" x14ac:dyDescent="0.25">
      <c r="B544" t="s">
        <v>2894</v>
      </c>
    </row>
    <row r="545" spans="2:2" x14ac:dyDescent="0.25">
      <c r="B545" t="s">
        <v>2895</v>
      </c>
    </row>
    <row r="546" spans="2:2" x14ac:dyDescent="0.25">
      <c r="B546" t="s">
        <v>2896</v>
      </c>
    </row>
    <row r="547" spans="2:2" x14ac:dyDescent="0.25">
      <c r="B547" t="s">
        <v>2897</v>
      </c>
    </row>
    <row r="548" spans="2:2" x14ac:dyDescent="0.25">
      <c r="B548" t="s">
        <v>2898</v>
      </c>
    </row>
    <row r="549" spans="2:2" x14ac:dyDescent="0.25">
      <c r="B549" t="s">
        <v>2899</v>
      </c>
    </row>
    <row r="550" spans="2:2" x14ac:dyDescent="0.25">
      <c r="B550" t="s">
        <v>2900</v>
      </c>
    </row>
    <row r="551" spans="2:2" x14ac:dyDescent="0.25">
      <c r="B551" t="s">
        <v>2901</v>
      </c>
    </row>
    <row r="552" spans="2:2" x14ac:dyDescent="0.25">
      <c r="B552" t="s">
        <v>2902</v>
      </c>
    </row>
    <row r="553" spans="2:2" x14ac:dyDescent="0.25">
      <c r="B553" t="s">
        <v>241</v>
      </c>
    </row>
    <row r="554" spans="2:2" x14ac:dyDescent="0.25">
      <c r="B554" t="s">
        <v>232</v>
      </c>
    </row>
    <row r="555" spans="2:2" x14ac:dyDescent="0.25">
      <c r="B555" t="s">
        <v>2903</v>
      </c>
    </row>
    <row r="556" spans="2:2" x14ac:dyDescent="0.25">
      <c r="B556" t="s">
        <v>2808</v>
      </c>
    </row>
    <row r="557" spans="2:2" x14ac:dyDescent="0.25">
      <c r="B557" t="s">
        <v>2904</v>
      </c>
    </row>
    <row r="558" spans="2:2" x14ac:dyDescent="0.25">
      <c r="B558" t="s">
        <v>2808</v>
      </c>
    </row>
    <row r="559" spans="2:2" x14ac:dyDescent="0.25">
      <c r="B559" t="s">
        <v>2808</v>
      </c>
    </row>
    <row r="560" spans="2:2" x14ac:dyDescent="0.25">
      <c r="B560" t="s">
        <v>249</v>
      </c>
    </row>
    <row r="561" spans="2:2" x14ac:dyDescent="0.25">
      <c r="B561" t="s">
        <v>2905</v>
      </c>
    </row>
    <row r="562" spans="2:2" x14ac:dyDescent="0.25">
      <c r="B562" t="s">
        <v>244</v>
      </c>
    </row>
    <row r="563" spans="2:2" x14ac:dyDescent="0.25">
      <c r="B563" t="s">
        <v>2906</v>
      </c>
    </row>
    <row r="564" spans="2:2" x14ac:dyDescent="0.25">
      <c r="B564" t="s">
        <v>2579</v>
      </c>
    </row>
    <row r="565" spans="2:2" x14ac:dyDescent="0.25">
      <c r="B565" t="s">
        <v>2907</v>
      </c>
    </row>
    <row r="566" spans="2:2" x14ac:dyDescent="0.25">
      <c r="B566" t="s">
        <v>2908</v>
      </c>
    </row>
    <row r="567" spans="2:2" x14ac:dyDescent="0.25">
      <c r="B567" t="s">
        <v>2909</v>
      </c>
    </row>
    <row r="568" spans="2:2" x14ac:dyDescent="0.25">
      <c r="B568" t="s">
        <v>2910</v>
      </c>
    </row>
    <row r="569" spans="2:2" x14ac:dyDescent="0.25">
      <c r="B569" t="s">
        <v>2911</v>
      </c>
    </row>
    <row r="570" spans="2:2" x14ac:dyDescent="0.25">
      <c r="B570" t="s">
        <v>2912</v>
      </c>
    </row>
    <row r="571" spans="2:2" x14ac:dyDescent="0.25">
      <c r="B571" t="s">
        <v>2808</v>
      </c>
    </row>
    <row r="572" spans="2:2" x14ac:dyDescent="0.25">
      <c r="B572" t="s">
        <v>2913</v>
      </c>
    </row>
    <row r="573" spans="2:2" x14ac:dyDescent="0.25">
      <c r="B573" t="s">
        <v>2914</v>
      </c>
    </row>
    <row r="574" spans="2:2" x14ac:dyDescent="0.25">
      <c r="B574" t="s">
        <v>2915</v>
      </c>
    </row>
    <row r="575" spans="2:2" x14ac:dyDescent="0.25">
      <c r="B575" t="s">
        <v>2916</v>
      </c>
    </row>
    <row r="576" spans="2:2" x14ac:dyDescent="0.25">
      <c r="B576" t="s">
        <v>2917</v>
      </c>
    </row>
    <row r="577" spans="2:2" x14ac:dyDescent="0.25">
      <c r="B577" t="s">
        <v>2918</v>
      </c>
    </row>
    <row r="578" spans="2:2" x14ac:dyDescent="0.25">
      <c r="B578" t="s">
        <v>2918</v>
      </c>
    </row>
    <row r="579" spans="2:2" x14ac:dyDescent="0.25">
      <c r="B579" t="s">
        <v>2808</v>
      </c>
    </row>
    <row r="580" spans="2:2" x14ac:dyDescent="0.25">
      <c r="B580" t="s">
        <v>2919</v>
      </c>
    </row>
    <row r="581" spans="2:2" x14ac:dyDescent="0.25">
      <c r="B581" t="s">
        <v>2920</v>
      </c>
    </row>
    <row r="582" spans="2:2" x14ac:dyDescent="0.25">
      <c r="B582" t="s">
        <v>2921</v>
      </c>
    </row>
    <row r="583" spans="2:2" x14ac:dyDescent="0.25">
      <c r="B583" t="s">
        <v>2922</v>
      </c>
    </row>
    <row r="584" spans="2:2" x14ac:dyDescent="0.25">
      <c r="B584" t="s">
        <v>2923</v>
      </c>
    </row>
    <row r="585" spans="2:2" x14ac:dyDescent="0.25">
      <c r="B585" t="s">
        <v>2808</v>
      </c>
    </row>
    <row r="586" spans="2:2" x14ac:dyDescent="0.25">
      <c r="B586" t="s">
        <v>2924</v>
      </c>
    </row>
    <row r="587" spans="2:2" x14ac:dyDescent="0.25">
      <c r="B587" t="s">
        <v>2808</v>
      </c>
    </row>
    <row r="588" spans="2:2" x14ac:dyDescent="0.25">
      <c r="B588" t="s">
        <v>2925</v>
      </c>
    </row>
    <row r="589" spans="2:2" x14ac:dyDescent="0.25">
      <c r="B589" t="s">
        <v>2926</v>
      </c>
    </row>
    <row r="590" spans="2:2" x14ac:dyDescent="0.25">
      <c r="B590" t="s">
        <v>2927</v>
      </c>
    </row>
    <row r="591" spans="2:2" x14ac:dyDescent="0.25">
      <c r="B591" t="s">
        <v>2928</v>
      </c>
    </row>
    <row r="592" spans="2:2" x14ac:dyDescent="0.25">
      <c r="B592" t="s">
        <v>259</v>
      </c>
    </row>
    <row r="593" spans="2:2" x14ac:dyDescent="0.25">
      <c r="B593" t="s">
        <v>2929</v>
      </c>
    </row>
    <row r="594" spans="2:2" x14ac:dyDescent="0.25">
      <c r="B594" t="s">
        <v>2930</v>
      </c>
    </row>
    <row r="595" spans="2:2" x14ac:dyDescent="0.25">
      <c r="B595" t="s">
        <v>2931</v>
      </c>
    </row>
    <row r="596" spans="2:2" x14ac:dyDescent="0.25">
      <c r="B596" t="s">
        <v>2932</v>
      </c>
    </row>
    <row r="597" spans="2:2" x14ac:dyDescent="0.25">
      <c r="B597" t="s">
        <v>2933</v>
      </c>
    </row>
    <row r="598" spans="2:2" x14ac:dyDescent="0.25">
      <c r="B598" t="s">
        <v>2934</v>
      </c>
    </row>
    <row r="599" spans="2:2" x14ac:dyDescent="0.25">
      <c r="B599" t="s">
        <v>2935</v>
      </c>
    </row>
    <row r="600" spans="2:2" x14ac:dyDescent="0.25">
      <c r="B600" t="s">
        <v>2936</v>
      </c>
    </row>
    <row r="601" spans="2:2" x14ac:dyDescent="0.25">
      <c r="B601" t="s">
        <v>2937</v>
      </c>
    </row>
    <row r="602" spans="2:2" x14ac:dyDescent="0.25">
      <c r="B602" t="s">
        <v>2937</v>
      </c>
    </row>
    <row r="603" spans="2:2" x14ac:dyDescent="0.25">
      <c r="B603" t="s">
        <v>2938</v>
      </c>
    </row>
    <row r="604" spans="2:2" x14ac:dyDescent="0.25">
      <c r="B604" t="s">
        <v>2808</v>
      </c>
    </row>
    <row r="605" spans="2:2" x14ac:dyDescent="0.25">
      <c r="B605" t="s">
        <v>2702</v>
      </c>
    </row>
    <row r="606" spans="2:2" x14ac:dyDescent="0.25">
      <c r="B606" t="s">
        <v>2939</v>
      </c>
    </row>
    <row r="607" spans="2:2" x14ac:dyDescent="0.25">
      <c r="B607" t="s">
        <v>2937</v>
      </c>
    </row>
    <row r="608" spans="2:2" x14ac:dyDescent="0.25">
      <c r="B608" t="s">
        <v>2937</v>
      </c>
    </row>
    <row r="609" spans="2:2" x14ac:dyDescent="0.25">
      <c r="B609" t="s">
        <v>2940</v>
      </c>
    </row>
    <row r="610" spans="2:2" x14ac:dyDescent="0.25">
      <c r="B610" t="s">
        <v>2941</v>
      </c>
    </row>
    <row r="611" spans="2:2" x14ac:dyDescent="0.25">
      <c r="B611" t="s">
        <v>2767</v>
      </c>
    </row>
    <row r="612" spans="2:2" x14ac:dyDescent="0.25">
      <c r="B612" t="s">
        <v>2942</v>
      </c>
    </row>
    <row r="613" spans="2:2" x14ac:dyDescent="0.25">
      <c r="B613" t="s">
        <v>2943</v>
      </c>
    </row>
    <row r="614" spans="2:2" x14ac:dyDescent="0.25">
      <c r="B614" t="s">
        <v>2944</v>
      </c>
    </row>
    <row r="615" spans="2:2" x14ac:dyDescent="0.25">
      <c r="B615" t="s">
        <v>2945</v>
      </c>
    </row>
    <row r="616" spans="2:2" x14ac:dyDescent="0.25">
      <c r="B616" t="s">
        <v>2946</v>
      </c>
    </row>
    <row r="617" spans="2:2" x14ac:dyDescent="0.25">
      <c r="B617" t="s">
        <v>2947</v>
      </c>
    </row>
    <row r="618" spans="2:2" x14ac:dyDescent="0.25">
      <c r="B618" t="s">
        <v>2948</v>
      </c>
    </row>
    <row r="619" spans="2:2" x14ac:dyDescent="0.25">
      <c r="B619" t="s">
        <v>2949</v>
      </c>
    </row>
    <row r="620" spans="2:2" x14ac:dyDescent="0.25">
      <c r="B620" t="s">
        <v>2950</v>
      </c>
    </row>
    <row r="621" spans="2:2" x14ac:dyDescent="0.25">
      <c r="B621" t="s">
        <v>2951</v>
      </c>
    </row>
    <row r="622" spans="2:2" x14ac:dyDescent="0.25">
      <c r="B622" t="s">
        <v>2952</v>
      </c>
    </row>
    <row r="623" spans="2:2" x14ac:dyDescent="0.25">
      <c r="B623" t="s">
        <v>2953</v>
      </c>
    </row>
    <row r="624" spans="2:2" x14ac:dyDescent="0.25">
      <c r="B624" t="s">
        <v>2954</v>
      </c>
    </row>
    <row r="625" spans="2:2" x14ac:dyDescent="0.25">
      <c r="B625" t="s">
        <v>2955</v>
      </c>
    </row>
    <row r="626" spans="2:2" x14ac:dyDescent="0.25">
      <c r="B626" t="s">
        <v>2808</v>
      </c>
    </row>
    <row r="627" spans="2:2" x14ac:dyDescent="0.25">
      <c r="B627" t="s">
        <v>2956</v>
      </c>
    </row>
    <row r="628" spans="2:2" x14ac:dyDescent="0.25">
      <c r="B628" t="s">
        <v>2957</v>
      </c>
    </row>
    <row r="629" spans="2:2" x14ac:dyDescent="0.25">
      <c r="B629" t="s">
        <v>2958</v>
      </c>
    </row>
    <row r="630" spans="2:2" x14ac:dyDescent="0.25">
      <c r="B630" t="s">
        <v>2959</v>
      </c>
    </row>
    <row r="631" spans="2:2" x14ac:dyDescent="0.25">
      <c r="B631" t="s">
        <v>2960</v>
      </c>
    </row>
    <row r="632" spans="2:2" x14ac:dyDescent="0.25">
      <c r="B632" t="s">
        <v>2961</v>
      </c>
    </row>
    <row r="633" spans="2:2" x14ac:dyDescent="0.25">
      <c r="B633" t="s">
        <v>251</v>
      </c>
    </row>
    <row r="634" spans="2:2" x14ac:dyDescent="0.25">
      <c r="B634" t="s">
        <v>2962</v>
      </c>
    </row>
    <row r="635" spans="2:2" x14ac:dyDescent="0.25">
      <c r="B635" t="s">
        <v>2963</v>
      </c>
    </row>
    <row r="636" spans="2:2" x14ac:dyDescent="0.25">
      <c r="B636" t="s">
        <v>2964</v>
      </c>
    </row>
    <row r="637" spans="2:2" x14ac:dyDescent="0.25">
      <c r="B637" t="s">
        <v>2965</v>
      </c>
    </row>
    <row r="638" spans="2:2" x14ac:dyDescent="0.25">
      <c r="B638" t="s">
        <v>2966</v>
      </c>
    </row>
    <row r="639" spans="2:2" x14ac:dyDescent="0.25">
      <c r="B639" t="s">
        <v>2967</v>
      </c>
    </row>
    <row r="640" spans="2:2" x14ac:dyDescent="0.25">
      <c r="B640" t="s">
        <v>2968</v>
      </c>
    </row>
    <row r="641" spans="2:2" x14ac:dyDescent="0.25">
      <c r="B641" t="s">
        <v>2969</v>
      </c>
    </row>
    <row r="642" spans="2:2" x14ac:dyDescent="0.25">
      <c r="B642" t="s">
        <v>2970</v>
      </c>
    </row>
    <row r="643" spans="2:2" x14ac:dyDescent="0.25">
      <c r="B643" t="s">
        <v>2971</v>
      </c>
    </row>
    <row r="644" spans="2:2" x14ac:dyDescent="0.25">
      <c r="B644" t="s">
        <v>2972</v>
      </c>
    </row>
    <row r="645" spans="2:2" x14ac:dyDescent="0.25">
      <c r="B645" t="s">
        <v>2973</v>
      </c>
    </row>
    <row r="646" spans="2:2" x14ac:dyDescent="0.25">
      <c r="B646" t="s">
        <v>2974</v>
      </c>
    </row>
    <row r="647" spans="2:2" x14ac:dyDescent="0.25">
      <c r="B647" t="s">
        <v>2975</v>
      </c>
    </row>
    <row r="648" spans="2:2" x14ac:dyDescent="0.25">
      <c r="B648" t="s">
        <v>2976</v>
      </c>
    </row>
    <row r="649" spans="2:2" x14ac:dyDescent="0.25">
      <c r="B649" t="s">
        <v>2977</v>
      </c>
    </row>
    <row r="650" spans="2:2" x14ac:dyDescent="0.25">
      <c r="B650" t="s">
        <v>2978</v>
      </c>
    </row>
    <row r="651" spans="2:2" x14ac:dyDescent="0.25">
      <c r="B651" t="s">
        <v>2979</v>
      </c>
    </row>
    <row r="652" spans="2:2" x14ac:dyDescent="0.25">
      <c r="B652" t="s">
        <v>2980</v>
      </c>
    </row>
    <row r="653" spans="2:2" x14ac:dyDescent="0.25">
      <c r="B653" t="s">
        <v>2981</v>
      </c>
    </row>
    <row r="654" spans="2:2" x14ac:dyDescent="0.25">
      <c r="B654" t="s">
        <v>2982</v>
      </c>
    </row>
    <row r="655" spans="2:2" x14ac:dyDescent="0.25">
      <c r="B655" t="s">
        <v>2983</v>
      </c>
    </row>
    <row r="656" spans="2:2" x14ac:dyDescent="0.25">
      <c r="B656" t="s">
        <v>2984</v>
      </c>
    </row>
    <row r="657" spans="2:2" x14ac:dyDescent="0.25">
      <c r="B657" t="s">
        <v>2985</v>
      </c>
    </row>
    <row r="658" spans="2:2" x14ac:dyDescent="0.25">
      <c r="B658" t="s">
        <v>2808</v>
      </c>
    </row>
    <row r="659" spans="2:2" x14ac:dyDescent="0.25">
      <c r="B659" t="s">
        <v>2986</v>
      </c>
    </row>
    <row r="660" spans="2:2" x14ac:dyDescent="0.25">
      <c r="B660" t="s">
        <v>2987</v>
      </c>
    </row>
    <row r="661" spans="2:2" x14ac:dyDescent="0.25">
      <c r="B661" t="s">
        <v>2988</v>
      </c>
    </row>
    <row r="662" spans="2:2" x14ac:dyDescent="0.25">
      <c r="B662" t="s">
        <v>2989</v>
      </c>
    </row>
    <row r="663" spans="2:2" x14ac:dyDescent="0.25">
      <c r="B663" t="s">
        <v>2990</v>
      </c>
    </row>
    <row r="664" spans="2:2" x14ac:dyDescent="0.25">
      <c r="B664" t="s">
        <v>2991</v>
      </c>
    </row>
    <row r="665" spans="2:2" x14ac:dyDescent="0.25">
      <c r="B665" t="s">
        <v>2579</v>
      </c>
    </row>
    <row r="666" spans="2:2" x14ac:dyDescent="0.25">
      <c r="B666" t="s">
        <v>2992</v>
      </c>
    </row>
    <row r="667" spans="2:2" x14ac:dyDescent="0.25">
      <c r="B667" t="s">
        <v>2993</v>
      </c>
    </row>
    <row r="668" spans="2:2" x14ac:dyDescent="0.25">
      <c r="B668" t="s">
        <v>2994</v>
      </c>
    </row>
    <row r="669" spans="2:2" x14ac:dyDescent="0.25">
      <c r="B669" t="s">
        <v>2995</v>
      </c>
    </row>
    <row r="670" spans="2:2" x14ac:dyDescent="0.25">
      <c r="B670" t="s">
        <v>2996</v>
      </c>
    </row>
    <row r="671" spans="2:2" x14ac:dyDescent="0.25">
      <c r="B671" t="s">
        <v>2808</v>
      </c>
    </row>
    <row r="672" spans="2:2" x14ac:dyDescent="0.25">
      <c r="B672" t="s">
        <v>2997</v>
      </c>
    </row>
    <row r="673" spans="2:2" x14ac:dyDescent="0.25">
      <c r="B673" t="s">
        <v>2998</v>
      </c>
    </row>
    <row r="674" spans="2:2" x14ac:dyDescent="0.25">
      <c r="B674" t="s">
        <v>2999</v>
      </c>
    </row>
    <row r="675" spans="2:2" x14ac:dyDescent="0.25">
      <c r="B675" t="s">
        <v>3000</v>
      </c>
    </row>
    <row r="676" spans="2:2" x14ac:dyDescent="0.25">
      <c r="B676" t="s">
        <v>3001</v>
      </c>
    </row>
    <row r="677" spans="2:2" x14ac:dyDescent="0.25">
      <c r="B677" t="s">
        <v>3002</v>
      </c>
    </row>
    <row r="678" spans="2:2" x14ac:dyDescent="0.25">
      <c r="B678" t="s">
        <v>2808</v>
      </c>
    </row>
    <row r="679" spans="2:2" x14ac:dyDescent="0.25">
      <c r="B679" t="s">
        <v>3003</v>
      </c>
    </row>
    <row r="680" spans="2:2" x14ac:dyDescent="0.25">
      <c r="B680" t="s">
        <v>3004</v>
      </c>
    </row>
    <row r="681" spans="2:2" x14ac:dyDescent="0.25">
      <c r="B681" t="s">
        <v>3005</v>
      </c>
    </row>
    <row r="682" spans="2:2" x14ac:dyDescent="0.25">
      <c r="B682" t="s">
        <v>3006</v>
      </c>
    </row>
    <row r="683" spans="2:2" x14ac:dyDescent="0.25">
      <c r="B683" t="s">
        <v>3007</v>
      </c>
    </row>
    <row r="684" spans="2:2" x14ac:dyDescent="0.25">
      <c r="B684" t="s">
        <v>3008</v>
      </c>
    </row>
    <row r="685" spans="2:2" x14ac:dyDescent="0.25">
      <c r="B685" t="s">
        <v>3009</v>
      </c>
    </row>
    <row r="686" spans="2:2" x14ac:dyDescent="0.25">
      <c r="B686" t="s">
        <v>3010</v>
      </c>
    </row>
    <row r="687" spans="2:2" x14ac:dyDescent="0.25">
      <c r="B687" t="s">
        <v>3011</v>
      </c>
    </row>
    <row r="688" spans="2:2" x14ac:dyDescent="0.25">
      <c r="B688" t="s">
        <v>3012</v>
      </c>
    </row>
    <row r="689" spans="2:2" x14ac:dyDescent="0.25">
      <c r="B689" t="s">
        <v>3013</v>
      </c>
    </row>
    <row r="690" spans="2:2" x14ac:dyDescent="0.25">
      <c r="B690" t="s">
        <v>3014</v>
      </c>
    </row>
    <row r="691" spans="2:2" x14ac:dyDescent="0.25">
      <c r="B691" t="s">
        <v>3015</v>
      </c>
    </row>
    <row r="692" spans="2:2" x14ac:dyDescent="0.25">
      <c r="B692" t="s">
        <v>3016</v>
      </c>
    </row>
    <row r="693" spans="2:2" x14ac:dyDescent="0.25">
      <c r="B693" t="s">
        <v>3017</v>
      </c>
    </row>
    <row r="694" spans="2:2" x14ac:dyDescent="0.25">
      <c r="B694" t="s">
        <v>3018</v>
      </c>
    </row>
    <row r="695" spans="2:2" x14ac:dyDescent="0.25">
      <c r="B695" t="s">
        <v>2808</v>
      </c>
    </row>
    <row r="696" spans="2:2" x14ac:dyDescent="0.25">
      <c r="B696" t="s">
        <v>1187</v>
      </c>
    </row>
    <row r="697" spans="2:2" x14ac:dyDescent="0.25">
      <c r="B697" t="s">
        <v>3019</v>
      </c>
    </row>
    <row r="698" spans="2:2" x14ac:dyDescent="0.25">
      <c r="B698" t="s">
        <v>3020</v>
      </c>
    </row>
    <row r="699" spans="2:2" x14ac:dyDescent="0.25">
      <c r="B699" t="s">
        <v>2808</v>
      </c>
    </row>
    <row r="700" spans="2:2" x14ac:dyDescent="0.25">
      <c r="B700" t="s">
        <v>2808</v>
      </c>
    </row>
    <row r="701" spans="2:2" x14ac:dyDescent="0.25">
      <c r="B701" t="s">
        <v>2808</v>
      </c>
    </row>
    <row r="702" spans="2:2" x14ac:dyDescent="0.25">
      <c r="B702" t="s">
        <v>3021</v>
      </c>
    </row>
    <row r="703" spans="2:2" x14ac:dyDescent="0.25">
      <c r="B703" t="s">
        <v>3022</v>
      </c>
    </row>
    <row r="704" spans="2:2" x14ac:dyDescent="0.25">
      <c r="B704" t="s">
        <v>3023</v>
      </c>
    </row>
    <row r="705" spans="2:2" x14ac:dyDescent="0.25">
      <c r="B705" t="s">
        <v>3024</v>
      </c>
    </row>
    <row r="706" spans="2:2" x14ac:dyDescent="0.25">
      <c r="B706" t="s">
        <v>3025</v>
      </c>
    </row>
    <row r="707" spans="2:2" x14ac:dyDescent="0.25">
      <c r="B707" t="s">
        <v>3026</v>
      </c>
    </row>
    <row r="708" spans="2:2" x14ac:dyDescent="0.25">
      <c r="B708" t="s">
        <v>3027</v>
      </c>
    </row>
    <row r="709" spans="2:2" x14ac:dyDescent="0.25">
      <c r="B709" t="s">
        <v>3028</v>
      </c>
    </row>
    <row r="710" spans="2:2" x14ac:dyDescent="0.25">
      <c r="B710" t="s">
        <v>3029</v>
      </c>
    </row>
    <row r="711" spans="2:2" x14ac:dyDescent="0.25">
      <c r="B711" t="s">
        <v>3030</v>
      </c>
    </row>
    <row r="712" spans="2:2" x14ac:dyDescent="0.25">
      <c r="B712" t="s">
        <v>3031</v>
      </c>
    </row>
    <row r="713" spans="2:2" x14ac:dyDescent="0.25">
      <c r="B713" t="s">
        <v>3032</v>
      </c>
    </row>
    <row r="714" spans="2:2" x14ac:dyDescent="0.25">
      <c r="B714" t="s">
        <v>3033</v>
      </c>
    </row>
    <row r="715" spans="2:2" x14ac:dyDescent="0.25">
      <c r="B715" t="s">
        <v>3034</v>
      </c>
    </row>
    <row r="716" spans="2:2" x14ac:dyDescent="0.25">
      <c r="B716" t="s">
        <v>3035</v>
      </c>
    </row>
    <row r="717" spans="2:2" x14ac:dyDescent="0.25">
      <c r="B717" t="s">
        <v>3036</v>
      </c>
    </row>
    <row r="718" spans="2:2" x14ac:dyDescent="0.25">
      <c r="B718" t="s">
        <v>3037</v>
      </c>
    </row>
    <row r="719" spans="2:2" x14ac:dyDescent="0.25">
      <c r="B719" t="s">
        <v>2808</v>
      </c>
    </row>
    <row r="720" spans="2:2" x14ac:dyDescent="0.25">
      <c r="B720" t="s">
        <v>2808</v>
      </c>
    </row>
    <row r="721" spans="2:2" x14ac:dyDescent="0.25">
      <c r="B721" t="s">
        <v>3038</v>
      </c>
    </row>
    <row r="722" spans="2:2" x14ac:dyDescent="0.25">
      <c r="B722" t="s">
        <v>3039</v>
      </c>
    </row>
    <row r="723" spans="2:2" x14ac:dyDescent="0.25">
      <c r="B723" t="s">
        <v>2808</v>
      </c>
    </row>
    <row r="724" spans="2:2" x14ac:dyDescent="0.25">
      <c r="B724" t="s">
        <v>3040</v>
      </c>
    </row>
    <row r="725" spans="2:2" x14ac:dyDescent="0.25">
      <c r="B725" t="s">
        <v>3041</v>
      </c>
    </row>
    <row r="726" spans="2:2" x14ac:dyDescent="0.25">
      <c r="B726" t="s">
        <v>3042</v>
      </c>
    </row>
    <row r="727" spans="2:2" x14ac:dyDescent="0.25">
      <c r="B727" t="s">
        <v>3043</v>
      </c>
    </row>
    <row r="728" spans="2:2" x14ac:dyDescent="0.25">
      <c r="B728" t="s">
        <v>2808</v>
      </c>
    </row>
    <row r="729" spans="2:2" x14ac:dyDescent="0.25">
      <c r="B729" t="s">
        <v>3044</v>
      </c>
    </row>
    <row r="730" spans="2:2" x14ac:dyDescent="0.25">
      <c r="B730" t="s">
        <v>3045</v>
      </c>
    </row>
    <row r="731" spans="2:2" x14ac:dyDescent="0.25">
      <c r="B731" t="s">
        <v>3046</v>
      </c>
    </row>
    <row r="732" spans="2:2" x14ac:dyDescent="0.25">
      <c r="B732" t="s">
        <v>2808</v>
      </c>
    </row>
    <row r="733" spans="2:2" x14ac:dyDescent="0.25">
      <c r="B733" t="s">
        <v>3047</v>
      </c>
    </row>
    <row r="734" spans="2:2" x14ac:dyDescent="0.25">
      <c r="B734" t="s">
        <v>3048</v>
      </c>
    </row>
    <row r="735" spans="2:2" x14ac:dyDescent="0.25">
      <c r="B735" t="s">
        <v>2808</v>
      </c>
    </row>
    <row r="736" spans="2:2" x14ac:dyDescent="0.25">
      <c r="B736" t="s">
        <v>3049</v>
      </c>
    </row>
    <row r="737" spans="2:2" x14ac:dyDescent="0.25">
      <c r="B737" t="s">
        <v>3050</v>
      </c>
    </row>
    <row r="738" spans="2:2" x14ac:dyDescent="0.25">
      <c r="B738" t="s">
        <v>3051</v>
      </c>
    </row>
    <row r="739" spans="2:2" x14ac:dyDescent="0.25">
      <c r="B739" t="s">
        <v>3052</v>
      </c>
    </row>
    <row r="740" spans="2:2" x14ac:dyDescent="0.25">
      <c r="B740" t="s">
        <v>3053</v>
      </c>
    </row>
    <row r="741" spans="2:2" x14ac:dyDescent="0.25">
      <c r="B741" t="s">
        <v>3054</v>
      </c>
    </row>
    <row r="742" spans="2:2" x14ac:dyDescent="0.25">
      <c r="B742" t="s">
        <v>3055</v>
      </c>
    </row>
    <row r="743" spans="2:2" x14ac:dyDescent="0.25">
      <c r="B743" t="s">
        <v>2808</v>
      </c>
    </row>
    <row r="744" spans="2:2" x14ac:dyDescent="0.25">
      <c r="B744" t="s">
        <v>2808</v>
      </c>
    </row>
    <row r="745" spans="2:2" x14ac:dyDescent="0.25">
      <c r="B745" t="s">
        <v>3056</v>
      </c>
    </row>
    <row r="746" spans="2:2" x14ac:dyDescent="0.25">
      <c r="B746" t="s">
        <v>3057</v>
      </c>
    </row>
    <row r="747" spans="2:2" x14ac:dyDescent="0.25">
      <c r="B747" t="s">
        <v>3058</v>
      </c>
    </row>
    <row r="748" spans="2:2" x14ac:dyDescent="0.25">
      <c r="B748" t="s">
        <v>2808</v>
      </c>
    </row>
    <row r="749" spans="2:2" x14ac:dyDescent="0.25">
      <c r="B749" t="s">
        <v>3059</v>
      </c>
    </row>
    <row r="750" spans="2:2" x14ac:dyDescent="0.25">
      <c r="B750" t="s">
        <v>3060</v>
      </c>
    </row>
    <row r="751" spans="2:2" x14ac:dyDescent="0.25">
      <c r="B751" t="s">
        <v>3061</v>
      </c>
    </row>
    <row r="752" spans="2:2" x14ac:dyDescent="0.25">
      <c r="B752" t="s">
        <v>3062</v>
      </c>
    </row>
    <row r="753" spans="2:2" x14ac:dyDescent="0.25">
      <c r="B753" t="s">
        <v>3063</v>
      </c>
    </row>
    <row r="754" spans="2:2" x14ac:dyDescent="0.25">
      <c r="B754" t="s">
        <v>3064</v>
      </c>
    </row>
    <row r="755" spans="2:2" x14ac:dyDescent="0.25">
      <c r="B755" t="s">
        <v>3065</v>
      </c>
    </row>
    <row r="756" spans="2:2" x14ac:dyDescent="0.25">
      <c r="B756" t="s">
        <v>3066</v>
      </c>
    </row>
    <row r="757" spans="2:2" x14ac:dyDescent="0.25">
      <c r="B757" t="s">
        <v>2778</v>
      </c>
    </row>
    <row r="758" spans="2:2" x14ac:dyDescent="0.25">
      <c r="B758" t="s">
        <v>3067</v>
      </c>
    </row>
    <row r="759" spans="2:2" x14ac:dyDescent="0.25">
      <c r="B759" t="s">
        <v>2808</v>
      </c>
    </row>
    <row r="760" spans="2:2" x14ac:dyDescent="0.25">
      <c r="B760" t="s">
        <v>3068</v>
      </c>
    </row>
    <row r="761" spans="2:2" x14ac:dyDescent="0.25">
      <c r="B761" t="s">
        <v>2808</v>
      </c>
    </row>
    <row r="762" spans="2:2" x14ac:dyDescent="0.25">
      <c r="B762" t="s">
        <v>3069</v>
      </c>
    </row>
    <row r="763" spans="2:2" x14ac:dyDescent="0.25">
      <c r="B763" t="s">
        <v>2808</v>
      </c>
    </row>
    <row r="764" spans="2:2" x14ac:dyDescent="0.25">
      <c r="B764" t="s">
        <v>2808</v>
      </c>
    </row>
    <row r="765" spans="2:2" x14ac:dyDescent="0.25">
      <c r="B765" t="s">
        <v>3070</v>
      </c>
    </row>
    <row r="766" spans="2:2" x14ac:dyDescent="0.25">
      <c r="B766" t="s">
        <v>3071</v>
      </c>
    </row>
    <row r="767" spans="2:2" x14ac:dyDescent="0.25">
      <c r="B767" t="s">
        <v>3072</v>
      </c>
    </row>
    <row r="768" spans="2:2" x14ac:dyDescent="0.25">
      <c r="B768" t="s">
        <v>3073</v>
      </c>
    </row>
    <row r="769" spans="2:2" x14ac:dyDescent="0.25">
      <c r="B769" t="s">
        <v>3074</v>
      </c>
    </row>
    <row r="770" spans="2:2" x14ac:dyDescent="0.25">
      <c r="B770" t="s">
        <v>3075</v>
      </c>
    </row>
    <row r="771" spans="2:2" x14ac:dyDescent="0.25">
      <c r="B771" t="s">
        <v>2808</v>
      </c>
    </row>
    <row r="772" spans="2:2" x14ac:dyDescent="0.25">
      <c r="B772" t="s">
        <v>2808</v>
      </c>
    </row>
    <row r="773" spans="2:2" x14ac:dyDescent="0.25">
      <c r="B773" t="s">
        <v>3076</v>
      </c>
    </row>
    <row r="774" spans="2:2" x14ac:dyDescent="0.25">
      <c r="B774" t="s">
        <v>3077</v>
      </c>
    </row>
    <row r="775" spans="2:2" x14ac:dyDescent="0.25">
      <c r="B775" t="s">
        <v>3078</v>
      </c>
    </row>
    <row r="776" spans="2:2" x14ac:dyDescent="0.25">
      <c r="B776" t="s">
        <v>3079</v>
      </c>
    </row>
    <row r="777" spans="2:2" x14ac:dyDescent="0.25">
      <c r="B777" t="s">
        <v>3080</v>
      </c>
    </row>
    <row r="778" spans="2:2" x14ac:dyDescent="0.25">
      <c r="B778" t="s">
        <v>3081</v>
      </c>
    </row>
    <row r="779" spans="2:2" x14ac:dyDescent="0.25">
      <c r="B779" t="s">
        <v>3082</v>
      </c>
    </row>
    <row r="780" spans="2:2" x14ac:dyDescent="0.25">
      <c r="B780" t="s">
        <v>3083</v>
      </c>
    </row>
    <row r="781" spans="2:2" x14ac:dyDescent="0.25">
      <c r="B781" t="s">
        <v>3084</v>
      </c>
    </row>
    <row r="782" spans="2:2" x14ac:dyDescent="0.25">
      <c r="B782" t="s">
        <v>2808</v>
      </c>
    </row>
    <row r="783" spans="2:2" x14ac:dyDescent="0.25">
      <c r="B783" t="s">
        <v>2808</v>
      </c>
    </row>
    <row r="784" spans="2:2" x14ac:dyDescent="0.25">
      <c r="B784" t="s">
        <v>3085</v>
      </c>
    </row>
    <row r="785" spans="2:2" x14ac:dyDescent="0.25">
      <c r="B785" t="s">
        <v>2808</v>
      </c>
    </row>
    <row r="786" spans="2:2" x14ac:dyDescent="0.25">
      <c r="B786" t="s">
        <v>3086</v>
      </c>
    </row>
    <row r="787" spans="2:2" x14ac:dyDescent="0.25">
      <c r="B787" t="s">
        <v>2808</v>
      </c>
    </row>
    <row r="788" spans="2:2" x14ac:dyDescent="0.25">
      <c r="B788" t="s">
        <v>3087</v>
      </c>
    </row>
    <row r="789" spans="2:2" x14ac:dyDescent="0.25">
      <c r="B789" t="s">
        <v>3088</v>
      </c>
    </row>
    <row r="790" spans="2:2" x14ac:dyDescent="0.25">
      <c r="B790" t="s">
        <v>3089</v>
      </c>
    </row>
    <row r="791" spans="2:2" x14ac:dyDescent="0.25">
      <c r="B791" t="s">
        <v>3090</v>
      </c>
    </row>
    <row r="792" spans="2:2" x14ac:dyDescent="0.25">
      <c r="B792" t="s">
        <v>3091</v>
      </c>
    </row>
    <row r="793" spans="2:2" x14ac:dyDescent="0.25">
      <c r="B793" t="s">
        <v>3092</v>
      </c>
    </row>
    <row r="794" spans="2:2" x14ac:dyDescent="0.25">
      <c r="B794" t="s">
        <v>3093</v>
      </c>
    </row>
    <row r="795" spans="2:2" x14ac:dyDescent="0.25">
      <c r="B795" t="s">
        <v>3094</v>
      </c>
    </row>
    <row r="796" spans="2:2" x14ac:dyDescent="0.25">
      <c r="B796" t="s">
        <v>3095</v>
      </c>
    </row>
    <row r="797" spans="2:2" x14ac:dyDescent="0.25">
      <c r="B797" t="s">
        <v>3096</v>
      </c>
    </row>
    <row r="798" spans="2:2" x14ac:dyDescent="0.25">
      <c r="B798" t="s">
        <v>3097</v>
      </c>
    </row>
    <row r="799" spans="2:2" x14ac:dyDescent="0.25">
      <c r="B799" t="s">
        <v>3098</v>
      </c>
    </row>
    <row r="800" spans="2:2" x14ac:dyDescent="0.25">
      <c r="B800" t="s">
        <v>3099</v>
      </c>
    </row>
    <row r="801" spans="2:2" x14ac:dyDescent="0.25">
      <c r="B801" t="s">
        <v>3100</v>
      </c>
    </row>
    <row r="802" spans="2:2" x14ac:dyDescent="0.25">
      <c r="B802" t="s">
        <v>3101</v>
      </c>
    </row>
    <row r="803" spans="2:2" x14ac:dyDescent="0.25">
      <c r="B803" t="s">
        <v>3102</v>
      </c>
    </row>
    <row r="804" spans="2:2" x14ac:dyDescent="0.25">
      <c r="B804" t="s">
        <v>3103</v>
      </c>
    </row>
    <row r="805" spans="2:2" x14ac:dyDescent="0.25">
      <c r="B805" t="s">
        <v>3104</v>
      </c>
    </row>
    <row r="806" spans="2:2" x14ac:dyDescent="0.25">
      <c r="B806" t="s">
        <v>3105</v>
      </c>
    </row>
    <row r="807" spans="2:2" x14ac:dyDescent="0.25">
      <c r="B807" t="s">
        <v>3106</v>
      </c>
    </row>
    <row r="808" spans="2:2" x14ac:dyDescent="0.25">
      <c r="B808" t="s">
        <v>3107</v>
      </c>
    </row>
    <row r="809" spans="2:2" x14ac:dyDescent="0.25">
      <c r="B809" t="s">
        <v>3108</v>
      </c>
    </row>
    <row r="810" spans="2:2" x14ac:dyDescent="0.25">
      <c r="B810" t="s">
        <v>3109</v>
      </c>
    </row>
    <row r="811" spans="2:2" x14ac:dyDescent="0.25">
      <c r="B811" t="s">
        <v>3110</v>
      </c>
    </row>
    <row r="812" spans="2:2" x14ac:dyDescent="0.25">
      <c r="B812" t="s">
        <v>3111</v>
      </c>
    </row>
    <row r="813" spans="2:2" x14ac:dyDescent="0.25">
      <c r="B813" t="s">
        <v>3112</v>
      </c>
    </row>
    <row r="814" spans="2:2" x14ac:dyDescent="0.25">
      <c r="B814" t="s">
        <v>3113</v>
      </c>
    </row>
    <row r="815" spans="2:2" x14ac:dyDescent="0.25">
      <c r="B815" t="s">
        <v>2808</v>
      </c>
    </row>
    <row r="816" spans="2:2" x14ac:dyDescent="0.25">
      <c r="B816" t="s">
        <v>2808</v>
      </c>
    </row>
    <row r="817" spans="2:2" x14ac:dyDescent="0.25">
      <c r="B817" t="s">
        <v>3114</v>
      </c>
    </row>
    <row r="818" spans="2:2" x14ac:dyDescent="0.25">
      <c r="B818" t="s">
        <v>3115</v>
      </c>
    </row>
    <row r="819" spans="2:2" x14ac:dyDescent="0.25">
      <c r="B819" t="s">
        <v>3116</v>
      </c>
    </row>
    <row r="820" spans="2:2" x14ac:dyDescent="0.25">
      <c r="B820" t="s">
        <v>3117</v>
      </c>
    </row>
    <row r="821" spans="2:2" x14ac:dyDescent="0.25">
      <c r="B821" t="s">
        <v>3118</v>
      </c>
    </row>
    <row r="822" spans="2:2" x14ac:dyDescent="0.25">
      <c r="B822" t="s">
        <v>3119</v>
      </c>
    </row>
    <row r="823" spans="2:2" x14ac:dyDescent="0.25">
      <c r="B823" t="s">
        <v>3120</v>
      </c>
    </row>
    <row r="824" spans="2:2" x14ac:dyDescent="0.25">
      <c r="B824" t="s">
        <v>3121</v>
      </c>
    </row>
    <row r="825" spans="2:2" x14ac:dyDescent="0.25">
      <c r="B825" t="s">
        <v>3122</v>
      </c>
    </row>
    <row r="826" spans="2:2" x14ac:dyDescent="0.25">
      <c r="B826" t="s">
        <v>2808</v>
      </c>
    </row>
    <row r="827" spans="2:2" x14ac:dyDescent="0.25">
      <c r="B827" t="s">
        <v>2808</v>
      </c>
    </row>
    <row r="828" spans="2:2" x14ac:dyDescent="0.25">
      <c r="B828" t="s">
        <v>3123</v>
      </c>
    </row>
    <row r="829" spans="2:2" x14ac:dyDescent="0.25">
      <c r="B829" t="s">
        <v>3124</v>
      </c>
    </row>
    <row r="830" spans="2:2" x14ac:dyDescent="0.25">
      <c r="B830" t="s">
        <v>3125</v>
      </c>
    </row>
    <row r="831" spans="2:2" x14ac:dyDescent="0.25">
      <c r="B831" t="s">
        <v>3126</v>
      </c>
    </row>
    <row r="832" spans="2:2" x14ac:dyDescent="0.25">
      <c r="B832" t="s">
        <v>3127</v>
      </c>
    </row>
    <row r="833" spans="2:2" x14ac:dyDescent="0.25">
      <c r="B833" t="s">
        <v>2808</v>
      </c>
    </row>
    <row r="834" spans="2:2" x14ac:dyDescent="0.25">
      <c r="B834" t="s">
        <v>2808</v>
      </c>
    </row>
    <row r="835" spans="2:2" x14ac:dyDescent="0.25">
      <c r="B835" t="s">
        <v>2808</v>
      </c>
    </row>
    <row r="836" spans="2:2" x14ac:dyDescent="0.25">
      <c r="B836" t="s">
        <v>2808</v>
      </c>
    </row>
    <row r="837" spans="2:2" x14ac:dyDescent="0.25">
      <c r="B837" t="s">
        <v>2808</v>
      </c>
    </row>
    <row r="838" spans="2:2" x14ac:dyDescent="0.25">
      <c r="B838" t="s">
        <v>3128</v>
      </c>
    </row>
    <row r="839" spans="2:2" x14ac:dyDescent="0.25">
      <c r="B839" t="s">
        <v>2808</v>
      </c>
    </row>
    <row r="840" spans="2:2" x14ac:dyDescent="0.25">
      <c r="B840" t="s">
        <v>2808</v>
      </c>
    </row>
    <row r="841" spans="2:2" x14ac:dyDescent="0.25">
      <c r="B841" t="s">
        <v>3129</v>
      </c>
    </row>
    <row r="842" spans="2:2" x14ac:dyDescent="0.25">
      <c r="B842" t="s">
        <v>3130</v>
      </c>
    </row>
    <row r="843" spans="2:2" x14ac:dyDescent="0.25">
      <c r="B843" t="s">
        <v>2808</v>
      </c>
    </row>
    <row r="844" spans="2:2" x14ac:dyDescent="0.25">
      <c r="B844" t="s">
        <v>3131</v>
      </c>
    </row>
    <row r="845" spans="2:2" x14ac:dyDescent="0.25">
      <c r="B845" t="s">
        <v>3132</v>
      </c>
    </row>
    <row r="846" spans="2:2" x14ac:dyDescent="0.25">
      <c r="B846" t="s">
        <v>3133</v>
      </c>
    </row>
    <row r="847" spans="2:2" x14ac:dyDescent="0.25">
      <c r="B847" t="s">
        <v>3134</v>
      </c>
    </row>
    <row r="848" spans="2:2" x14ac:dyDescent="0.25">
      <c r="B848" t="s">
        <v>2808</v>
      </c>
    </row>
    <row r="849" spans="2:2" x14ac:dyDescent="0.25">
      <c r="B849" t="s">
        <v>2808</v>
      </c>
    </row>
    <row r="850" spans="2:2" x14ac:dyDescent="0.25">
      <c r="B850" t="s">
        <v>3135</v>
      </c>
    </row>
    <row r="851" spans="2:2" x14ac:dyDescent="0.25">
      <c r="B851" t="s">
        <v>3136</v>
      </c>
    </row>
    <row r="852" spans="2:2" x14ac:dyDescent="0.25">
      <c r="B852" t="s">
        <v>3137</v>
      </c>
    </row>
    <row r="853" spans="2:2" x14ac:dyDescent="0.25">
      <c r="B853" t="s">
        <v>3138</v>
      </c>
    </row>
    <row r="854" spans="2:2" x14ac:dyDescent="0.25">
      <c r="B854" t="s">
        <v>2808</v>
      </c>
    </row>
    <row r="855" spans="2:2" x14ac:dyDescent="0.25">
      <c r="B855" t="s">
        <v>3139</v>
      </c>
    </row>
    <row r="856" spans="2:2" x14ac:dyDescent="0.25">
      <c r="B856" t="s">
        <v>3140</v>
      </c>
    </row>
    <row r="857" spans="2:2" x14ac:dyDescent="0.25">
      <c r="B857" t="s">
        <v>3141</v>
      </c>
    </row>
    <row r="858" spans="2:2" x14ac:dyDescent="0.25">
      <c r="B858" t="s">
        <v>3142</v>
      </c>
    </row>
    <row r="859" spans="2:2" x14ac:dyDescent="0.25">
      <c r="B859" t="s">
        <v>3143</v>
      </c>
    </row>
    <row r="860" spans="2:2" x14ac:dyDescent="0.25">
      <c r="B860" t="s">
        <v>3144</v>
      </c>
    </row>
    <row r="861" spans="2:2" x14ac:dyDescent="0.25">
      <c r="B861" t="s">
        <v>3145</v>
      </c>
    </row>
    <row r="862" spans="2:2" x14ac:dyDescent="0.25">
      <c r="B862" t="s">
        <v>3146</v>
      </c>
    </row>
    <row r="863" spans="2:2" x14ac:dyDescent="0.25">
      <c r="B863" t="s">
        <v>3147</v>
      </c>
    </row>
    <row r="864" spans="2:2" x14ac:dyDescent="0.25">
      <c r="B864" t="s">
        <v>3148</v>
      </c>
    </row>
    <row r="865" spans="2:2" x14ac:dyDescent="0.25">
      <c r="B865" t="s">
        <v>3149</v>
      </c>
    </row>
    <row r="866" spans="2:2" x14ac:dyDescent="0.25">
      <c r="B866" t="s">
        <v>3150</v>
      </c>
    </row>
    <row r="867" spans="2:2" x14ac:dyDescent="0.25">
      <c r="B867" t="s">
        <v>3151</v>
      </c>
    </row>
    <row r="868" spans="2:2" x14ac:dyDescent="0.25">
      <c r="B868" t="s">
        <v>3152</v>
      </c>
    </row>
    <row r="869" spans="2:2" x14ac:dyDescent="0.25">
      <c r="B869" t="s">
        <v>3152</v>
      </c>
    </row>
    <row r="870" spans="2:2" x14ac:dyDescent="0.25">
      <c r="B870" t="s">
        <v>2808</v>
      </c>
    </row>
    <row r="871" spans="2:2" x14ac:dyDescent="0.25">
      <c r="B871" t="s">
        <v>2808</v>
      </c>
    </row>
    <row r="872" spans="2:2" x14ac:dyDescent="0.25">
      <c r="B872" t="s">
        <v>3153</v>
      </c>
    </row>
    <row r="873" spans="2:2" x14ac:dyDescent="0.25">
      <c r="B873" t="s">
        <v>3154</v>
      </c>
    </row>
    <row r="874" spans="2:2" x14ac:dyDescent="0.25">
      <c r="B874" t="s">
        <v>3155</v>
      </c>
    </row>
    <row r="875" spans="2:2" x14ac:dyDescent="0.25">
      <c r="B875" t="s">
        <v>3156</v>
      </c>
    </row>
    <row r="876" spans="2:2" x14ac:dyDescent="0.25">
      <c r="B876" t="s">
        <v>2808</v>
      </c>
    </row>
    <row r="877" spans="2:2" x14ac:dyDescent="0.25">
      <c r="B877" t="s">
        <v>3157</v>
      </c>
    </row>
    <row r="878" spans="2:2" x14ac:dyDescent="0.25">
      <c r="B878" t="s">
        <v>3158</v>
      </c>
    </row>
    <row r="879" spans="2:2" x14ac:dyDescent="0.25">
      <c r="B879" t="s">
        <v>3159</v>
      </c>
    </row>
    <row r="880" spans="2:2" x14ac:dyDescent="0.25">
      <c r="B880" t="s">
        <v>3160</v>
      </c>
    </row>
    <row r="881" spans="2:2" x14ac:dyDescent="0.25">
      <c r="B881" t="s">
        <v>3161</v>
      </c>
    </row>
    <row r="882" spans="2:2" x14ac:dyDescent="0.25">
      <c r="B882" t="s">
        <v>3162</v>
      </c>
    </row>
    <row r="883" spans="2:2" x14ac:dyDescent="0.25">
      <c r="B883" t="s">
        <v>3163</v>
      </c>
    </row>
    <row r="884" spans="2:2" x14ac:dyDescent="0.25">
      <c r="B884" t="s">
        <v>2808</v>
      </c>
    </row>
    <row r="885" spans="2:2" x14ac:dyDescent="0.25">
      <c r="B885" t="s">
        <v>3164</v>
      </c>
    </row>
    <row r="886" spans="2:2" x14ac:dyDescent="0.25">
      <c r="B886" t="s">
        <v>3165</v>
      </c>
    </row>
    <row r="887" spans="2:2" x14ac:dyDescent="0.25">
      <c r="B887" t="s">
        <v>3166</v>
      </c>
    </row>
    <row r="888" spans="2:2" x14ac:dyDescent="0.25">
      <c r="B888" t="s">
        <v>3167</v>
      </c>
    </row>
    <row r="889" spans="2:2" x14ac:dyDescent="0.25">
      <c r="B889" t="s">
        <v>3168</v>
      </c>
    </row>
    <row r="890" spans="2:2" x14ac:dyDescent="0.25">
      <c r="B890" t="s">
        <v>3169</v>
      </c>
    </row>
    <row r="891" spans="2:2" x14ac:dyDescent="0.25">
      <c r="B891" t="s">
        <v>3170</v>
      </c>
    </row>
    <row r="892" spans="2:2" x14ac:dyDescent="0.25">
      <c r="B892" t="s">
        <v>3171</v>
      </c>
    </row>
    <row r="893" spans="2:2" x14ac:dyDescent="0.25">
      <c r="B893" t="s">
        <v>2808</v>
      </c>
    </row>
    <row r="894" spans="2:2" x14ac:dyDescent="0.25">
      <c r="B894" t="s">
        <v>3172</v>
      </c>
    </row>
    <row r="895" spans="2:2" x14ac:dyDescent="0.25">
      <c r="B895" t="s">
        <v>3173</v>
      </c>
    </row>
    <row r="896" spans="2:2" x14ac:dyDescent="0.25">
      <c r="B896" t="s">
        <v>3174</v>
      </c>
    </row>
    <row r="897" spans="2:2" x14ac:dyDescent="0.25">
      <c r="B897" t="s">
        <v>2808</v>
      </c>
    </row>
    <row r="898" spans="2:2" x14ac:dyDescent="0.25">
      <c r="B898" t="s">
        <v>2808</v>
      </c>
    </row>
    <row r="899" spans="2:2" x14ac:dyDescent="0.25">
      <c r="B899" t="s">
        <v>3175</v>
      </c>
    </row>
    <row r="900" spans="2:2" x14ac:dyDescent="0.25">
      <c r="B900" t="s">
        <v>2808</v>
      </c>
    </row>
    <row r="901" spans="2:2" x14ac:dyDescent="0.25">
      <c r="B901" t="s">
        <v>3176</v>
      </c>
    </row>
    <row r="902" spans="2:2" x14ac:dyDescent="0.25">
      <c r="B902" t="s">
        <v>3177</v>
      </c>
    </row>
    <row r="903" spans="2:2" x14ac:dyDescent="0.25">
      <c r="B903" t="s">
        <v>3178</v>
      </c>
    </row>
    <row r="904" spans="2:2" x14ac:dyDescent="0.25">
      <c r="B904" t="s">
        <v>3179</v>
      </c>
    </row>
    <row r="905" spans="2:2" x14ac:dyDescent="0.25">
      <c r="B905" t="s">
        <v>2808</v>
      </c>
    </row>
    <row r="906" spans="2:2" x14ac:dyDescent="0.25">
      <c r="B906" t="s">
        <v>2808</v>
      </c>
    </row>
    <row r="907" spans="2:2" x14ac:dyDescent="0.25">
      <c r="B907" t="s">
        <v>2808</v>
      </c>
    </row>
    <row r="908" spans="2:2" x14ac:dyDescent="0.25">
      <c r="B908" t="s">
        <v>3180</v>
      </c>
    </row>
    <row r="909" spans="2:2" x14ac:dyDescent="0.25">
      <c r="B909" t="s">
        <v>2808</v>
      </c>
    </row>
    <row r="910" spans="2:2" x14ac:dyDescent="0.25">
      <c r="B910" t="s">
        <v>3181</v>
      </c>
    </row>
    <row r="911" spans="2:2" x14ac:dyDescent="0.25">
      <c r="B911" t="s">
        <v>3182</v>
      </c>
    </row>
    <row r="912" spans="2:2" x14ac:dyDescent="0.25">
      <c r="B912" t="s">
        <v>2808</v>
      </c>
    </row>
    <row r="913" spans="2:2" x14ac:dyDescent="0.25">
      <c r="B913" t="s">
        <v>2808</v>
      </c>
    </row>
    <row r="914" spans="2:2" x14ac:dyDescent="0.25">
      <c r="B914" t="s">
        <v>2808</v>
      </c>
    </row>
    <row r="915" spans="2:2" x14ac:dyDescent="0.25">
      <c r="B915" t="s">
        <v>3183</v>
      </c>
    </row>
    <row r="916" spans="2:2" x14ac:dyDescent="0.25">
      <c r="B916" t="s">
        <v>3184</v>
      </c>
    </row>
    <row r="917" spans="2:2" x14ac:dyDescent="0.25">
      <c r="B917" t="s">
        <v>3185</v>
      </c>
    </row>
    <row r="918" spans="2:2" x14ac:dyDescent="0.25">
      <c r="B918" t="s">
        <v>2808</v>
      </c>
    </row>
    <row r="919" spans="2:2" x14ac:dyDescent="0.25">
      <c r="B919" t="s">
        <v>3186</v>
      </c>
    </row>
    <row r="920" spans="2:2" x14ac:dyDescent="0.25">
      <c r="B920" t="s">
        <v>3187</v>
      </c>
    </row>
    <row r="921" spans="2:2" x14ac:dyDescent="0.25">
      <c r="B921" t="s">
        <v>2808</v>
      </c>
    </row>
    <row r="922" spans="2:2" x14ac:dyDescent="0.25">
      <c r="B922" t="s">
        <v>3188</v>
      </c>
    </row>
    <row r="923" spans="2:2" x14ac:dyDescent="0.25">
      <c r="B923" t="s">
        <v>3189</v>
      </c>
    </row>
    <row r="924" spans="2:2" x14ac:dyDescent="0.25">
      <c r="B924" t="s">
        <v>3190</v>
      </c>
    </row>
    <row r="925" spans="2:2" x14ac:dyDescent="0.25">
      <c r="B925" t="s">
        <v>3191</v>
      </c>
    </row>
    <row r="926" spans="2:2" x14ac:dyDescent="0.25">
      <c r="B926" t="s">
        <v>2808</v>
      </c>
    </row>
    <row r="927" spans="2:2" x14ac:dyDescent="0.25">
      <c r="B927" t="s">
        <v>3192</v>
      </c>
    </row>
    <row r="928" spans="2:2" x14ac:dyDescent="0.25">
      <c r="B928" t="s">
        <v>3193</v>
      </c>
    </row>
    <row r="929" spans="2:2" x14ac:dyDescent="0.25">
      <c r="B929" t="s">
        <v>3194</v>
      </c>
    </row>
    <row r="930" spans="2:2" x14ac:dyDescent="0.25">
      <c r="B930" t="s">
        <v>3195</v>
      </c>
    </row>
    <row r="931" spans="2:2" x14ac:dyDescent="0.25">
      <c r="B931" t="s">
        <v>3196</v>
      </c>
    </row>
    <row r="932" spans="2:2" x14ac:dyDescent="0.25">
      <c r="B932" t="s">
        <v>3197</v>
      </c>
    </row>
    <row r="933" spans="2:2" x14ac:dyDescent="0.25">
      <c r="B933" t="s">
        <v>3198</v>
      </c>
    </row>
    <row r="934" spans="2:2" x14ac:dyDescent="0.25">
      <c r="B934" t="s">
        <v>3199</v>
      </c>
    </row>
    <row r="935" spans="2:2" x14ac:dyDescent="0.25">
      <c r="B935" t="s">
        <v>3200</v>
      </c>
    </row>
    <row r="936" spans="2:2" x14ac:dyDescent="0.25">
      <c r="B936" t="s">
        <v>2808</v>
      </c>
    </row>
    <row r="937" spans="2:2" x14ac:dyDescent="0.25">
      <c r="B937" t="s">
        <v>2808</v>
      </c>
    </row>
    <row r="938" spans="2:2" x14ac:dyDescent="0.25">
      <c r="B938" t="s">
        <v>3201</v>
      </c>
    </row>
    <row r="939" spans="2:2" x14ac:dyDescent="0.25">
      <c r="B939" t="s">
        <v>2808</v>
      </c>
    </row>
    <row r="940" spans="2:2" x14ac:dyDescent="0.25">
      <c r="B940" t="s">
        <v>3202</v>
      </c>
    </row>
    <row r="941" spans="2:2" x14ac:dyDescent="0.25">
      <c r="B941" t="s">
        <v>3203</v>
      </c>
    </row>
    <row r="942" spans="2:2" x14ac:dyDescent="0.25">
      <c r="B942" t="s">
        <v>3055</v>
      </c>
    </row>
    <row r="943" spans="2:2" x14ac:dyDescent="0.25">
      <c r="B943" t="s">
        <v>3055</v>
      </c>
    </row>
    <row r="944" spans="2:2" x14ac:dyDescent="0.25">
      <c r="B944" t="s">
        <v>3204</v>
      </c>
    </row>
    <row r="945" spans="2:2" x14ac:dyDescent="0.25">
      <c r="B945" t="s">
        <v>3205</v>
      </c>
    </row>
    <row r="946" spans="2:2" x14ac:dyDescent="0.25">
      <c r="B946" t="s">
        <v>3206</v>
      </c>
    </row>
    <row r="947" spans="2:2" x14ac:dyDescent="0.25">
      <c r="B947" t="s">
        <v>3207</v>
      </c>
    </row>
    <row r="948" spans="2:2" x14ac:dyDescent="0.25">
      <c r="B948" t="s">
        <v>3208</v>
      </c>
    </row>
    <row r="949" spans="2:2" x14ac:dyDescent="0.25">
      <c r="B949" t="s">
        <v>3209</v>
      </c>
    </row>
    <row r="950" spans="2:2" x14ac:dyDescent="0.25">
      <c r="B950" t="s">
        <v>3210</v>
      </c>
    </row>
    <row r="951" spans="2:2" x14ac:dyDescent="0.25">
      <c r="B951" t="s">
        <v>3211</v>
      </c>
    </row>
    <row r="952" spans="2:2" x14ac:dyDescent="0.25">
      <c r="B952" t="s">
        <v>3212</v>
      </c>
    </row>
    <row r="953" spans="2:2" x14ac:dyDescent="0.25">
      <c r="B953" t="s">
        <v>2808</v>
      </c>
    </row>
    <row r="954" spans="2:2" x14ac:dyDescent="0.25">
      <c r="B954" t="s">
        <v>2808</v>
      </c>
    </row>
    <row r="955" spans="2:2" x14ac:dyDescent="0.25">
      <c r="B955" t="s">
        <v>3213</v>
      </c>
    </row>
    <row r="956" spans="2:2" x14ac:dyDescent="0.25">
      <c r="B956" t="s">
        <v>3214</v>
      </c>
    </row>
    <row r="957" spans="2:2" x14ac:dyDescent="0.25">
      <c r="B957" t="s">
        <v>3215</v>
      </c>
    </row>
    <row r="958" spans="2:2" x14ac:dyDescent="0.25">
      <c r="B958" t="s">
        <v>2808</v>
      </c>
    </row>
    <row r="959" spans="2:2" x14ac:dyDescent="0.25">
      <c r="B959" t="s">
        <v>2808</v>
      </c>
    </row>
    <row r="960" spans="2:2" x14ac:dyDescent="0.25">
      <c r="B960" t="s">
        <v>2794</v>
      </c>
    </row>
    <row r="961" spans="2:2" x14ac:dyDescent="0.25">
      <c r="B961" t="s">
        <v>3216</v>
      </c>
    </row>
    <row r="962" spans="2:2" x14ac:dyDescent="0.25">
      <c r="B962" t="s">
        <v>3217</v>
      </c>
    </row>
    <row r="963" spans="2:2" x14ac:dyDescent="0.25">
      <c r="B963" t="s">
        <v>3218</v>
      </c>
    </row>
    <row r="964" spans="2:2" x14ac:dyDescent="0.25">
      <c r="B964" t="s">
        <v>3219</v>
      </c>
    </row>
    <row r="965" spans="2:2" x14ac:dyDescent="0.25">
      <c r="B965" t="s">
        <v>3220</v>
      </c>
    </row>
    <row r="966" spans="2:2" x14ac:dyDescent="0.25">
      <c r="B966" t="s">
        <v>3221</v>
      </c>
    </row>
    <row r="967" spans="2:2" x14ac:dyDescent="0.25">
      <c r="B967" t="s">
        <v>3222</v>
      </c>
    </row>
    <row r="968" spans="2:2" x14ac:dyDescent="0.25">
      <c r="B968" t="s">
        <v>3223</v>
      </c>
    </row>
    <row r="969" spans="2:2" x14ac:dyDescent="0.25">
      <c r="B969" t="s">
        <v>2808</v>
      </c>
    </row>
    <row r="970" spans="2:2" x14ac:dyDescent="0.25">
      <c r="B970" t="s">
        <v>2808</v>
      </c>
    </row>
    <row r="971" spans="2:2" x14ac:dyDescent="0.25">
      <c r="B971" t="s">
        <v>2808</v>
      </c>
    </row>
    <row r="972" spans="2:2" x14ac:dyDescent="0.25">
      <c r="B972" t="s">
        <v>3224</v>
      </c>
    </row>
    <row r="973" spans="2:2" x14ac:dyDescent="0.25">
      <c r="B973" t="s">
        <v>2808</v>
      </c>
    </row>
    <row r="974" spans="2:2" x14ac:dyDescent="0.25">
      <c r="B974" t="s">
        <v>2808</v>
      </c>
    </row>
    <row r="975" spans="2:2" x14ac:dyDescent="0.25">
      <c r="B975" t="s">
        <v>2808</v>
      </c>
    </row>
    <row r="976" spans="2:2" x14ac:dyDescent="0.25">
      <c r="B976" t="s">
        <v>2808</v>
      </c>
    </row>
    <row r="977" spans="2:2" x14ac:dyDescent="0.25">
      <c r="B977" t="s">
        <v>2808</v>
      </c>
    </row>
    <row r="978" spans="2:2" x14ac:dyDescent="0.25">
      <c r="B978" t="s">
        <v>2808</v>
      </c>
    </row>
    <row r="979" spans="2:2" x14ac:dyDescent="0.25">
      <c r="B979" t="s">
        <v>2808</v>
      </c>
    </row>
    <row r="980" spans="2:2" x14ac:dyDescent="0.25">
      <c r="B980" t="s">
        <v>3224</v>
      </c>
    </row>
    <row r="981" spans="2:2" x14ac:dyDescent="0.25">
      <c r="B981" t="s">
        <v>2808</v>
      </c>
    </row>
    <row r="982" spans="2:2" x14ac:dyDescent="0.25">
      <c r="B982" t="s">
        <v>2808</v>
      </c>
    </row>
    <row r="983" spans="2:2" x14ac:dyDescent="0.25">
      <c r="B983" t="s">
        <v>1131</v>
      </c>
    </row>
    <row r="984" spans="2:2" x14ac:dyDescent="0.25">
      <c r="B984" t="s">
        <v>3225</v>
      </c>
    </row>
    <row r="985" spans="2:2" x14ac:dyDescent="0.25">
      <c r="B985" t="s">
        <v>3226</v>
      </c>
    </row>
    <row r="986" spans="2:2" x14ac:dyDescent="0.25">
      <c r="B986" t="s">
        <v>3227</v>
      </c>
    </row>
    <row r="987" spans="2:2" x14ac:dyDescent="0.25">
      <c r="B987" t="s">
        <v>3228</v>
      </c>
    </row>
    <row r="988" spans="2:2" x14ac:dyDescent="0.25">
      <c r="B988" t="s">
        <v>3229</v>
      </c>
    </row>
    <row r="989" spans="2:2" x14ac:dyDescent="0.25">
      <c r="B989" t="s">
        <v>3230</v>
      </c>
    </row>
    <row r="990" spans="2:2" x14ac:dyDescent="0.25">
      <c r="B990" t="s">
        <v>3231</v>
      </c>
    </row>
    <row r="991" spans="2:2" x14ac:dyDescent="0.25">
      <c r="B991" t="s">
        <v>3232</v>
      </c>
    </row>
    <row r="992" spans="2:2" x14ac:dyDescent="0.25">
      <c r="B992" t="s">
        <v>3233</v>
      </c>
    </row>
    <row r="993" spans="2:2" x14ac:dyDescent="0.25">
      <c r="B993" t="s">
        <v>3234</v>
      </c>
    </row>
    <row r="994" spans="2:2" x14ac:dyDescent="0.25">
      <c r="B994" t="s">
        <v>2808</v>
      </c>
    </row>
    <row r="995" spans="2:2" x14ac:dyDescent="0.25">
      <c r="B995" t="s">
        <v>2808</v>
      </c>
    </row>
    <row r="996" spans="2:2" x14ac:dyDescent="0.25">
      <c r="B996" t="s">
        <v>2808</v>
      </c>
    </row>
    <row r="997" spans="2:2" x14ac:dyDescent="0.25">
      <c r="B997" t="s">
        <v>2808</v>
      </c>
    </row>
    <row r="998" spans="2:2" x14ac:dyDescent="0.25">
      <c r="B998" t="s">
        <v>3235</v>
      </c>
    </row>
    <row r="999" spans="2:2" x14ac:dyDescent="0.25">
      <c r="B999" t="s">
        <v>2808</v>
      </c>
    </row>
    <row r="1000" spans="2:2" x14ac:dyDescent="0.25">
      <c r="B1000" t="s">
        <v>3236</v>
      </c>
    </row>
    <row r="1001" spans="2:2" x14ac:dyDescent="0.25">
      <c r="B1001" t="s">
        <v>3224</v>
      </c>
    </row>
    <row r="1002" spans="2:2" x14ac:dyDescent="0.25">
      <c r="B1002" t="s">
        <v>3237</v>
      </c>
    </row>
    <row r="1003" spans="2:2" x14ac:dyDescent="0.25">
      <c r="B1003" t="s">
        <v>3238</v>
      </c>
    </row>
    <row r="1004" spans="2:2" x14ac:dyDescent="0.25">
      <c r="B1004" t="s">
        <v>3239</v>
      </c>
    </row>
    <row r="1005" spans="2:2" x14ac:dyDescent="0.25">
      <c r="B1005" t="s">
        <v>3240</v>
      </c>
    </row>
    <row r="1006" spans="2:2" x14ac:dyDescent="0.25">
      <c r="B1006" t="s">
        <v>2808</v>
      </c>
    </row>
    <row r="1007" spans="2:2" x14ac:dyDescent="0.25">
      <c r="B1007" t="s">
        <v>3241</v>
      </c>
    </row>
    <row r="1008" spans="2:2" x14ac:dyDescent="0.25">
      <c r="B1008" t="s">
        <v>3242</v>
      </c>
    </row>
    <row r="1009" spans="2:2" x14ac:dyDescent="0.25">
      <c r="B1009" t="s">
        <v>3243</v>
      </c>
    </row>
    <row r="1010" spans="2:2" x14ac:dyDescent="0.25">
      <c r="B1010" t="s">
        <v>2945</v>
      </c>
    </row>
    <row r="1011" spans="2:2" x14ac:dyDescent="0.25">
      <c r="B1011" t="s">
        <v>3244</v>
      </c>
    </row>
    <row r="1012" spans="2:2" x14ac:dyDescent="0.25">
      <c r="B1012" t="s">
        <v>3245</v>
      </c>
    </row>
    <row r="1013" spans="2:2" x14ac:dyDescent="0.25">
      <c r="B1013" t="s">
        <v>3246</v>
      </c>
    </row>
    <row r="1014" spans="2:2" x14ac:dyDescent="0.25">
      <c r="B1014" t="s">
        <v>3247</v>
      </c>
    </row>
    <row r="1015" spans="2:2" x14ac:dyDescent="0.25">
      <c r="B1015" t="s">
        <v>3248</v>
      </c>
    </row>
    <row r="1016" spans="2:2" x14ac:dyDescent="0.25">
      <c r="B1016" t="s">
        <v>3249</v>
      </c>
    </row>
    <row r="1017" spans="2:2" x14ac:dyDescent="0.25">
      <c r="B1017" t="s">
        <v>2808</v>
      </c>
    </row>
    <row r="1018" spans="2:2" x14ac:dyDescent="0.25">
      <c r="B1018" t="s">
        <v>2808</v>
      </c>
    </row>
    <row r="1019" spans="2:2" x14ac:dyDescent="0.25">
      <c r="B1019" t="s">
        <v>3250</v>
      </c>
    </row>
    <row r="1020" spans="2:2" x14ac:dyDescent="0.25">
      <c r="B1020" t="s">
        <v>2808</v>
      </c>
    </row>
    <row r="1021" spans="2:2" x14ac:dyDescent="0.25">
      <c r="B1021" t="s">
        <v>3251</v>
      </c>
    </row>
    <row r="1022" spans="2:2" x14ac:dyDescent="0.25">
      <c r="B1022" t="s">
        <v>2808</v>
      </c>
    </row>
    <row r="1023" spans="2:2" x14ac:dyDescent="0.25">
      <c r="B1023" t="s">
        <v>3252</v>
      </c>
    </row>
    <row r="1024" spans="2:2" x14ac:dyDescent="0.25">
      <c r="B1024" t="s">
        <v>3253</v>
      </c>
    </row>
    <row r="1025" spans="2:2" x14ac:dyDescent="0.25">
      <c r="B1025" t="s">
        <v>3254</v>
      </c>
    </row>
    <row r="1026" spans="2:2" x14ac:dyDescent="0.25">
      <c r="B1026" t="s">
        <v>3255</v>
      </c>
    </row>
    <row r="1027" spans="2:2" x14ac:dyDescent="0.25">
      <c r="B1027" t="s">
        <v>3256</v>
      </c>
    </row>
    <row r="1028" spans="2:2" x14ac:dyDescent="0.25">
      <c r="B1028" t="s">
        <v>2808</v>
      </c>
    </row>
    <row r="1029" spans="2:2" x14ac:dyDescent="0.25">
      <c r="B1029" t="s">
        <v>3257</v>
      </c>
    </row>
    <row r="1030" spans="2:2" x14ac:dyDescent="0.25">
      <c r="B1030" t="s">
        <v>3258</v>
      </c>
    </row>
    <row r="1031" spans="2:2" x14ac:dyDescent="0.25">
      <c r="B1031" t="s">
        <v>3259</v>
      </c>
    </row>
    <row r="1032" spans="2:2" x14ac:dyDescent="0.25">
      <c r="B1032" t="s">
        <v>3260</v>
      </c>
    </row>
    <row r="1033" spans="2:2" x14ac:dyDescent="0.25">
      <c r="B1033" t="s">
        <v>2808</v>
      </c>
    </row>
    <row r="1034" spans="2:2" x14ac:dyDescent="0.25">
      <c r="B1034" t="s">
        <v>3261</v>
      </c>
    </row>
    <row r="1035" spans="2:2" x14ac:dyDescent="0.25">
      <c r="B1035" t="s">
        <v>3262</v>
      </c>
    </row>
    <row r="1036" spans="2:2" x14ac:dyDescent="0.25">
      <c r="B1036" t="s">
        <v>3263</v>
      </c>
    </row>
    <row r="1037" spans="2:2" x14ac:dyDescent="0.25">
      <c r="B1037" t="s">
        <v>3264</v>
      </c>
    </row>
    <row r="1038" spans="2:2" x14ac:dyDescent="0.25">
      <c r="B1038" t="s">
        <v>2808</v>
      </c>
    </row>
    <row r="1039" spans="2:2" x14ac:dyDescent="0.25">
      <c r="B1039" t="s">
        <v>3265</v>
      </c>
    </row>
    <row r="1040" spans="2:2" x14ac:dyDescent="0.25">
      <c r="B1040" t="s">
        <v>3266</v>
      </c>
    </row>
    <row r="1041" spans="2:2" x14ac:dyDescent="0.25">
      <c r="B1041" t="s">
        <v>2808</v>
      </c>
    </row>
    <row r="1042" spans="2:2" x14ac:dyDescent="0.25">
      <c r="B1042" t="s">
        <v>3267</v>
      </c>
    </row>
    <row r="1043" spans="2:2" x14ac:dyDescent="0.25">
      <c r="B1043" t="s">
        <v>3268</v>
      </c>
    </row>
    <row r="1044" spans="2:2" x14ac:dyDescent="0.25">
      <c r="B1044" t="s">
        <v>3269</v>
      </c>
    </row>
    <row r="1045" spans="2:2" x14ac:dyDescent="0.25">
      <c r="B1045" t="s">
        <v>3224</v>
      </c>
    </row>
    <row r="1046" spans="2:2" x14ac:dyDescent="0.25">
      <c r="B1046" t="s">
        <v>2808</v>
      </c>
    </row>
    <row r="1047" spans="2:2" x14ac:dyDescent="0.25">
      <c r="B1047" t="s">
        <v>2808</v>
      </c>
    </row>
    <row r="1048" spans="2:2" x14ac:dyDescent="0.25">
      <c r="B1048" t="s">
        <v>3270</v>
      </c>
    </row>
    <row r="1049" spans="2:2" x14ac:dyDescent="0.25">
      <c r="B1049" t="s">
        <v>3271</v>
      </c>
    </row>
    <row r="1050" spans="2:2" x14ac:dyDescent="0.25">
      <c r="B1050" t="s">
        <v>460</v>
      </c>
    </row>
    <row r="1051" spans="2:2" x14ac:dyDescent="0.25">
      <c r="B1051" t="s">
        <v>2808</v>
      </c>
    </row>
    <row r="1052" spans="2:2" x14ac:dyDescent="0.25">
      <c r="B1052" t="s">
        <v>3272</v>
      </c>
    </row>
    <row r="1053" spans="2:2" x14ac:dyDescent="0.25">
      <c r="B1053" t="s">
        <v>2982</v>
      </c>
    </row>
    <row r="1054" spans="2:2" x14ac:dyDescent="0.25">
      <c r="B1054" t="s">
        <v>3273</v>
      </c>
    </row>
    <row r="1055" spans="2:2" x14ac:dyDescent="0.25">
      <c r="B1055" t="s">
        <v>3274</v>
      </c>
    </row>
    <row r="1056" spans="2:2" x14ac:dyDescent="0.25">
      <c r="B1056" t="s">
        <v>3275</v>
      </c>
    </row>
    <row r="1057" spans="2:2" x14ac:dyDescent="0.25">
      <c r="B1057" t="s">
        <v>3276</v>
      </c>
    </row>
    <row r="1058" spans="2:2" x14ac:dyDescent="0.25">
      <c r="B1058" t="s">
        <v>3277</v>
      </c>
    </row>
    <row r="1059" spans="2:2" x14ac:dyDescent="0.25">
      <c r="B1059" t="s">
        <v>3278</v>
      </c>
    </row>
    <row r="1060" spans="2:2" x14ac:dyDescent="0.25">
      <c r="B1060" t="s">
        <v>3279</v>
      </c>
    </row>
    <row r="1061" spans="2:2" x14ac:dyDescent="0.25">
      <c r="B1061" t="s">
        <v>2808</v>
      </c>
    </row>
    <row r="1062" spans="2:2" x14ac:dyDescent="0.25">
      <c r="B1062" t="s">
        <v>3280</v>
      </c>
    </row>
    <row r="1063" spans="2:2" x14ac:dyDescent="0.25">
      <c r="B1063" t="s">
        <v>3281</v>
      </c>
    </row>
    <row r="1064" spans="2:2" x14ac:dyDescent="0.25">
      <c r="B1064" t="s">
        <v>3282</v>
      </c>
    </row>
    <row r="1065" spans="2:2" x14ac:dyDescent="0.25">
      <c r="B1065" t="s">
        <v>3283</v>
      </c>
    </row>
    <row r="1066" spans="2:2" x14ac:dyDescent="0.25">
      <c r="B1066" t="s">
        <v>2808</v>
      </c>
    </row>
    <row r="1067" spans="2:2" x14ac:dyDescent="0.25">
      <c r="B1067" t="s">
        <v>3284</v>
      </c>
    </row>
    <row r="1068" spans="2:2" x14ac:dyDescent="0.25">
      <c r="B1068" t="s">
        <v>3285</v>
      </c>
    </row>
    <row r="1069" spans="2:2" x14ac:dyDescent="0.25">
      <c r="B1069" t="s">
        <v>3286</v>
      </c>
    </row>
    <row r="1070" spans="2:2" x14ac:dyDescent="0.25">
      <c r="B1070" t="s">
        <v>3287</v>
      </c>
    </row>
    <row r="1071" spans="2:2" x14ac:dyDescent="0.25">
      <c r="B1071" t="s">
        <v>3288</v>
      </c>
    </row>
    <row r="1072" spans="2:2" x14ac:dyDescent="0.25">
      <c r="B1072" t="s">
        <v>2808</v>
      </c>
    </row>
    <row r="1073" spans="2:2" x14ac:dyDescent="0.25">
      <c r="B1073" t="s">
        <v>2808</v>
      </c>
    </row>
    <row r="1074" spans="2:2" x14ac:dyDescent="0.25">
      <c r="B1074" t="s">
        <v>2808</v>
      </c>
    </row>
    <row r="1075" spans="2:2" x14ac:dyDescent="0.25">
      <c r="B1075" t="s">
        <v>3289</v>
      </c>
    </row>
    <row r="1076" spans="2:2" x14ac:dyDescent="0.25">
      <c r="B1076" t="s">
        <v>2808</v>
      </c>
    </row>
    <row r="1077" spans="2:2" x14ac:dyDescent="0.25">
      <c r="B1077" t="s">
        <v>3290</v>
      </c>
    </row>
    <row r="1078" spans="2:2" x14ac:dyDescent="0.25">
      <c r="B1078" t="s">
        <v>2808</v>
      </c>
    </row>
    <row r="1079" spans="2:2" x14ac:dyDescent="0.25">
      <c r="B1079" t="s">
        <v>2808</v>
      </c>
    </row>
    <row r="1080" spans="2:2" x14ac:dyDescent="0.25">
      <c r="B1080" t="s">
        <v>2808</v>
      </c>
    </row>
    <row r="1081" spans="2:2" x14ac:dyDescent="0.25">
      <c r="B1081" t="s">
        <v>2808</v>
      </c>
    </row>
    <row r="1082" spans="2:2" x14ac:dyDescent="0.25">
      <c r="B1082" t="s">
        <v>3291</v>
      </c>
    </row>
    <row r="1083" spans="2:2" x14ac:dyDescent="0.25">
      <c r="B1083" t="s">
        <v>3292</v>
      </c>
    </row>
    <row r="1084" spans="2:2" x14ac:dyDescent="0.25">
      <c r="B1084" t="s">
        <v>3293</v>
      </c>
    </row>
    <row r="1085" spans="2:2" x14ac:dyDescent="0.25">
      <c r="B1085" t="s">
        <v>2808</v>
      </c>
    </row>
    <row r="1086" spans="2:2" x14ac:dyDescent="0.25">
      <c r="B1086" t="s">
        <v>3294</v>
      </c>
    </row>
    <row r="1087" spans="2:2" x14ac:dyDescent="0.25">
      <c r="B1087" t="s">
        <v>3295</v>
      </c>
    </row>
    <row r="1088" spans="2:2" x14ac:dyDescent="0.25">
      <c r="B1088" t="s">
        <v>2808</v>
      </c>
    </row>
    <row r="1089" spans="2:2" x14ac:dyDescent="0.25">
      <c r="B1089" t="s">
        <v>3035</v>
      </c>
    </row>
    <row r="1090" spans="2:2" x14ac:dyDescent="0.25">
      <c r="B1090" t="s">
        <v>3296</v>
      </c>
    </row>
    <row r="1091" spans="2:2" x14ac:dyDescent="0.25">
      <c r="B1091" t="s">
        <v>3297</v>
      </c>
    </row>
    <row r="1092" spans="2:2" x14ac:dyDescent="0.25">
      <c r="B1092" t="s">
        <v>3298</v>
      </c>
    </row>
    <row r="1093" spans="2:2" x14ac:dyDescent="0.25">
      <c r="B1093" t="s">
        <v>3299</v>
      </c>
    </row>
    <row r="1094" spans="2:2" x14ac:dyDescent="0.25">
      <c r="B1094" t="s">
        <v>2808</v>
      </c>
    </row>
    <row r="1095" spans="2:2" x14ac:dyDescent="0.25">
      <c r="B1095" t="s">
        <v>3300</v>
      </c>
    </row>
    <row r="1096" spans="2:2" x14ac:dyDescent="0.25">
      <c r="B1096" t="s">
        <v>2808</v>
      </c>
    </row>
    <row r="1097" spans="2:2" x14ac:dyDescent="0.25">
      <c r="B1097" t="s">
        <v>3301</v>
      </c>
    </row>
    <row r="1098" spans="2:2" x14ac:dyDescent="0.25">
      <c r="B1098" t="s">
        <v>3302</v>
      </c>
    </row>
    <row r="1099" spans="2:2" x14ac:dyDescent="0.25">
      <c r="B1099" t="s">
        <v>3303</v>
      </c>
    </row>
    <row r="1100" spans="2:2" x14ac:dyDescent="0.25">
      <c r="B1100" t="s">
        <v>3304</v>
      </c>
    </row>
    <row r="1101" spans="2:2" x14ac:dyDescent="0.25">
      <c r="B1101" t="s">
        <v>3305</v>
      </c>
    </row>
    <row r="1102" spans="2:2" x14ac:dyDescent="0.25">
      <c r="B1102" t="s">
        <v>3306</v>
      </c>
    </row>
    <row r="1103" spans="2:2" x14ac:dyDescent="0.25">
      <c r="B1103" t="s">
        <v>2808</v>
      </c>
    </row>
    <row r="1104" spans="2:2" x14ac:dyDescent="0.25">
      <c r="B1104" t="s">
        <v>3307</v>
      </c>
    </row>
    <row r="1105" spans="2:2" x14ac:dyDescent="0.25">
      <c r="B1105" t="s">
        <v>3308</v>
      </c>
    </row>
    <row r="1106" spans="2:2" x14ac:dyDescent="0.25">
      <c r="B1106" t="s">
        <v>3309</v>
      </c>
    </row>
    <row r="1107" spans="2:2" x14ac:dyDescent="0.25">
      <c r="B1107" t="s">
        <v>2808</v>
      </c>
    </row>
    <row r="1108" spans="2:2" x14ac:dyDescent="0.25">
      <c r="B1108" t="s">
        <v>3310</v>
      </c>
    </row>
    <row r="1109" spans="2:2" x14ac:dyDescent="0.25">
      <c r="B1109" t="s">
        <v>3311</v>
      </c>
    </row>
    <row r="1110" spans="2:2" x14ac:dyDescent="0.25">
      <c r="B1110" t="s">
        <v>3312</v>
      </c>
    </row>
    <row r="1111" spans="2:2" x14ac:dyDescent="0.25">
      <c r="B1111" t="s">
        <v>2808</v>
      </c>
    </row>
    <row r="1112" spans="2:2" x14ac:dyDescent="0.25">
      <c r="B1112" t="s">
        <v>3313</v>
      </c>
    </row>
    <row r="1113" spans="2:2" x14ac:dyDescent="0.25">
      <c r="B1113" t="s">
        <v>3314</v>
      </c>
    </row>
    <row r="1114" spans="2:2" x14ac:dyDescent="0.25">
      <c r="B1114" t="s">
        <v>2641</v>
      </c>
    </row>
    <row r="1115" spans="2:2" x14ac:dyDescent="0.25">
      <c r="B1115" t="s">
        <v>3315</v>
      </c>
    </row>
    <row r="1116" spans="2:2" x14ac:dyDescent="0.25">
      <c r="B1116" t="s">
        <v>3316</v>
      </c>
    </row>
    <row r="1117" spans="2:2" x14ac:dyDescent="0.25">
      <c r="B1117" t="s">
        <v>3317</v>
      </c>
    </row>
    <row r="1118" spans="2:2" x14ac:dyDescent="0.25">
      <c r="B1118" t="s">
        <v>3318</v>
      </c>
    </row>
    <row r="1119" spans="2:2" x14ac:dyDescent="0.25">
      <c r="B1119" t="s">
        <v>3319</v>
      </c>
    </row>
    <row r="1120" spans="2:2" x14ac:dyDescent="0.25">
      <c r="B1120" t="s">
        <v>2808</v>
      </c>
    </row>
    <row r="1121" spans="2:2" x14ac:dyDescent="0.25">
      <c r="B1121" t="s">
        <v>3320</v>
      </c>
    </row>
    <row r="1122" spans="2:2" x14ac:dyDescent="0.25">
      <c r="B1122" t="s">
        <v>2808</v>
      </c>
    </row>
    <row r="1123" spans="2:2" x14ac:dyDescent="0.25">
      <c r="B1123" t="s">
        <v>3321</v>
      </c>
    </row>
    <row r="1124" spans="2:2" x14ac:dyDescent="0.25">
      <c r="B1124" t="s">
        <v>3322</v>
      </c>
    </row>
    <row r="1125" spans="2:2" x14ac:dyDescent="0.25">
      <c r="B1125" t="s">
        <v>3323</v>
      </c>
    </row>
    <row r="1126" spans="2:2" x14ac:dyDescent="0.25">
      <c r="B1126" t="s">
        <v>3324</v>
      </c>
    </row>
    <row r="1127" spans="2:2" x14ac:dyDescent="0.25">
      <c r="B1127" t="s">
        <v>2808</v>
      </c>
    </row>
    <row r="1128" spans="2:2" x14ac:dyDescent="0.25">
      <c r="B1128" t="s">
        <v>3325</v>
      </c>
    </row>
    <row r="1129" spans="2:2" x14ac:dyDescent="0.25">
      <c r="B1129" t="s">
        <v>3326</v>
      </c>
    </row>
    <row r="1130" spans="2:2" x14ac:dyDescent="0.25">
      <c r="B1130" t="s">
        <v>3327</v>
      </c>
    </row>
    <row r="1131" spans="2:2" x14ac:dyDescent="0.25">
      <c r="B1131" t="s">
        <v>3328</v>
      </c>
    </row>
    <row r="1132" spans="2:2" x14ac:dyDescent="0.25">
      <c r="B1132" t="s">
        <v>2808</v>
      </c>
    </row>
    <row r="1133" spans="2:2" x14ac:dyDescent="0.25">
      <c r="B1133" t="s">
        <v>3329</v>
      </c>
    </row>
    <row r="1134" spans="2:2" x14ac:dyDescent="0.25">
      <c r="B1134" t="s">
        <v>3330</v>
      </c>
    </row>
    <row r="1135" spans="2:2" x14ac:dyDescent="0.25">
      <c r="B1135" t="s">
        <v>2808</v>
      </c>
    </row>
    <row r="1136" spans="2:2" x14ac:dyDescent="0.25">
      <c r="B1136" t="s">
        <v>3331</v>
      </c>
    </row>
    <row r="1137" spans="2:2" x14ac:dyDescent="0.25">
      <c r="B1137" t="s">
        <v>2808</v>
      </c>
    </row>
    <row r="1138" spans="2:2" x14ac:dyDescent="0.25">
      <c r="B1138" t="s">
        <v>3332</v>
      </c>
    </row>
    <row r="1139" spans="2:2" x14ac:dyDescent="0.25">
      <c r="B1139" t="s">
        <v>3333</v>
      </c>
    </row>
    <row r="1140" spans="2:2" x14ac:dyDescent="0.25">
      <c r="B1140" t="s">
        <v>2808</v>
      </c>
    </row>
    <row r="1141" spans="2:2" x14ac:dyDescent="0.25">
      <c r="B1141" t="s">
        <v>3334</v>
      </c>
    </row>
    <row r="1142" spans="2:2" x14ac:dyDescent="0.25">
      <c r="B1142" t="s">
        <v>3335</v>
      </c>
    </row>
    <row r="1143" spans="2:2" x14ac:dyDescent="0.25">
      <c r="B1143" t="s">
        <v>3336</v>
      </c>
    </row>
    <row r="1144" spans="2:2" x14ac:dyDescent="0.25">
      <c r="B1144" t="s">
        <v>3337</v>
      </c>
    </row>
    <row r="1145" spans="2:2" x14ac:dyDescent="0.25">
      <c r="B1145" t="s">
        <v>2808</v>
      </c>
    </row>
    <row r="1146" spans="2:2" x14ac:dyDescent="0.25">
      <c r="B1146" t="s">
        <v>3338</v>
      </c>
    </row>
    <row r="1147" spans="2:2" x14ac:dyDescent="0.25">
      <c r="B1147" t="s">
        <v>3339</v>
      </c>
    </row>
    <row r="1148" spans="2:2" x14ac:dyDescent="0.25">
      <c r="B1148" t="s">
        <v>2808</v>
      </c>
    </row>
    <row r="1149" spans="2:2" x14ac:dyDescent="0.25">
      <c r="B1149" t="s">
        <v>2808</v>
      </c>
    </row>
    <row r="1150" spans="2:2" x14ac:dyDescent="0.25">
      <c r="B1150" t="s">
        <v>3340</v>
      </c>
    </row>
    <row r="1151" spans="2:2" x14ac:dyDescent="0.25">
      <c r="B1151" t="s">
        <v>3341</v>
      </c>
    </row>
    <row r="1152" spans="2:2" x14ac:dyDescent="0.25">
      <c r="B1152" t="s">
        <v>2808</v>
      </c>
    </row>
    <row r="1153" spans="2:2" x14ac:dyDescent="0.25">
      <c r="B1153" t="s">
        <v>3342</v>
      </c>
    </row>
    <row r="1154" spans="2:2" x14ac:dyDescent="0.25">
      <c r="B1154" t="s">
        <v>2808</v>
      </c>
    </row>
    <row r="1155" spans="2:2" x14ac:dyDescent="0.25">
      <c r="B1155" t="s">
        <v>2808</v>
      </c>
    </row>
    <row r="1156" spans="2:2" x14ac:dyDescent="0.25">
      <c r="B1156" t="s">
        <v>2808</v>
      </c>
    </row>
    <row r="1157" spans="2:2" x14ac:dyDescent="0.25">
      <c r="B1157" t="s">
        <v>3343</v>
      </c>
    </row>
    <row r="1158" spans="2:2" x14ac:dyDescent="0.25">
      <c r="B1158" t="s">
        <v>3344</v>
      </c>
    </row>
    <row r="1159" spans="2:2" x14ac:dyDescent="0.25">
      <c r="B1159" t="s">
        <v>3345</v>
      </c>
    </row>
    <row r="1160" spans="2:2" x14ac:dyDescent="0.25">
      <c r="B1160" t="s">
        <v>3346</v>
      </c>
    </row>
    <row r="1161" spans="2:2" x14ac:dyDescent="0.25">
      <c r="B1161" t="s">
        <v>3347</v>
      </c>
    </row>
    <row r="1162" spans="2:2" x14ac:dyDescent="0.25">
      <c r="B1162" t="s">
        <v>3348</v>
      </c>
    </row>
    <row r="1163" spans="2:2" x14ac:dyDescent="0.25">
      <c r="B1163" t="s">
        <v>3349</v>
      </c>
    </row>
    <row r="1164" spans="2:2" x14ac:dyDescent="0.25">
      <c r="B1164" t="s">
        <v>3350</v>
      </c>
    </row>
    <row r="1165" spans="2:2" x14ac:dyDescent="0.25">
      <c r="B1165" t="s">
        <v>3351</v>
      </c>
    </row>
    <row r="1166" spans="2:2" x14ac:dyDescent="0.25">
      <c r="B1166" t="s">
        <v>3352</v>
      </c>
    </row>
    <row r="1167" spans="2:2" x14ac:dyDescent="0.25">
      <c r="B1167" t="s">
        <v>3353</v>
      </c>
    </row>
    <row r="1168" spans="2:2" x14ac:dyDescent="0.25">
      <c r="B1168" t="s">
        <v>3354</v>
      </c>
    </row>
    <row r="1169" spans="2:2" x14ac:dyDescent="0.25">
      <c r="B1169" t="s">
        <v>3355</v>
      </c>
    </row>
    <row r="1170" spans="2:2" x14ac:dyDescent="0.25">
      <c r="B1170" t="s">
        <v>3355</v>
      </c>
    </row>
    <row r="1171" spans="2:2" x14ac:dyDescent="0.25">
      <c r="B1171" t="s">
        <v>3356</v>
      </c>
    </row>
    <row r="1172" spans="2:2" x14ac:dyDescent="0.25">
      <c r="B1172" t="s">
        <v>3357</v>
      </c>
    </row>
    <row r="1173" spans="2:2" x14ac:dyDescent="0.25">
      <c r="B1173" t="s">
        <v>3358</v>
      </c>
    </row>
    <row r="1174" spans="2:2" x14ac:dyDescent="0.25">
      <c r="B1174" t="s">
        <v>3359</v>
      </c>
    </row>
    <row r="1175" spans="2:2" x14ac:dyDescent="0.25">
      <c r="B1175" t="s">
        <v>3360</v>
      </c>
    </row>
    <row r="1176" spans="2:2" x14ac:dyDescent="0.25">
      <c r="B1176" t="s">
        <v>3361</v>
      </c>
    </row>
    <row r="1177" spans="2:2" x14ac:dyDescent="0.25">
      <c r="B1177" t="s">
        <v>2998</v>
      </c>
    </row>
    <row r="1178" spans="2:2" x14ac:dyDescent="0.25">
      <c r="B1178" t="s">
        <v>2808</v>
      </c>
    </row>
    <row r="1179" spans="2:2" x14ac:dyDescent="0.25">
      <c r="B1179" t="s">
        <v>3362</v>
      </c>
    </row>
    <row r="1180" spans="2:2" x14ac:dyDescent="0.25">
      <c r="B1180" t="s">
        <v>2808</v>
      </c>
    </row>
    <row r="1181" spans="2:2" x14ac:dyDescent="0.25">
      <c r="B1181" t="s">
        <v>3363</v>
      </c>
    </row>
    <row r="1182" spans="2:2" x14ac:dyDescent="0.25">
      <c r="B1182" t="s">
        <v>2549</v>
      </c>
    </row>
    <row r="1183" spans="2:2" x14ac:dyDescent="0.25">
      <c r="B1183" t="s">
        <v>3364</v>
      </c>
    </row>
    <row r="1184" spans="2:2" x14ac:dyDescent="0.25">
      <c r="B1184" t="s">
        <v>2808</v>
      </c>
    </row>
    <row r="1185" spans="2:2" x14ac:dyDescent="0.25">
      <c r="B1185" t="s">
        <v>3365</v>
      </c>
    </row>
    <row r="1186" spans="2:2" x14ac:dyDescent="0.25">
      <c r="B1186" t="s">
        <v>3366</v>
      </c>
    </row>
    <row r="1187" spans="2:2" x14ac:dyDescent="0.25">
      <c r="B1187" t="s">
        <v>3367</v>
      </c>
    </row>
    <row r="1188" spans="2:2" x14ac:dyDescent="0.25">
      <c r="B1188" t="s">
        <v>3368</v>
      </c>
    </row>
    <row r="1189" spans="2:2" x14ac:dyDescent="0.25">
      <c r="B1189" t="s">
        <v>3369</v>
      </c>
    </row>
    <row r="1190" spans="2:2" x14ac:dyDescent="0.25">
      <c r="B1190" t="s">
        <v>3370</v>
      </c>
    </row>
    <row r="1191" spans="2:2" x14ac:dyDescent="0.25">
      <c r="B1191" t="s">
        <v>2808</v>
      </c>
    </row>
    <row r="1192" spans="2:2" x14ac:dyDescent="0.25">
      <c r="B1192" t="s">
        <v>3371</v>
      </c>
    </row>
    <row r="1193" spans="2:2" x14ac:dyDescent="0.25">
      <c r="B1193" t="s">
        <v>3372</v>
      </c>
    </row>
    <row r="1194" spans="2:2" x14ac:dyDescent="0.25">
      <c r="B1194" t="s">
        <v>3373</v>
      </c>
    </row>
    <row r="1195" spans="2:2" x14ac:dyDescent="0.25">
      <c r="B1195" t="s">
        <v>2808</v>
      </c>
    </row>
    <row r="1196" spans="2:2" x14ac:dyDescent="0.25">
      <c r="B1196" t="s">
        <v>3374</v>
      </c>
    </row>
    <row r="1197" spans="2:2" x14ac:dyDescent="0.25">
      <c r="B1197" t="s">
        <v>3375</v>
      </c>
    </row>
    <row r="1198" spans="2:2" x14ac:dyDescent="0.25">
      <c r="B1198" t="s">
        <v>3376</v>
      </c>
    </row>
    <row r="1199" spans="2:2" x14ac:dyDescent="0.25">
      <c r="B1199" t="s">
        <v>3377</v>
      </c>
    </row>
    <row r="1200" spans="2:2" x14ac:dyDescent="0.25">
      <c r="B1200" t="s">
        <v>3378</v>
      </c>
    </row>
    <row r="1201" spans="2:2" x14ac:dyDescent="0.25">
      <c r="B1201" t="s">
        <v>3379</v>
      </c>
    </row>
    <row r="1202" spans="2:2" x14ac:dyDescent="0.25">
      <c r="B1202" t="s">
        <v>3380</v>
      </c>
    </row>
    <row r="1203" spans="2:2" x14ac:dyDescent="0.25">
      <c r="B1203" t="s">
        <v>3381</v>
      </c>
    </row>
    <row r="1204" spans="2:2" x14ac:dyDescent="0.25">
      <c r="B1204" t="s">
        <v>3382</v>
      </c>
    </row>
    <row r="1205" spans="2:2" x14ac:dyDescent="0.25">
      <c r="B1205" t="s">
        <v>3383</v>
      </c>
    </row>
    <row r="1206" spans="2:2" x14ac:dyDescent="0.25">
      <c r="B1206" t="s">
        <v>3384</v>
      </c>
    </row>
    <row r="1207" spans="2:2" x14ac:dyDescent="0.25">
      <c r="B1207" t="s">
        <v>3385</v>
      </c>
    </row>
    <row r="1208" spans="2:2" x14ac:dyDescent="0.25">
      <c r="B1208" t="s">
        <v>3386</v>
      </c>
    </row>
    <row r="1209" spans="2:2" x14ac:dyDescent="0.25">
      <c r="B1209" t="s">
        <v>3387</v>
      </c>
    </row>
    <row r="1210" spans="2:2" x14ac:dyDescent="0.25">
      <c r="B1210" t="s">
        <v>3388</v>
      </c>
    </row>
    <row r="1211" spans="2:2" x14ac:dyDescent="0.25">
      <c r="B1211" t="s">
        <v>3389</v>
      </c>
    </row>
    <row r="1212" spans="2:2" x14ac:dyDescent="0.25">
      <c r="B1212" t="s">
        <v>3390</v>
      </c>
    </row>
    <row r="1213" spans="2:2" x14ac:dyDescent="0.25">
      <c r="B1213" t="s">
        <v>3391</v>
      </c>
    </row>
    <row r="1214" spans="2:2" x14ac:dyDescent="0.25">
      <c r="B1214" t="s">
        <v>3392</v>
      </c>
    </row>
    <row r="1215" spans="2:2" x14ac:dyDescent="0.25">
      <c r="B1215" t="s">
        <v>3393</v>
      </c>
    </row>
    <row r="1216" spans="2:2" x14ac:dyDescent="0.25">
      <c r="B1216" t="s">
        <v>3394</v>
      </c>
    </row>
    <row r="1217" spans="2:2" x14ac:dyDescent="0.25">
      <c r="B1217" t="s">
        <v>3395</v>
      </c>
    </row>
    <row r="1218" spans="2:2" x14ac:dyDescent="0.25">
      <c r="B1218" t="s">
        <v>2808</v>
      </c>
    </row>
    <row r="1219" spans="2:2" x14ac:dyDescent="0.25">
      <c r="B1219" t="s">
        <v>3396</v>
      </c>
    </row>
    <row r="1220" spans="2:2" x14ac:dyDescent="0.25">
      <c r="B1220" t="s">
        <v>2808</v>
      </c>
    </row>
    <row r="1221" spans="2:2" x14ac:dyDescent="0.25">
      <c r="B1221" t="s">
        <v>3397</v>
      </c>
    </row>
    <row r="1222" spans="2:2" x14ac:dyDescent="0.25">
      <c r="B1222" t="s">
        <v>3398</v>
      </c>
    </row>
    <row r="1223" spans="2:2" x14ac:dyDescent="0.25">
      <c r="B1223" t="s">
        <v>3399</v>
      </c>
    </row>
    <row r="1224" spans="2:2" x14ac:dyDescent="0.25">
      <c r="B1224" t="s">
        <v>2808</v>
      </c>
    </row>
    <row r="1225" spans="2:2" x14ac:dyDescent="0.25">
      <c r="B1225" t="s">
        <v>2808</v>
      </c>
    </row>
    <row r="1226" spans="2:2" x14ac:dyDescent="0.25">
      <c r="B1226" t="s">
        <v>3400</v>
      </c>
    </row>
    <row r="1227" spans="2:2" x14ac:dyDescent="0.25">
      <c r="B1227" t="s">
        <v>2808</v>
      </c>
    </row>
    <row r="1228" spans="2:2" x14ac:dyDescent="0.25">
      <c r="B1228" t="s">
        <v>3401</v>
      </c>
    </row>
    <row r="1229" spans="2:2" x14ac:dyDescent="0.25">
      <c r="B1229" t="s">
        <v>2808</v>
      </c>
    </row>
    <row r="1230" spans="2:2" x14ac:dyDescent="0.25">
      <c r="B1230" t="s">
        <v>2808</v>
      </c>
    </row>
    <row r="1231" spans="2:2" x14ac:dyDescent="0.25">
      <c r="B1231" t="s">
        <v>3224</v>
      </c>
    </row>
    <row r="1232" spans="2:2" x14ac:dyDescent="0.25">
      <c r="B1232" t="s">
        <v>3224</v>
      </c>
    </row>
    <row r="1233" spans="2:2" x14ac:dyDescent="0.25">
      <c r="B1233" t="s">
        <v>3224</v>
      </c>
    </row>
    <row r="1234" spans="2:2" x14ac:dyDescent="0.25">
      <c r="B1234" t="s">
        <v>2808</v>
      </c>
    </row>
    <row r="1235" spans="2:2" x14ac:dyDescent="0.25">
      <c r="B1235" t="s">
        <v>2808</v>
      </c>
    </row>
    <row r="1236" spans="2:2" x14ac:dyDescent="0.25">
      <c r="B1236" t="s">
        <v>2808</v>
      </c>
    </row>
    <row r="1237" spans="2:2" x14ac:dyDescent="0.25">
      <c r="B1237" t="s">
        <v>2808</v>
      </c>
    </row>
    <row r="1238" spans="2:2" x14ac:dyDescent="0.25">
      <c r="B1238" t="s">
        <v>3402</v>
      </c>
    </row>
    <row r="1239" spans="2:2" x14ac:dyDescent="0.25">
      <c r="B1239" t="s">
        <v>2808</v>
      </c>
    </row>
    <row r="1240" spans="2:2" x14ac:dyDescent="0.25">
      <c r="B1240" t="s">
        <v>3403</v>
      </c>
    </row>
    <row r="1241" spans="2:2" x14ac:dyDescent="0.25">
      <c r="B1241" t="s">
        <v>2808</v>
      </c>
    </row>
    <row r="1242" spans="2:2" x14ac:dyDescent="0.25">
      <c r="B1242" t="s">
        <v>2808</v>
      </c>
    </row>
    <row r="1243" spans="2:2" x14ac:dyDescent="0.25">
      <c r="B1243" t="s">
        <v>3404</v>
      </c>
    </row>
    <row r="1244" spans="2:2" x14ac:dyDescent="0.25">
      <c r="B1244" t="s">
        <v>3405</v>
      </c>
    </row>
    <row r="1245" spans="2:2" x14ac:dyDescent="0.25">
      <c r="B1245" t="s">
        <v>3406</v>
      </c>
    </row>
    <row r="1246" spans="2:2" x14ac:dyDescent="0.25">
      <c r="B1246" t="s">
        <v>3407</v>
      </c>
    </row>
    <row r="1247" spans="2:2" x14ac:dyDescent="0.25">
      <c r="B1247" t="s">
        <v>2808</v>
      </c>
    </row>
    <row r="1248" spans="2:2" x14ac:dyDescent="0.25">
      <c r="B1248" t="s">
        <v>2808</v>
      </c>
    </row>
    <row r="1249" spans="2:2" x14ac:dyDescent="0.25">
      <c r="B1249" t="s">
        <v>3408</v>
      </c>
    </row>
    <row r="1250" spans="2:2" x14ac:dyDescent="0.25">
      <c r="B1250" t="s">
        <v>3409</v>
      </c>
    </row>
    <row r="1251" spans="2:2" x14ac:dyDescent="0.25">
      <c r="B1251" t="s">
        <v>3410</v>
      </c>
    </row>
    <row r="1252" spans="2:2" x14ac:dyDescent="0.25">
      <c r="B1252" t="s">
        <v>2808</v>
      </c>
    </row>
    <row r="1253" spans="2:2" x14ac:dyDescent="0.25">
      <c r="B1253" t="s">
        <v>3411</v>
      </c>
    </row>
    <row r="1254" spans="2:2" x14ac:dyDescent="0.25">
      <c r="B1254" t="s">
        <v>3412</v>
      </c>
    </row>
    <row r="1255" spans="2:2" x14ac:dyDescent="0.25">
      <c r="B1255" t="s">
        <v>3413</v>
      </c>
    </row>
    <row r="1256" spans="2:2" x14ac:dyDescent="0.25">
      <c r="B1256" t="s">
        <v>3414</v>
      </c>
    </row>
    <row r="1257" spans="2:2" x14ac:dyDescent="0.25">
      <c r="B1257" t="s">
        <v>3415</v>
      </c>
    </row>
    <row r="1258" spans="2:2" x14ac:dyDescent="0.25">
      <c r="B1258" t="s">
        <v>3416</v>
      </c>
    </row>
    <row r="1259" spans="2:2" x14ac:dyDescent="0.25">
      <c r="B1259" t="s">
        <v>2808</v>
      </c>
    </row>
    <row r="1260" spans="2:2" x14ac:dyDescent="0.25">
      <c r="B1260" t="s">
        <v>3417</v>
      </c>
    </row>
    <row r="1261" spans="2:2" x14ac:dyDescent="0.25">
      <c r="B1261" t="s">
        <v>3418</v>
      </c>
    </row>
    <row r="1262" spans="2:2" x14ac:dyDescent="0.25">
      <c r="B1262" t="s">
        <v>2808</v>
      </c>
    </row>
    <row r="1263" spans="2:2" x14ac:dyDescent="0.25">
      <c r="B1263" t="s">
        <v>3419</v>
      </c>
    </row>
    <row r="1264" spans="2:2" x14ac:dyDescent="0.25">
      <c r="B1264" t="s">
        <v>3420</v>
      </c>
    </row>
    <row r="1265" spans="2:2" x14ac:dyDescent="0.25">
      <c r="B1265" t="s">
        <v>3421</v>
      </c>
    </row>
    <row r="1266" spans="2:2" x14ac:dyDescent="0.25">
      <c r="B1266" t="s">
        <v>3422</v>
      </c>
    </row>
    <row r="1267" spans="2:2" x14ac:dyDescent="0.25">
      <c r="B1267" t="s">
        <v>3423</v>
      </c>
    </row>
    <row r="1268" spans="2:2" x14ac:dyDescent="0.25">
      <c r="B1268" t="s">
        <v>3424</v>
      </c>
    </row>
    <row r="1269" spans="2:2" x14ac:dyDescent="0.25">
      <c r="B1269" t="s">
        <v>3425</v>
      </c>
    </row>
    <row r="1270" spans="2:2" x14ac:dyDescent="0.25">
      <c r="B1270" t="s">
        <v>2808</v>
      </c>
    </row>
    <row r="1271" spans="2:2" x14ac:dyDescent="0.25">
      <c r="B1271" t="s">
        <v>3426</v>
      </c>
    </row>
    <row r="1272" spans="2:2" x14ac:dyDescent="0.25">
      <c r="B1272" t="s">
        <v>3427</v>
      </c>
    </row>
    <row r="1273" spans="2:2" x14ac:dyDescent="0.25">
      <c r="B1273" t="s">
        <v>3428</v>
      </c>
    </row>
    <row r="1274" spans="2:2" x14ac:dyDescent="0.25">
      <c r="B1274" t="s">
        <v>3429</v>
      </c>
    </row>
    <row r="1275" spans="2:2" x14ac:dyDescent="0.25">
      <c r="B1275" t="s">
        <v>3430</v>
      </c>
    </row>
    <row r="1276" spans="2:2" x14ac:dyDescent="0.25">
      <c r="B1276" t="s">
        <v>2808</v>
      </c>
    </row>
    <row r="1277" spans="2:2" x14ac:dyDescent="0.25">
      <c r="B1277" t="s">
        <v>3431</v>
      </c>
    </row>
    <row r="1278" spans="2:2" x14ac:dyDescent="0.25">
      <c r="B1278" t="s">
        <v>3432</v>
      </c>
    </row>
    <row r="1279" spans="2:2" x14ac:dyDescent="0.25">
      <c r="B1279" t="s">
        <v>3433</v>
      </c>
    </row>
    <row r="1280" spans="2:2" x14ac:dyDescent="0.25">
      <c r="B1280" t="s">
        <v>3434</v>
      </c>
    </row>
    <row r="1281" spans="2:2" x14ac:dyDescent="0.25">
      <c r="B1281" t="s">
        <v>3435</v>
      </c>
    </row>
    <row r="1282" spans="2:2" x14ac:dyDescent="0.25">
      <c r="B1282" t="s">
        <v>3436</v>
      </c>
    </row>
    <row r="1283" spans="2:2" x14ac:dyDescent="0.25">
      <c r="B1283" t="s">
        <v>3437</v>
      </c>
    </row>
    <row r="1284" spans="2:2" x14ac:dyDescent="0.25">
      <c r="B1284" t="s">
        <v>3438</v>
      </c>
    </row>
    <row r="1285" spans="2:2" x14ac:dyDescent="0.25">
      <c r="B1285" t="s">
        <v>3439</v>
      </c>
    </row>
    <row r="1286" spans="2:2" x14ac:dyDescent="0.25">
      <c r="B1286" t="s">
        <v>3440</v>
      </c>
    </row>
    <row r="1287" spans="2:2" x14ac:dyDescent="0.25">
      <c r="B1287" t="s">
        <v>2808</v>
      </c>
    </row>
    <row r="1288" spans="2:2" x14ac:dyDescent="0.25">
      <c r="B1288" t="s">
        <v>2808</v>
      </c>
    </row>
    <row r="1289" spans="2:2" x14ac:dyDescent="0.25">
      <c r="B1289" t="s">
        <v>2808</v>
      </c>
    </row>
    <row r="1290" spans="2:2" x14ac:dyDescent="0.25">
      <c r="B1290" t="s">
        <v>3441</v>
      </c>
    </row>
    <row r="1291" spans="2:2" x14ac:dyDescent="0.25">
      <c r="B1291" t="s">
        <v>2808</v>
      </c>
    </row>
    <row r="1292" spans="2:2" x14ac:dyDescent="0.25">
      <c r="B1292" t="s">
        <v>2808</v>
      </c>
    </row>
    <row r="1293" spans="2:2" x14ac:dyDescent="0.25">
      <c r="B1293" t="s">
        <v>2808</v>
      </c>
    </row>
    <row r="1294" spans="2:2" x14ac:dyDescent="0.25">
      <c r="B1294" t="s">
        <v>2808</v>
      </c>
    </row>
    <row r="1295" spans="2:2" x14ac:dyDescent="0.25">
      <c r="B1295" t="s">
        <v>2808</v>
      </c>
    </row>
    <row r="1296" spans="2:2" x14ac:dyDescent="0.25">
      <c r="B1296" t="s">
        <v>3442</v>
      </c>
    </row>
    <row r="1297" spans="2:2" x14ac:dyDescent="0.25">
      <c r="B1297" t="s">
        <v>2808</v>
      </c>
    </row>
    <row r="1298" spans="2:2" x14ac:dyDescent="0.25">
      <c r="B1298" t="s">
        <v>3443</v>
      </c>
    </row>
    <row r="1299" spans="2:2" x14ac:dyDescent="0.25">
      <c r="B1299" t="s">
        <v>3444</v>
      </c>
    </row>
    <row r="1300" spans="2:2" x14ac:dyDescent="0.25">
      <c r="B1300" t="s">
        <v>3445</v>
      </c>
    </row>
    <row r="1301" spans="2:2" x14ac:dyDescent="0.25">
      <c r="B1301" t="s">
        <v>3446</v>
      </c>
    </row>
    <row r="1302" spans="2:2" x14ac:dyDescent="0.25">
      <c r="B1302" t="s">
        <v>2808</v>
      </c>
    </row>
    <row r="1303" spans="2:2" x14ac:dyDescent="0.25">
      <c r="B1303" t="s">
        <v>3447</v>
      </c>
    </row>
    <row r="1304" spans="2:2" x14ac:dyDescent="0.25">
      <c r="B1304" t="s">
        <v>2808</v>
      </c>
    </row>
    <row r="1305" spans="2:2" x14ac:dyDescent="0.25">
      <c r="B1305" t="s">
        <v>3448</v>
      </c>
    </row>
    <row r="1306" spans="2:2" x14ac:dyDescent="0.25">
      <c r="B1306" t="s">
        <v>3449</v>
      </c>
    </row>
    <row r="1307" spans="2:2" x14ac:dyDescent="0.25">
      <c r="B1307" t="s">
        <v>3450</v>
      </c>
    </row>
    <row r="1308" spans="2:2" x14ac:dyDescent="0.25">
      <c r="B1308" t="s">
        <v>2808</v>
      </c>
    </row>
    <row r="1309" spans="2:2" x14ac:dyDescent="0.25">
      <c r="B1309" t="s">
        <v>2808</v>
      </c>
    </row>
    <row r="1310" spans="2:2" x14ac:dyDescent="0.25">
      <c r="B1310" t="s">
        <v>3451</v>
      </c>
    </row>
    <row r="1311" spans="2:2" x14ac:dyDescent="0.25">
      <c r="B1311" t="s">
        <v>3452</v>
      </c>
    </row>
    <row r="1312" spans="2:2" x14ac:dyDescent="0.25">
      <c r="B1312" t="s">
        <v>2808</v>
      </c>
    </row>
    <row r="1313" spans="2:2" x14ac:dyDescent="0.25">
      <c r="B1313" t="s">
        <v>3453</v>
      </c>
    </row>
    <row r="1314" spans="2:2" x14ac:dyDescent="0.25">
      <c r="B1314" t="s">
        <v>2808</v>
      </c>
    </row>
    <row r="1315" spans="2:2" x14ac:dyDescent="0.25">
      <c r="B1315" t="s">
        <v>3454</v>
      </c>
    </row>
    <row r="1316" spans="2:2" x14ac:dyDescent="0.25">
      <c r="B1316" t="s">
        <v>3455</v>
      </c>
    </row>
    <row r="1317" spans="2:2" x14ac:dyDescent="0.25">
      <c r="B1317" t="s">
        <v>3456</v>
      </c>
    </row>
    <row r="1318" spans="2:2" x14ac:dyDescent="0.25">
      <c r="B1318" t="s">
        <v>2808</v>
      </c>
    </row>
    <row r="1319" spans="2:2" x14ac:dyDescent="0.25">
      <c r="B1319" t="s">
        <v>2808</v>
      </c>
    </row>
    <row r="1320" spans="2:2" x14ac:dyDescent="0.25">
      <c r="B1320" t="s">
        <v>3457</v>
      </c>
    </row>
    <row r="1321" spans="2:2" x14ac:dyDescent="0.25">
      <c r="B1321" t="s">
        <v>3458</v>
      </c>
    </row>
    <row r="1322" spans="2:2" x14ac:dyDescent="0.25">
      <c r="B1322" t="s">
        <v>3459</v>
      </c>
    </row>
    <row r="1323" spans="2:2" x14ac:dyDescent="0.25">
      <c r="B1323" t="s">
        <v>3460</v>
      </c>
    </row>
    <row r="1324" spans="2:2" x14ac:dyDescent="0.25">
      <c r="B1324" t="s">
        <v>2808</v>
      </c>
    </row>
    <row r="1325" spans="2:2" x14ac:dyDescent="0.25">
      <c r="B1325" t="s">
        <v>3461</v>
      </c>
    </row>
    <row r="1326" spans="2:2" x14ac:dyDescent="0.25">
      <c r="B1326" t="s">
        <v>3462</v>
      </c>
    </row>
    <row r="1327" spans="2:2" x14ac:dyDescent="0.25">
      <c r="B1327" t="s">
        <v>2808</v>
      </c>
    </row>
    <row r="1328" spans="2:2" x14ac:dyDescent="0.25">
      <c r="B1328" t="s">
        <v>2808</v>
      </c>
    </row>
    <row r="1329" spans="2:2" x14ac:dyDescent="0.25">
      <c r="B1329" t="s">
        <v>3463</v>
      </c>
    </row>
    <row r="1330" spans="2:2" x14ac:dyDescent="0.25">
      <c r="B1330" t="s">
        <v>3464</v>
      </c>
    </row>
    <row r="1331" spans="2:2" x14ac:dyDescent="0.25">
      <c r="B1331" t="s">
        <v>2808</v>
      </c>
    </row>
    <row r="1332" spans="2:2" x14ac:dyDescent="0.25">
      <c r="B1332" t="s">
        <v>3465</v>
      </c>
    </row>
    <row r="1333" spans="2:2" x14ac:dyDescent="0.25">
      <c r="B1333" t="s">
        <v>3466</v>
      </c>
    </row>
    <row r="1334" spans="2:2" x14ac:dyDescent="0.25">
      <c r="B1334" t="s">
        <v>3467</v>
      </c>
    </row>
    <row r="1335" spans="2:2" x14ac:dyDescent="0.25">
      <c r="B1335" t="s">
        <v>3468</v>
      </c>
    </row>
    <row r="1336" spans="2:2" x14ac:dyDescent="0.25">
      <c r="B1336" t="s">
        <v>2808</v>
      </c>
    </row>
    <row r="1337" spans="2:2" x14ac:dyDescent="0.25">
      <c r="B1337" t="s">
        <v>3469</v>
      </c>
    </row>
    <row r="1338" spans="2:2" x14ac:dyDescent="0.25">
      <c r="B1338" t="s">
        <v>3470</v>
      </c>
    </row>
    <row r="1339" spans="2:2" x14ac:dyDescent="0.25">
      <c r="B1339" t="s">
        <v>3471</v>
      </c>
    </row>
    <row r="1340" spans="2:2" x14ac:dyDescent="0.25">
      <c r="B1340" t="s">
        <v>3472</v>
      </c>
    </row>
    <row r="1341" spans="2:2" x14ac:dyDescent="0.25">
      <c r="B1341" t="s">
        <v>2808</v>
      </c>
    </row>
    <row r="1342" spans="2:2" x14ac:dyDescent="0.25">
      <c r="B1342" t="s">
        <v>3473</v>
      </c>
    </row>
    <row r="1343" spans="2:2" x14ac:dyDescent="0.25">
      <c r="B1343" t="s">
        <v>3474</v>
      </c>
    </row>
    <row r="1344" spans="2:2" x14ac:dyDescent="0.25">
      <c r="B1344" t="s">
        <v>3475</v>
      </c>
    </row>
    <row r="1345" spans="2:2" x14ac:dyDescent="0.25">
      <c r="B1345" t="s">
        <v>2808</v>
      </c>
    </row>
    <row r="1346" spans="2:2" x14ac:dyDescent="0.25">
      <c r="B1346" t="s">
        <v>2808</v>
      </c>
    </row>
    <row r="1347" spans="2:2" x14ac:dyDescent="0.25">
      <c r="B1347" t="s">
        <v>3476</v>
      </c>
    </row>
    <row r="1348" spans="2:2" x14ac:dyDescent="0.25">
      <c r="B1348" t="s">
        <v>3477</v>
      </c>
    </row>
    <row r="1349" spans="2:2" x14ac:dyDescent="0.25">
      <c r="B1349" t="s">
        <v>3478</v>
      </c>
    </row>
    <row r="1350" spans="2:2" x14ac:dyDescent="0.25">
      <c r="B1350" t="s">
        <v>3479</v>
      </c>
    </row>
    <row r="1351" spans="2:2" x14ac:dyDescent="0.25">
      <c r="B1351" t="s">
        <v>3480</v>
      </c>
    </row>
    <row r="1352" spans="2:2" x14ac:dyDescent="0.25">
      <c r="B1352" t="s">
        <v>2808</v>
      </c>
    </row>
    <row r="1353" spans="2:2" x14ac:dyDescent="0.25">
      <c r="B1353" t="s">
        <v>3481</v>
      </c>
    </row>
    <row r="1354" spans="2:2" x14ac:dyDescent="0.25">
      <c r="B1354" t="s">
        <v>3481</v>
      </c>
    </row>
    <row r="1355" spans="2:2" x14ac:dyDescent="0.25">
      <c r="B1355" t="s">
        <v>3482</v>
      </c>
    </row>
    <row r="1356" spans="2:2" x14ac:dyDescent="0.25">
      <c r="B1356" t="s">
        <v>2808</v>
      </c>
    </row>
    <row r="1357" spans="2:2" x14ac:dyDescent="0.25">
      <c r="B1357" t="s">
        <v>3483</v>
      </c>
    </row>
    <row r="1358" spans="2:2" x14ac:dyDescent="0.25">
      <c r="B1358" t="s">
        <v>3484</v>
      </c>
    </row>
    <row r="1359" spans="2:2" x14ac:dyDescent="0.25">
      <c r="B1359" t="s">
        <v>3485</v>
      </c>
    </row>
    <row r="1360" spans="2:2" x14ac:dyDescent="0.25">
      <c r="B1360" t="s">
        <v>3486</v>
      </c>
    </row>
    <row r="1361" spans="2:2" x14ac:dyDescent="0.25">
      <c r="B1361" t="s">
        <v>3487</v>
      </c>
    </row>
    <row r="1362" spans="2:2" x14ac:dyDescent="0.25">
      <c r="B1362" t="s">
        <v>2808</v>
      </c>
    </row>
    <row r="1363" spans="2:2" x14ac:dyDescent="0.25">
      <c r="B1363" t="s">
        <v>2808</v>
      </c>
    </row>
    <row r="1364" spans="2:2" x14ac:dyDescent="0.25">
      <c r="B1364" t="s">
        <v>3488</v>
      </c>
    </row>
    <row r="1365" spans="2:2" x14ac:dyDescent="0.25">
      <c r="B1365" t="s">
        <v>2808</v>
      </c>
    </row>
    <row r="1366" spans="2:2" x14ac:dyDescent="0.25">
      <c r="B1366" t="s">
        <v>3489</v>
      </c>
    </row>
    <row r="1367" spans="2:2" x14ac:dyDescent="0.25">
      <c r="B1367" t="s">
        <v>3490</v>
      </c>
    </row>
    <row r="1368" spans="2:2" x14ac:dyDescent="0.25">
      <c r="B1368" t="s">
        <v>2808</v>
      </c>
    </row>
    <row r="1369" spans="2:2" x14ac:dyDescent="0.25">
      <c r="B1369" t="s">
        <v>3491</v>
      </c>
    </row>
    <row r="1370" spans="2:2" x14ac:dyDescent="0.25">
      <c r="B1370" t="s">
        <v>3492</v>
      </c>
    </row>
    <row r="1371" spans="2:2" x14ac:dyDescent="0.25">
      <c r="B1371" t="s">
        <v>2808</v>
      </c>
    </row>
    <row r="1372" spans="2:2" x14ac:dyDescent="0.25">
      <c r="B1372" t="s">
        <v>3493</v>
      </c>
    </row>
    <row r="1373" spans="2:2" x14ac:dyDescent="0.25">
      <c r="B1373" t="s">
        <v>3494</v>
      </c>
    </row>
    <row r="1374" spans="2:2" x14ac:dyDescent="0.25">
      <c r="B1374" t="s">
        <v>3495</v>
      </c>
    </row>
    <row r="1375" spans="2:2" x14ac:dyDescent="0.25">
      <c r="B1375" t="s">
        <v>2808</v>
      </c>
    </row>
    <row r="1376" spans="2:2" x14ac:dyDescent="0.25">
      <c r="B1376" t="s">
        <v>3496</v>
      </c>
    </row>
    <row r="1377" spans="2:2" x14ac:dyDescent="0.25">
      <c r="B1377" t="s">
        <v>3497</v>
      </c>
    </row>
    <row r="1378" spans="2:2" x14ac:dyDescent="0.25">
      <c r="B1378" t="s">
        <v>3498</v>
      </c>
    </row>
    <row r="1379" spans="2:2" x14ac:dyDescent="0.25">
      <c r="B1379" t="s">
        <v>3499</v>
      </c>
    </row>
    <row r="1380" spans="2:2" x14ac:dyDescent="0.25">
      <c r="B1380" t="s">
        <v>3500</v>
      </c>
    </row>
    <row r="1381" spans="2:2" x14ac:dyDescent="0.25">
      <c r="B1381" t="s">
        <v>2808</v>
      </c>
    </row>
    <row r="1382" spans="2:2" x14ac:dyDescent="0.25">
      <c r="B1382" t="s">
        <v>3501</v>
      </c>
    </row>
    <row r="1383" spans="2:2" x14ac:dyDescent="0.25">
      <c r="B1383" t="s">
        <v>2808</v>
      </c>
    </row>
    <row r="1384" spans="2:2" x14ac:dyDescent="0.25">
      <c r="B1384" t="s">
        <v>3502</v>
      </c>
    </row>
    <row r="1385" spans="2:2" x14ac:dyDescent="0.25">
      <c r="B1385" t="s">
        <v>3503</v>
      </c>
    </row>
    <row r="1386" spans="2:2" x14ac:dyDescent="0.25">
      <c r="B1386" t="s">
        <v>2808</v>
      </c>
    </row>
    <row r="1387" spans="2:2" x14ac:dyDescent="0.25">
      <c r="B1387" t="s">
        <v>2529</v>
      </c>
    </row>
    <row r="1388" spans="2:2" x14ac:dyDescent="0.25">
      <c r="B1388" t="s">
        <v>2808</v>
      </c>
    </row>
    <row r="1389" spans="2:2" x14ac:dyDescent="0.25">
      <c r="B1389" t="s">
        <v>3504</v>
      </c>
    </row>
    <row r="1390" spans="2:2" x14ac:dyDescent="0.25">
      <c r="B1390" t="s">
        <v>2808</v>
      </c>
    </row>
    <row r="1391" spans="2:2" x14ac:dyDescent="0.25">
      <c r="B1391" t="s">
        <v>3505</v>
      </c>
    </row>
    <row r="1392" spans="2:2" x14ac:dyDescent="0.25">
      <c r="B1392" t="s">
        <v>3506</v>
      </c>
    </row>
    <row r="1393" spans="2:2" x14ac:dyDescent="0.25">
      <c r="B1393" t="s">
        <v>3507</v>
      </c>
    </row>
    <row r="1394" spans="2:2" x14ac:dyDescent="0.25">
      <c r="B1394" t="s">
        <v>3508</v>
      </c>
    </row>
    <row r="1395" spans="2:2" x14ac:dyDescent="0.25">
      <c r="B1395" t="s">
        <v>3509</v>
      </c>
    </row>
    <row r="1396" spans="2:2" x14ac:dyDescent="0.25">
      <c r="B1396" t="s">
        <v>2529</v>
      </c>
    </row>
    <row r="1397" spans="2:2" x14ac:dyDescent="0.25">
      <c r="B1397" t="s">
        <v>3510</v>
      </c>
    </row>
    <row r="1398" spans="2:2" x14ac:dyDescent="0.25">
      <c r="B1398" t="s">
        <v>2808</v>
      </c>
    </row>
    <row r="1399" spans="2:2" x14ac:dyDescent="0.25">
      <c r="B1399" t="s">
        <v>2808</v>
      </c>
    </row>
    <row r="1400" spans="2:2" x14ac:dyDescent="0.25">
      <c r="B1400" t="s">
        <v>2808</v>
      </c>
    </row>
    <row r="1401" spans="2:2" x14ac:dyDescent="0.25">
      <c r="B1401" t="s">
        <v>3511</v>
      </c>
    </row>
    <row r="1402" spans="2:2" x14ac:dyDescent="0.25">
      <c r="B1402" t="s">
        <v>3512</v>
      </c>
    </row>
    <row r="1403" spans="2:2" x14ac:dyDescent="0.25">
      <c r="B1403" t="s">
        <v>3513</v>
      </c>
    </row>
    <row r="1404" spans="2:2" x14ac:dyDescent="0.25">
      <c r="B1404" t="s">
        <v>3514</v>
      </c>
    </row>
    <row r="1405" spans="2:2" x14ac:dyDescent="0.25">
      <c r="B1405" t="s">
        <v>3515</v>
      </c>
    </row>
    <row r="1406" spans="2:2" x14ac:dyDescent="0.25">
      <c r="B1406" t="s">
        <v>3516</v>
      </c>
    </row>
    <row r="1407" spans="2:2" x14ac:dyDescent="0.25">
      <c r="B1407" t="s">
        <v>3517</v>
      </c>
    </row>
    <row r="1408" spans="2:2" x14ac:dyDescent="0.25">
      <c r="B1408" t="s">
        <v>3518</v>
      </c>
    </row>
    <row r="1409" spans="2:2" x14ac:dyDescent="0.25">
      <c r="B1409" t="s">
        <v>3519</v>
      </c>
    </row>
    <row r="1410" spans="2:2" x14ac:dyDescent="0.25">
      <c r="B1410" t="s">
        <v>3520</v>
      </c>
    </row>
    <row r="1411" spans="2:2" x14ac:dyDescent="0.25">
      <c r="B1411" t="s">
        <v>3521</v>
      </c>
    </row>
    <row r="1412" spans="2:2" x14ac:dyDescent="0.25">
      <c r="B1412" t="s">
        <v>3522</v>
      </c>
    </row>
    <row r="1413" spans="2:2" x14ac:dyDescent="0.25">
      <c r="B1413" t="s">
        <v>3523</v>
      </c>
    </row>
    <row r="1414" spans="2:2" x14ac:dyDescent="0.25">
      <c r="B1414" t="s">
        <v>3524</v>
      </c>
    </row>
    <row r="1415" spans="2:2" x14ac:dyDescent="0.25">
      <c r="B1415" t="s">
        <v>3525</v>
      </c>
    </row>
    <row r="1416" spans="2:2" x14ac:dyDescent="0.25">
      <c r="B1416" t="s">
        <v>3526</v>
      </c>
    </row>
    <row r="1417" spans="2:2" x14ac:dyDescent="0.25">
      <c r="B1417" t="s">
        <v>3527</v>
      </c>
    </row>
    <row r="1418" spans="2:2" x14ac:dyDescent="0.25">
      <c r="B1418" t="s">
        <v>2808</v>
      </c>
    </row>
    <row r="1419" spans="2:2" x14ac:dyDescent="0.25">
      <c r="B1419" t="s">
        <v>2808</v>
      </c>
    </row>
    <row r="1420" spans="2:2" x14ac:dyDescent="0.25">
      <c r="B1420" t="s">
        <v>2808</v>
      </c>
    </row>
    <row r="1421" spans="2:2" x14ac:dyDescent="0.25">
      <c r="B1421" t="s">
        <v>3528</v>
      </c>
    </row>
    <row r="1422" spans="2:2" x14ac:dyDescent="0.25">
      <c r="B1422" t="s">
        <v>2808</v>
      </c>
    </row>
    <row r="1423" spans="2:2" x14ac:dyDescent="0.25">
      <c r="B1423" t="s">
        <v>2808</v>
      </c>
    </row>
    <row r="1424" spans="2:2" x14ac:dyDescent="0.25">
      <c r="B1424" t="s">
        <v>3529</v>
      </c>
    </row>
    <row r="1425" spans="2:2" x14ac:dyDescent="0.25">
      <c r="B1425" t="s">
        <v>3530</v>
      </c>
    </row>
    <row r="1426" spans="2:2" x14ac:dyDescent="0.25">
      <c r="B1426" t="s">
        <v>3531</v>
      </c>
    </row>
    <row r="1427" spans="2:2" x14ac:dyDescent="0.25">
      <c r="B1427" t="s">
        <v>3532</v>
      </c>
    </row>
    <row r="1428" spans="2:2" x14ac:dyDescent="0.25">
      <c r="B1428" t="s">
        <v>3533</v>
      </c>
    </row>
    <row r="1429" spans="2:2" x14ac:dyDescent="0.25">
      <c r="B1429" t="s">
        <v>3534</v>
      </c>
    </row>
    <row r="1430" spans="2:2" x14ac:dyDescent="0.25">
      <c r="B1430" t="s">
        <v>2808</v>
      </c>
    </row>
    <row r="1431" spans="2:2" x14ac:dyDescent="0.25">
      <c r="B1431" t="s">
        <v>3535</v>
      </c>
    </row>
    <row r="1432" spans="2:2" x14ac:dyDescent="0.25">
      <c r="B1432" t="s">
        <v>2808</v>
      </c>
    </row>
    <row r="1433" spans="2:2" x14ac:dyDescent="0.25">
      <c r="B1433" t="s">
        <v>2808</v>
      </c>
    </row>
    <row r="1434" spans="2:2" x14ac:dyDescent="0.25">
      <c r="B1434" t="s">
        <v>3536</v>
      </c>
    </row>
    <row r="1435" spans="2:2" x14ac:dyDescent="0.25">
      <c r="B1435" t="s">
        <v>3537</v>
      </c>
    </row>
    <row r="1436" spans="2:2" x14ac:dyDescent="0.25">
      <c r="B1436" t="s">
        <v>3538</v>
      </c>
    </row>
    <row r="1437" spans="2:2" x14ac:dyDescent="0.25">
      <c r="B1437" t="s">
        <v>2808</v>
      </c>
    </row>
    <row r="1438" spans="2:2" x14ac:dyDescent="0.25">
      <c r="B1438" t="s">
        <v>3539</v>
      </c>
    </row>
    <row r="1439" spans="2:2" x14ac:dyDescent="0.25">
      <c r="B1439" t="s">
        <v>3540</v>
      </c>
    </row>
    <row r="1440" spans="2:2" x14ac:dyDescent="0.25">
      <c r="B1440" t="s">
        <v>3541</v>
      </c>
    </row>
    <row r="1441" spans="2:2" x14ac:dyDescent="0.25">
      <c r="B1441" t="s">
        <v>3542</v>
      </c>
    </row>
    <row r="1442" spans="2:2" x14ac:dyDescent="0.25">
      <c r="B1442" t="s">
        <v>3543</v>
      </c>
    </row>
    <row r="1443" spans="2:2" x14ac:dyDescent="0.25">
      <c r="B1443" t="s">
        <v>2808</v>
      </c>
    </row>
    <row r="1444" spans="2:2" x14ac:dyDescent="0.25">
      <c r="B1444" t="s">
        <v>2808</v>
      </c>
    </row>
    <row r="1445" spans="2:2" x14ac:dyDescent="0.25">
      <c r="B1445" t="s">
        <v>3544</v>
      </c>
    </row>
    <row r="1446" spans="2:2" x14ac:dyDescent="0.25">
      <c r="B1446" t="s">
        <v>2982</v>
      </c>
    </row>
    <row r="1447" spans="2:2" x14ac:dyDescent="0.25">
      <c r="B1447" t="s">
        <v>3545</v>
      </c>
    </row>
    <row r="1448" spans="2:2" x14ac:dyDescent="0.25">
      <c r="B1448" t="s">
        <v>3546</v>
      </c>
    </row>
    <row r="1449" spans="2:2" x14ac:dyDescent="0.25">
      <c r="B1449" t="s">
        <v>3547</v>
      </c>
    </row>
    <row r="1450" spans="2:2" x14ac:dyDescent="0.25">
      <c r="B1450" t="s">
        <v>2808</v>
      </c>
    </row>
    <row r="1451" spans="2:2" x14ac:dyDescent="0.25">
      <c r="B1451" t="s">
        <v>3548</v>
      </c>
    </row>
    <row r="1452" spans="2:2" x14ac:dyDescent="0.25">
      <c r="B1452" t="s">
        <v>2808</v>
      </c>
    </row>
    <row r="1453" spans="2:2" x14ac:dyDescent="0.25">
      <c r="B1453" t="s">
        <v>2808</v>
      </c>
    </row>
    <row r="1454" spans="2:2" x14ac:dyDescent="0.25">
      <c r="B1454" t="s">
        <v>3549</v>
      </c>
    </row>
    <row r="1455" spans="2:2" x14ac:dyDescent="0.25">
      <c r="B1455" t="s">
        <v>2808</v>
      </c>
    </row>
    <row r="1456" spans="2:2" x14ac:dyDescent="0.25">
      <c r="B1456" t="s">
        <v>2808</v>
      </c>
    </row>
    <row r="1457" spans="2:2" x14ac:dyDescent="0.25">
      <c r="B1457" t="s">
        <v>3550</v>
      </c>
    </row>
    <row r="1458" spans="2:2" x14ac:dyDescent="0.25">
      <c r="B1458" t="s">
        <v>3551</v>
      </c>
    </row>
    <row r="1459" spans="2:2" x14ac:dyDescent="0.25">
      <c r="B1459" t="s">
        <v>3552</v>
      </c>
    </row>
    <row r="1460" spans="2:2" x14ac:dyDescent="0.25">
      <c r="B1460" t="s">
        <v>3553</v>
      </c>
    </row>
    <row r="1461" spans="2:2" x14ac:dyDescent="0.25">
      <c r="B1461" t="s">
        <v>2500</v>
      </c>
    </row>
    <row r="1462" spans="2:2" x14ac:dyDescent="0.25">
      <c r="B1462" t="s">
        <v>3554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vt:i4>
      </vt:variant>
    </vt:vector>
  </HeadingPairs>
  <TitlesOfParts>
    <vt:vector size="13" baseType="lpstr">
      <vt:lpstr>READ_ME</vt:lpstr>
      <vt:lpstr>Data</vt:lpstr>
      <vt:lpstr>Configuration</vt:lpstr>
      <vt:lpstr>FullList</vt:lpstr>
      <vt:lpstr>FromAndy</vt:lpstr>
      <vt:lpstr>OsmCoordinates</vt:lpstr>
      <vt:lpstr>CoordsFromClickingOnMap</vt:lpstr>
      <vt:lpstr>FuzzyLookup_AddIn_Undo_Sheet</vt:lpstr>
      <vt:lpstr>ChurchmanshipOptions</vt:lpstr>
      <vt:lpstr>DateLastUpdated</vt:lpstr>
      <vt:lpstr>GoogleStreetViewLinkFormat</vt:lpstr>
      <vt:lpstr>LinkDetails</vt:lpstr>
      <vt:lpstr>PopupDetails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dc:creator>
  <cp:lastModifiedBy>Jamie</cp:lastModifiedBy>
  <dcterms:created xsi:type="dcterms:W3CDTF">2020-04-15T09:19:01Z</dcterms:created>
  <dcterms:modified xsi:type="dcterms:W3CDTF">2020-07-11T13:18:18Z</dcterms:modified>
</cp:coreProperties>
</file>