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activeTab="2"/>
  </bookViews>
  <sheets>
    <sheet name="READ_ME" sheetId="2" r:id="rId1"/>
    <sheet name="Churches" sheetId="8" r:id="rId2"/>
    <sheet name="Schools" sheetId="15" r:id="rId3"/>
    <sheet name="Configuration" sheetId="5" r:id="rId4"/>
    <sheet name="OsmCoordinates" sheetId="11" r:id="rId5"/>
    <sheet name="CoordsFromClickingOnMap" sheetId="14" r:id="rId6"/>
    <sheet name="FuzzyLookup_AddIn_Undo_Sheet" sheetId="13" state="hidden" r:id="rId7"/>
  </sheets>
  <functionGroups builtInGroupCount="18"/>
  <definedNames>
    <definedName name="_xlnm._FilterDatabase" localSheetId="1" hidden="1">Churches!$A$1:$AJ$80</definedName>
    <definedName name="_xlnm._FilterDatabase" localSheetId="3" hidden="1">Configuration!$A$2:$C$3</definedName>
    <definedName name="_xlnm._FilterDatabase" localSheetId="4" hidden="1">OsmCoordinates!$A$1:$G$1462</definedName>
    <definedName name="_xlnm._FilterDatabase" localSheetId="2" hidden="1">Schools!$A$1:$V$1</definedName>
    <definedName name="AdditionalFieldsChurches">Configuration!$B$6</definedName>
    <definedName name="AdditionalFieldsSchools">Configuration!$C$6</definedName>
    <definedName name="ChurchmanshipOptions">Configuration!$B$23:$B$27</definedName>
    <definedName name="DateLastUpdated">READ_ME!$O$1</definedName>
    <definedName name="GoogleStreetViewLinkFormat">Configuration!$B$20</definedName>
    <definedName name="LinkDetails">Configuration!$B$8:$C$17</definedName>
    <definedName name="PopupDetailsChurches">Configuration!$B$3</definedName>
    <definedName name="PopUpDetailsSchools">Configuration!$C$3</definedName>
  </definedNames>
  <calcPr calcId="152511"/>
</workbook>
</file>

<file path=xl/calcChain.xml><?xml version="1.0" encoding="utf-8"?>
<calcChain xmlns="http://schemas.openxmlformats.org/spreadsheetml/2006/main">
  <c r="AF3" i="8" l="1"/>
  <c r="AF75" i="8"/>
  <c r="AF44" i="8"/>
  <c r="AF36" i="8"/>
  <c r="AF74" i="8"/>
  <c r="AF27" i="8"/>
  <c r="AF52" i="8"/>
  <c r="AF48" i="8"/>
  <c r="AF54" i="8"/>
  <c r="AF19" i="8"/>
  <c r="AF13" i="8"/>
  <c r="AF41" i="8"/>
  <c r="AF30" i="8"/>
  <c r="AF45" i="8"/>
  <c r="AF60" i="8"/>
  <c r="AF46" i="8"/>
  <c r="AF69" i="8"/>
  <c r="AF18" i="8"/>
  <c r="AF53" i="8"/>
  <c r="AF76" i="8"/>
  <c r="AF59" i="8"/>
  <c r="AF15" i="8"/>
  <c r="AF35" i="8"/>
  <c r="AF16" i="8"/>
  <c r="AF4" i="8"/>
  <c r="AF8" i="8"/>
  <c r="AF63" i="8"/>
  <c r="AF28" i="8"/>
  <c r="AF80" i="8"/>
  <c r="AF68" i="8"/>
  <c r="AF42" i="8"/>
  <c r="AF21" i="8"/>
  <c r="AF6" i="8"/>
  <c r="AF61" i="8"/>
  <c r="AF64" i="8"/>
  <c r="AF7" i="8"/>
  <c r="AF25" i="8"/>
  <c r="AF29" i="8"/>
  <c r="AF24" i="8"/>
  <c r="AF62" i="8"/>
  <c r="AF14" i="8"/>
  <c r="AF26" i="8"/>
  <c r="AF47" i="8"/>
  <c r="AF57" i="8"/>
  <c r="AF71" i="8"/>
  <c r="AF33" i="8"/>
  <c r="AF56" i="8"/>
  <c r="AF12" i="8"/>
  <c r="AF37" i="8"/>
  <c r="AF66" i="8"/>
  <c r="AF9" i="8"/>
  <c r="AF58" i="8"/>
  <c r="AF43" i="8"/>
  <c r="AF55" i="8"/>
  <c r="AF34" i="8"/>
  <c r="AF72" i="8"/>
  <c r="AF70" i="8"/>
  <c r="AF39" i="8"/>
  <c r="AF20" i="8"/>
  <c r="AF65" i="8"/>
  <c r="AF49" i="8"/>
  <c r="AF32" i="8"/>
  <c r="AF77" i="8"/>
  <c r="AF38" i="8"/>
  <c r="AF51" i="8"/>
  <c r="AF22" i="8"/>
  <c r="AF73" i="8"/>
  <c r="AF40" i="8"/>
  <c r="AF78" i="8"/>
  <c r="AF23" i="8"/>
  <c r="AF31" i="8"/>
  <c r="AF10" i="8"/>
  <c r="AF79" i="8"/>
  <c r="AF2" i="8"/>
  <c r="AF50" i="8"/>
  <c r="AF11" i="8"/>
  <c r="AF5" i="8"/>
  <c r="AF17" i="8"/>
  <c r="AF67" i="8"/>
  <c r="AG46" i="8"/>
  <c r="AG62" i="8"/>
  <c r="AG78" i="8"/>
  <c r="AG72" i="8"/>
  <c r="AG65" i="8"/>
  <c r="AG51" i="8"/>
  <c r="AG67" i="8"/>
  <c r="AG44" i="8"/>
  <c r="AG76" i="8"/>
  <c r="AG69" i="8"/>
  <c r="AG41" i="8"/>
  <c r="AG35" i="8"/>
  <c r="AG17" i="8"/>
  <c r="AG15" i="8"/>
  <c r="AG28" i="8"/>
  <c r="AG26" i="8"/>
  <c r="AG16" i="8"/>
  <c r="AG8" i="8"/>
  <c r="AG9" i="8"/>
  <c r="AG3" i="8"/>
  <c r="AG23" i="8"/>
  <c r="AG30" i="8"/>
  <c r="AG12" i="8"/>
  <c r="AG2" i="8"/>
  <c r="AG74" i="8"/>
  <c r="AG79" i="8"/>
  <c r="AG37" i="8"/>
  <c r="AG29" i="8"/>
  <c r="AG27" i="8"/>
  <c r="AG11" i="8"/>
  <c r="AG50" i="8"/>
  <c r="AG66" i="8"/>
  <c r="AG48" i="8"/>
  <c r="AG80" i="8"/>
  <c r="AG73" i="8"/>
  <c r="AG55" i="8"/>
  <c r="AG71" i="8"/>
  <c r="AG52" i="8"/>
  <c r="AG45" i="8"/>
  <c r="AG77" i="8"/>
  <c r="AG40" i="8"/>
  <c r="AG39" i="8"/>
  <c r="AG21" i="8"/>
  <c r="AG14" i="8"/>
  <c r="AG24" i="8"/>
  <c r="AG6" i="8"/>
  <c r="AG42" i="8"/>
  <c r="AG64" i="8"/>
  <c r="AG47" i="8"/>
  <c r="AG68" i="8"/>
  <c r="AG38" i="8"/>
  <c r="AG20" i="8"/>
  <c r="AG4" i="8"/>
  <c r="AG54" i="8"/>
  <c r="AG70" i="8"/>
  <c r="AG56" i="8"/>
  <c r="AG49" i="8"/>
  <c r="AG43" i="8"/>
  <c r="AG59" i="8"/>
  <c r="AG75" i="8"/>
  <c r="AG60" i="8"/>
  <c r="AG53" i="8"/>
  <c r="AG33" i="8"/>
  <c r="AG34" i="8"/>
  <c r="AG36" i="8"/>
  <c r="AG25" i="8"/>
  <c r="AG31" i="8"/>
  <c r="AG18" i="8"/>
  <c r="AG19" i="8"/>
  <c r="AG32" i="8"/>
  <c r="AG7" i="8"/>
  <c r="AG10" i="8"/>
  <c r="AG58" i="8"/>
  <c r="AG57" i="8"/>
  <c r="AG63" i="8"/>
  <c r="AG61" i="8"/>
  <c r="AG13" i="8"/>
  <c r="AG22" i="8"/>
  <c r="AG5" i="8"/>
  <c r="U3" i="15" l="1"/>
  <c r="U4" i="15"/>
  <c r="U5" i="15"/>
  <c r="U6" i="15"/>
  <c r="U7" i="15"/>
  <c r="U8" i="15"/>
  <c r="U9" i="15"/>
  <c r="U10" i="15"/>
  <c r="U11" i="15"/>
  <c r="U12" i="15"/>
  <c r="U13" i="15"/>
  <c r="U14" i="15"/>
  <c r="U15" i="15"/>
  <c r="U16" i="15"/>
  <c r="U17" i="15"/>
  <c r="U18" i="15"/>
  <c r="U19" i="15"/>
  <c r="U20" i="15"/>
  <c r="U21" i="15"/>
  <c r="U22" i="15"/>
  <c r="U23" i="15"/>
  <c r="U24" i="15"/>
  <c r="U25" i="15"/>
  <c r="U26" i="15"/>
  <c r="U27" i="15"/>
  <c r="U28" i="15"/>
  <c r="U29" i="15"/>
  <c r="U2" i="15"/>
  <c r="G1462" i="11" l="1"/>
  <c r="G1461" i="11"/>
  <c r="G1460" i="11"/>
  <c r="G1459" i="11"/>
  <c r="G1458" i="11"/>
  <c r="G1457" i="11"/>
  <c r="G1456" i="11"/>
  <c r="G1455" i="11"/>
  <c r="G1454" i="11"/>
  <c r="G1453" i="11"/>
  <c r="G1452" i="11"/>
  <c r="G1451" i="11"/>
  <c r="G1450" i="11"/>
  <c r="G1449" i="11"/>
  <c r="G1448" i="11"/>
  <c r="G1447" i="11"/>
  <c r="G1446" i="11"/>
  <c r="G1445" i="11"/>
  <c r="G1444" i="11"/>
  <c r="G1443" i="11"/>
  <c r="G1442" i="11"/>
  <c r="G1441" i="11"/>
  <c r="G1440" i="11"/>
  <c r="G1439" i="11"/>
  <c r="G1438" i="11"/>
  <c r="G1437" i="11"/>
  <c r="G1436" i="11"/>
  <c r="G1435" i="11"/>
  <c r="G1434" i="11"/>
  <c r="G1433" i="11"/>
  <c r="G1432" i="11"/>
  <c r="G1431" i="11"/>
  <c r="G1430" i="11"/>
  <c r="G1429" i="11"/>
  <c r="G1428" i="11"/>
  <c r="G1427" i="11"/>
  <c r="G1426" i="11"/>
  <c r="G1425" i="11"/>
  <c r="G1424" i="11"/>
  <c r="G1423" i="11"/>
  <c r="G1422" i="11"/>
  <c r="G1421" i="11"/>
  <c r="G1420" i="11"/>
  <c r="G1419" i="11"/>
  <c r="G1418" i="11"/>
  <c r="G1417" i="11"/>
  <c r="G1416" i="11"/>
  <c r="G1415" i="11"/>
  <c r="G1414" i="11"/>
  <c r="G1413" i="11"/>
  <c r="G1412" i="11"/>
  <c r="G1411" i="11"/>
  <c r="G1410" i="11"/>
  <c r="G1409" i="11"/>
  <c r="G1408" i="11"/>
  <c r="G1407" i="11"/>
  <c r="G1406" i="11"/>
  <c r="G1405" i="11"/>
  <c r="G1404" i="11"/>
  <c r="G1403" i="11"/>
  <c r="G1402" i="11"/>
  <c r="G1401" i="11"/>
  <c r="G1400" i="11"/>
  <c r="G1399" i="11"/>
  <c r="G1398" i="11"/>
  <c r="G1397" i="11"/>
  <c r="G1396" i="11"/>
  <c r="G1395" i="11"/>
  <c r="G1394" i="11"/>
  <c r="G1393" i="11"/>
  <c r="G1392" i="11"/>
  <c r="G1391" i="11"/>
  <c r="G1390" i="11"/>
  <c r="G1389" i="11"/>
  <c r="G1388" i="11"/>
  <c r="G1387" i="11"/>
  <c r="G1386" i="11"/>
  <c r="G1385" i="11"/>
  <c r="G1384" i="11"/>
  <c r="G1383" i="11"/>
  <c r="G1382" i="11"/>
  <c r="G1381" i="11"/>
  <c r="G1380" i="11"/>
  <c r="G1379" i="11"/>
  <c r="G1378" i="11"/>
  <c r="G1377" i="11"/>
  <c r="G1376" i="11"/>
  <c r="G1375" i="11"/>
  <c r="G1374" i="11"/>
  <c r="G1373" i="11"/>
  <c r="G1372" i="11"/>
  <c r="G1371" i="11"/>
  <c r="G1370" i="11"/>
  <c r="G1369" i="11"/>
  <c r="G1368" i="11"/>
  <c r="G1367" i="11"/>
  <c r="G1366" i="11"/>
  <c r="G1365" i="11"/>
  <c r="G1364" i="11"/>
  <c r="G1363" i="11"/>
  <c r="G1362" i="11"/>
  <c r="G1361" i="11"/>
  <c r="G1360" i="11"/>
  <c r="G1359" i="11"/>
  <c r="G1358" i="11"/>
  <c r="G1357" i="11"/>
  <c r="G1356" i="11"/>
  <c r="G1355" i="11"/>
  <c r="G1354" i="11"/>
  <c r="G1353" i="11"/>
  <c r="G1352" i="11"/>
  <c r="G1351" i="11"/>
  <c r="G1350" i="11"/>
  <c r="G1349" i="11"/>
  <c r="G1348" i="11"/>
  <c r="G1347" i="11"/>
  <c r="G1346" i="11"/>
  <c r="G1345" i="11"/>
  <c r="G1344" i="11"/>
  <c r="G1343" i="11"/>
  <c r="G1342" i="11"/>
  <c r="G1341" i="11"/>
  <c r="G1340" i="11"/>
  <c r="G1339" i="11"/>
  <c r="G1338" i="11"/>
  <c r="G1337" i="11"/>
  <c r="G1336" i="11"/>
  <c r="G1335" i="11"/>
  <c r="G1334" i="11"/>
  <c r="G1333" i="11"/>
  <c r="G1332" i="11"/>
  <c r="G1331" i="11"/>
  <c r="G1330" i="11"/>
  <c r="G1329" i="11"/>
  <c r="G1328" i="11"/>
  <c r="G1327" i="11"/>
  <c r="G1326" i="11"/>
  <c r="G1325" i="11"/>
  <c r="G1324" i="11"/>
  <c r="G1323" i="11"/>
  <c r="G1322" i="11"/>
  <c r="G1321" i="11"/>
  <c r="G1320" i="11"/>
  <c r="G1319" i="11"/>
  <c r="G1318" i="11"/>
  <c r="G1317" i="11"/>
  <c r="G1316" i="11"/>
  <c r="G1315" i="11"/>
  <c r="G1314" i="11"/>
  <c r="G1313" i="11"/>
  <c r="G1312" i="11"/>
  <c r="G1311" i="11"/>
  <c r="G1310" i="11"/>
  <c r="G1309" i="11"/>
  <c r="G1308" i="11"/>
  <c r="G1307" i="11"/>
  <c r="G1306" i="11"/>
  <c r="G1305" i="11"/>
  <c r="G1304" i="11"/>
  <c r="G1303" i="11"/>
  <c r="G1302" i="11"/>
  <c r="G1301" i="11"/>
  <c r="G1300" i="11"/>
  <c r="G1299" i="11"/>
  <c r="G1298" i="11"/>
  <c r="G1297" i="11"/>
  <c r="G1296" i="11"/>
  <c r="G1295" i="11"/>
  <c r="G1294" i="11"/>
  <c r="G1293" i="11"/>
  <c r="G1292" i="11"/>
  <c r="G1291" i="11"/>
  <c r="G1290" i="11"/>
  <c r="G1289" i="11"/>
  <c r="G1288" i="11"/>
  <c r="G1287" i="11"/>
  <c r="G1286" i="11"/>
  <c r="G1285" i="11"/>
  <c r="G1284" i="11"/>
  <c r="G1283" i="11"/>
  <c r="G1282" i="11"/>
  <c r="G1281" i="11"/>
  <c r="G1280" i="11"/>
  <c r="G1279" i="11"/>
  <c r="G1278" i="11"/>
  <c r="G1277" i="11"/>
  <c r="G1276" i="11"/>
  <c r="G1275" i="11"/>
  <c r="G1274" i="11"/>
  <c r="G1273" i="11"/>
  <c r="G1272" i="11"/>
  <c r="G1271" i="11"/>
  <c r="G1270" i="11"/>
  <c r="G1269" i="11"/>
  <c r="G1268" i="11"/>
  <c r="G1267" i="11"/>
  <c r="G1266" i="11"/>
  <c r="G1265" i="11"/>
  <c r="G1264" i="11"/>
  <c r="G1263" i="11"/>
  <c r="G1262" i="11"/>
  <c r="G1261" i="11"/>
  <c r="G1260"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995" i="11"/>
  <c r="G994" i="11"/>
  <c r="G993" i="11"/>
  <c r="G992" i="11"/>
  <c r="G991" i="11"/>
  <c r="G990" i="11"/>
  <c r="G989" i="11"/>
  <c r="G988" i="11"/>
  <c r="G987" i="11"/>
  <c r="G986" i="11"/>
  <c r="G985" i="11"/>
  <c r="G984"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1" i="11"/>
  <c r="G559" i="11"/>
  <c r="G558" i="11"/>
  <c r="G557" i="11"/>
  <c r="G556" i="11"/>
  <c r="G555"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1" i="11"/>
  <c r="G430" i="11"/>
  <c r="G429" i="11"/>
  <c r="G428" i="11"/>
  <c r="G427" i="11"/>
  <c r="G426" i="11"/>
  <c r="G425" i="11"/>
  <c r="G424" i="11"/>
  <c r="G423" i="11"/>
  <c r="G422"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V2" i="8"/>
</calcChain>
</file>

<file path=xl/sharedStrings.xml><?xml version="1.0" encoding="utf-8"?>
<sst xmlns="http://schemas.openxmlformats.org/spreadsheetml/2006/main" count="7093" uniqueCount="3592">
  <si>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</si>
  <si>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</si>
  <si>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</si>
  <si>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</si>
  <si>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</si>
  <si>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</si>
  <si>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</si>
  <si>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</si>
  <si>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Hackney Wick (St Mary of Eton)</t>
  </si>
  <si>
    <t>Hackney, South (St John of Jerusalem) with Christ Church</t>
  </si>
  <si>
    <t>Hackney, South (St Michael and All Angels) London Fields with Haggerston St Paul</t>
  </si>
  <si>
    <t>Hackney, West (St Paul)</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</si>
  <si>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</si>
  <si>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</si>
  <si>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</si>
  <si>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</si>
  <si>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</si>
  <si>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</si>
  <si>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</si>
  <si>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</si>
  <si>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</si>
  <si>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</si>
  <si>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</si>
  <si>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</si>
  <si>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</si>
  <si>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</si>
  <si>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</si>
  <si>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</si>
  <si>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</si>
  <si>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</si>
  <si>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</si>
  <si>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</si>
  <si>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</si>
  <si>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</si>
  <si>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</si>
  <si>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</si>
  <si>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</si>
  <si>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</si>
  <si>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</si>
  <si>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</si>
  <si>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</si>
  <si>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</si>
  <si>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</si>
  <si>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</si>
  <si>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</si>
  <si>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</si>
  <si>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</si>
  <si>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</si>
  <si>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</si>
  <si>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</si>
  <si>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</si>
  <si>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</si>
  <si>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</si>
  <si>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</si>
  <si>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</si>
  <si>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</si>
  <si>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</si>
  <si>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</si>
  <si>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</si>
  <si>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</si>
  <si>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</si>
  <si>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</si>
  <si>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</si>
  <si>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</si>
  <si>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</si>
  <si>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</si>
  <si>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</si>
  <si>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</si>
  <si>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</si>
  <si>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</si>
  <si>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</si>
  <si>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</si>
  <si>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</si>
  <si>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</si>
  <si>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</si>
  <si>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</si>
  <si>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</si>
  <si>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</si>
  <si>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</si>
  <si>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</si>
  <si>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</si>
  <si>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</si>
  <si>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</si>
  <si>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</si>
  <si>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</si>
  <si>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</si>
  <si>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</si>
  <si>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</si>
  <si>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</si>
  <si>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</si>
  <si>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</si>
  <si>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</si>
  <si>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</si>
  <si>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</si>
  <si>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</si>
  <si>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</si>
  <si>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</si>
  <si>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</si>
  <si>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</si>
  <si>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</si>
  <si>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</si>
  <si>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</si>
  <si>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</si>
  <si>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</si>
  <si>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</si>
  <si>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</si>
  <si>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</si>
  <si>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</si>
  <si>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</si>
  <si>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</si>
  <si>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</si>
  <si>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</si>
  <si>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</si>
  <si>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</si>
  <si>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</si>
  <si>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</si>
  <si>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</si>
  <si>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</si>
  <si>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</si>
  <si>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</si>
  <si>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</si>
  <si>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</si>
  <si>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</si>
  <si>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</si>
  <si>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</si>
  <si>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</si>
  <si>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</si>
  <si>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</si>
  <si>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</si>
  <si>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</si>
  <si>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</si>
  <si>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</si>
  <si>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</si>
  <si>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</si>
  <si>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</si>
  <si>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</si>
  <si>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</si>
  <si>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</si>
  <si>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</si>
  <si>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</si>
  <si>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</si>
  <si>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</si>
  <si>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</si>
  <si>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</si>
  <si>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</si>
  <si>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</si>
  <si>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</si>
  <si>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</si>
  <si>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</si>
  <si>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</si>
  <si>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</si>
  <si>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</si>
  <si>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</si>
  <si>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</si>
  <si>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</si>
  <si>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</si>
  <si>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</si>
  <si>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</si>
  <si>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</si>
  <si>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</si>
  <si>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</si>
  <si>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</si>
  <si>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</si>
  <si>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</si>
  <si>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</si>
  <si>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</si>
  <si>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</si>
  <si>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</si>
  <si>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</si>
  <si>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</si>
  <si>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</si>
  <si>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</si>
  <si>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</si>
  <si>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</si>
  <si>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</si>
  <si>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</si>
  <si>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</si>
  <si>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</si>
  <si>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</si>
  <si>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</si>
  <si>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</si>
  <si>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</si>
  <si>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</si>
  <si>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</si>
  <si>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</si>
  <si>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</si>
  <si>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</si>
  <si>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</si>
  <si>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</si>
  <si>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</si>
  <si>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</si>
  <si>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</si>
  <si>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</si>
  <si>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</si>
  <si>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</si>
  <si>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</si>
  <si>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</si>
  <si>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</si>
  <si>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</si>
  <si>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</si>
  <si>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</si>
  <si>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</si>
  <si>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</si>
  <si>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</si>
  <si>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</si>
  <si>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Deanery</t>
  </si>
  <si>
    <t>N4 2LW</t>
  </si>
  <si>
    <t>E5 9EN</t>
  </si>
  <si>
    <t>E5 9BW</t>
  </si>
  <si>
    <t>E8 2LJ</t>
  </si>
  <si>
    <t>N1 4DA</t>
  </si>
  <si>
    <t>E9 6DL</t>
  </si>
  <si>
    <t>E5 0AJ</t>
  </si>
  <si>
    <t>E9 5JA</t>
  </si>
  <si>
    <t>E8 3ER</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</si>
  <si>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</si>
  <si>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</si>
  <si>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</si>
  <si>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</si>
  <si>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</si>
  <si>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</si>
  <si>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</si>
  <si>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</si>
  <si>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</si>
  <si>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</si>
  <si>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</si>
  <si>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</si>
  <si>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</si>
  <si>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</si>
  <si>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</si>
  <si>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</si>
  <si>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</si>
  <si>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</si>
  <si>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</si>
  <si>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</si>
  <si>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</si>
  <si>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</si>
  <si>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</si>
  <si>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</si>
  <si>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</si>
  <si>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</si>
  <si>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</si>
  <si>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</si>
  <si>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E14 3BN</t>
  </si>
  <si>
    <t>E14 8LH</t>
  </si>
  <si>
    <t>E14 7HA</t>
  </si>
  <si>
    <t>E1W 2RW</t>
  </si>
  <si>
    <t>E3 5JL</t>
  </si>
  <si>
    <t>E14 0EY</t>
  </si>
  <si>
    <t>E14 0PT</t>
  </si>
  <si>
    <t>E1W 3DH</t>
  </si>
  <si>
    <t>E1 6LY</t>
  </si>
  <si>
    <t>E1 0BQ</t>
  </si>
  <si>
    <t>E1 0NR</t>
  </si>
  <si>
    <t>N1 8PF</t>
  </si>
  <si>
    <t>E3 5TG</t>
  </si>
  <si>
    <t>E2 6DT</t>
  </si>
  <si>
    <t>E5 8EG</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</si>
  <si>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</si>
  <si>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</si>
  <si>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</si>
  <si>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</si>
  <si>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</si>
  <si>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</si>
  <si>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</si>
  <si>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</si>
  <si>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</si>
  <si>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</si>
  <si>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</si>
  <si>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</si>
  <si>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</si>
  <si>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</si>
  <si>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</si>
  <si>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</si>
  <si>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</si>
  <si>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</si>
  <si>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</si>
  <si>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</si>
  <si>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</si>
  <si>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</si>
  <si>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</si>
  <si>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</si>
  <si>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</si>
  <si>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</si>
  <si>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</si>
  <si>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</si>
  <si>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</si>
  <si>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</si>
  <si>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</si>
  <si>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</si>
  <si>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</si>
  <si>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</si>
  <si>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</si>
  <si>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</si>
  <si>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</si>
  <si>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</si>
  <si>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</si>
  <si>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</si>
  <si>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</si>
  <si>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</si>
  <si>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</si>
  <si>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</si>
  <si>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</si>
  <si>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</si>
  <si>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</si>
  <si>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</si>
  <si>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</si>
  <si>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</si>
  <si>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</si>
  <si>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</si>
  <si>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</si>
  <si>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</si>
  <si>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</si>
  <si>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</si>
  <si>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</si>
  <si>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</si>
  <si>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</si>
  <si>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https://www.london.anglican.org/directory/st-mary-islington/</t>
  </si>
  <si>
    <t>St Mary Islington</t>
  </si>
  <si>
    <t>https://www.london.anglican.org/directory/st-andrew-whitehall-park/</t>
  </si>
  <si>
    <t>St Andrew Whitehall Park</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</si>
  <si>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</si>
  <si>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</si>
  <si>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</si>
  <si>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</si>
  <si>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</si>
  <si>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</si>
  <si>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</si>
  <si>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</si>
  <si>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</si>
  <si>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</si>
  <si>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</si>
  <si>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</si>
  <si>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</si>
  <si>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</si>
  <si>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</si>
  <si>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</si>
  <si>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</si>
  <si>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</si>
  <si>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</si>
  <si>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</si>
  <si>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</si>
  <si>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</si>
  <si>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</si>
  <si>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</si>
  <si>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</si>
  <si>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</si>
  <si>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</si>
  <si>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</si>
  <si>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</si>
  <si>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</si>
  <si>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</si>
  <si>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</si>
  <si>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</si>
  <si>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</si>
  <si>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</si>
  <si>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</si>
  <si>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</si>
  <si>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https://www.london.anglican.org/directory/trinity-church-islington/</t>
  </si>
  <si>
    <t>St Mary Magdalene Academy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</si>
  <si>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</si>
  <si>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</si>
  <si>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</si>
  <si>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</si>
  <si>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</si>
  <si>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</si>
  <si>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</si>
  <si>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</si>
  <si>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</si>
  <si>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</si>
  <si>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</si>
  <si>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</si>
  <si>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</si>
  <si>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</si>
  <si>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https://www.london.anglican.org/directory/christ-church-isle-of-dogs/</t>
  </si>
  <si>
    <t>Christ Church Isle of Dogs</t>
  </si>
  <si>
    <t>https://www.london.anglican.org/directory/st-luke-millwall/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</si>
  <si>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</si>
  <si>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</si>
  <si>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</si>
  <si>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</si>
  <si>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</si>
  <si>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</si>
  <si>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</si>
  <si>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</si>
  <si>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</si>
  <si>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</si>
  <si>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</si>
  <si>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</si>
  <si>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</si>
  <si>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</si>
  <si>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</si>
  <si>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</si>
  <si>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</si>
  <si>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</si>
  <si>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</si>
  <si>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</si>
  <si>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</si>
  <si>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</si>
  <si>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EC1R 4QE</t>
  </si>
  <si>
    <t>N4 3DQ</t>
  </si>
  <si>
    <t>St Peter's Barge Canary Wharf</t>
  </si>
  <si>
    <t>RefNumber</t>
  </si>
  <si>
    <t>DirectoryUrl</t>
  </si>
  <si>
    <t>IncumbentLink</t>
  </si>
  <si>
    <t>Ref:0501</t>
  </si>
  <si>
    <t>Ref:0504</t>
  </si>
  <si>
    <t>Ref:0505</t>
  </si>
  <si>
    <t>Ref:0506A</t>
  </si>
  <si>
    <t>Ref:0506B</t>
  </si>
  <si>
    <t>Ref:0507</t>
  </si>
  <si>
    <t>Ref:0509A</t>
  </si>
  <si>
    <t>All Souls Clapton Park</t>
  </si>
  <si>
    <t>Christchurch-on-the-Mead</t>
  </si>
  <si>
    <t>Ref:0510</t>
  </si>
  <si>
    <t>Ref:0511</t>
  </si>
  <si>
    <t>Ref:0512</t>
  </si>
  <si>
    <t>Ref:0513</t>
  </si>
  <si>
    <t>Ref:0514</t>
  </si>
  <si>
    <t>Ref:0515</t>
  </si>
  <si>
    <t>Ref:0516</t>
  </si>
  <si>
    <t>Ref:0517</t>
  </si>
  <si>
    <t>Ref:0518</t>
  </si>
  <si>
    <t>Ref:0519</t>
  </si>
  <si>
    <t>Ref:0520</t>
  </si>
  <si>
    <t>Ref:0521</t>
  </si>
  <si>
    <t>Ref:0523</t>
  </si>
  <si>
    <t>Ref:0525</t>
  </si>
  <si>
    <t>Ref:0526</t>
  </si>
  <si>
    <t>Ref:0527</t>
  </si>
  <si>
    <t>Ref:0528</t>
  </si>
  <si>
    <t>Ref:0529</t>
  </si>
  <si>
    <t>Ref:0585</t>
  </si>
  <si>
    <t>Ref:0586</t>
  </si>
  <si>
    <t>St John of Jerusalem Church of England Primary School</t>
  </si>
  <si>
    <t>Ref:0601</t>
  </si>
  <si>
    <t>Ref:0604</t>
  </si>
  <si>
    <t>St Andrew Thornhill Square</t>
  </si>
  <si>
    <t>All Saints Caledonian Road</t>
  </si>
  <si>
    <t>Ref:0606</t>
  </si>
  <si>
    <t>Ref:0607</t>
  </si>
  <si>
    <t>Ref:0610</t>
  </si>
  <si>
    <t>Ref:0612</t>
  </si>
  <si>
    <t>Ref:0615</t>
  </si>
  <si>
    <t>Ref:0616</t>
  </si>
  <si>
    <t>Ref:0617</t>
  </si>
  <si>
    <t>Ref:0618</t>
  </si>
  <si>
    <t>Ref:0619</t>
  </si>
  <si>
    <t>Ref:0622</t>
  </si>
  <si>
    <t>Ref:0624</t>
  </si>
  <si>
    <t>Ref:0625</t>
  </si>
  <si>
    <t>Ref:0626</t>
  </si>
  <si>
    <t>Ref:0628</t>
  </si>
  <si>
    <t>Ref:0629</t>
  </si>
  <si>
    <t>Ref:0630</t>
  </si>
  <si>
    <t>Ref:0632</t>
  </si>
  <si>
    <t>Ref:0633</t>
  </si>
  <si>
    <t>Ref:0635</t>
  </si>
  <si>
    <t>Ref:0682</t>
  </si>
  <si>
    <t>St Andrew's</t>
  </si>
  <si>
    <t>Ref:0701</t>
  </si>
  <si>
    <t>Ref:0702</t>
  </si>
  <si>
    <t>Ref:0705</t>
  </si>
  <si>
    <t>Ref:0706</t>
  </si>
  <si>
    <t>Ref:0707</t>
  </si>
  <si>
    <t>Ref:0708</t>
  </si>
  <si>
    <t>All Saints Poplar</t>
  </si>
  <si>
    <t>St Nicholas Aberfeldy</t>
  </si>
  <si>
    <t>Ref:0709</t>
  </si>
  <si>
    <t>Ref:0709A</t>
  </si>
  <si>
    <t>Ref:0709B</t>
  </si>
  <si>
    <t>Ref:0710</t>
  </si>
  <si>
    <t>Ref:0711</t>
  </si>
  <si>
    <t>Ref:0713</t>
  </si>
  <si>
    <t>Ref:0714</t>
  </si>
  <si>
    <t>Ref:0714A</t>
  </si>
  <si>
    <t>Ref:0715</t>
  </si>
  <si>
    <t>Ref:0716</t>
  </si>
  <si>
    <t>Ref:0717</t>
  </si>
  <si>
    <t>Ref:0718</t>
  </si>
  <si>
    <t>Ref:0719</t>
  </si>
  <si>
    <t>Ref:0721</t>
  </si>
  <si>
    <t>Ref:0724</t>
  </si>
  <si>
    <t>Ref:0776</t>
  </si>
  <si>
    <t>Stepney Greencoat Church of England Primary School</t>
  </si>
  <si>
    <t>DataBoundary</t>
  </si>
  <si>
    <t>egryHf{MqAMcBU{@OEDCd@ICy@ESo@YBA?Ko@?uDCsEBuKAsAD{DCm@EY]_ADCz@LXkB^y@f@}@^Oz@IDCOkF?Ol@GbJg@DN@x@BFD@tBBlFRzDHBFG`OFFrDN`BJn@?\DzCFp@?VCzA?fBGlBMD@?VBVMhECr@KhAo@~P_@xHIREn@ICoEMi@EeEEM?c@^]AqA@cBQs@Ia@CSEaBKe@GsDYaAK[AsDW}CM</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</si>
  <si>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</si>
  <si>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</si>
  <si>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</si>
  <si>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</si>
  <si>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</si>
  <si>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https://www.gracechurchhackney.org.uk</t>
  </si>
  <si>
    <t>E8 3DY</t>
  </si>
  <si>
    <t>etpyHppPhAcAj@a@fPwKvFwC`Ai@FIl@jJV`F`AWj@G?CnBc@hCs@\G^@rDVv@FXFg@vBWvA{BjND`AABWHGTeCdOcAk@[M[EQ@CQACQ@e@Ng@T?Ee@RqC|A_F~CcAx@wCuJ}BsIeCsHoAgCcDsESQ</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</si>
  <si>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</si>
  <si>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</si>
  <si>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</si>
  <si>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</si>
  <si>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</si>
  <si>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http://www.hoxtonchurch.org.uk</t>
  </si>
  <si>
    <t>wzpyHpzOs@_K@a@hEem@tBHrDDLBb@@h@DhABvALjBHjBCpCUl@?|ALdBRCrB[fNI@kCC}@C}@?_BGEB@nC\jLAD[Bc@@q@EEBHtE@tKCFuHd@e@FuAFsCROA_BJm@@w@gAC?QL</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</si>
  <si>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</si>
  <si>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</si>
  <si>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</si>
  <si>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_vpyHh_NDk@HS^yHn@_QJiABs@LiECW?WLsANaEPyJBsHAo@DaF?iDBgAJgAdAdAf@p@pBpBjElGbBnAjClApBfAfAZF\V|FRxRRdFFj@Jl@fArE`@zAk@nAGXIh@QlKI~AeBS}AMm@?qCTkBBkBIwAMiACi@Ec@AMCsDEuBI</t>
  </si>
  <si>
    <t>https://www.stjamesclapton.co.uk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</si>
  <si>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</si>
  <si>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</si>
  <si>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</si>
  <si>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</si>
  <si>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</si>
  <si>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</si>
  <si>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https://www.sjebp.com</t>
  </si>
  <si>
    <t>wkvyHlvSuAg@GI`EkIRc@?CuHgN?@oBkDgDuE}DaGoEsGk@q@mBmCLQpAeAjEyCxA}@h@YfAY\ErB?nAEx@GVEl@SzCuAn@a@f@QjBgAl@WdB_A`C}@pBg@h@SDE?O@Ct@MhAGtFFBAz@A@BQn@UxA]|Aa@pAy@hB_@lAIh@CdCOpBPbCFd@Rt@VvB@f@NtALp@Zt@a@Bs@|@aEnGiB|Ck@tAiBlCmDvGkA~Be@n@ADZt@@LsDhG</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</si>
  <si>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</si>
  <si>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</si>
  <si>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</si>
  <si>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</si>
  <si>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</si>
  <si>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</si>
  <si>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http://www.stmarys.islington.sch.uk/</t>
  </si>
  <si>
    <t>https://stmatthewse5.wordpress.com/</t>
  </si>
  <si>
    <t>k~uyHnhM[Go@?EC{BaIy@aDc@qBk@eDa@_Dg@oESeCQkDc@iO?e@a@cQJCvEg@`@Oj@c@vDiEhDoDv@k@|@i@~Cy@~CgABEj@IrA_@BFTlHJjHG`Cc@~JD@p@B^FNDVPPX~@`DZr@T`@l@l@f@\zAn@pHpEh@Tb@JP@l@?FrBE~ACDsHjDiGrCk@ReEjBiBx@GHo@XkMxF[fEk@nCy@|BMh@</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</si>
  <si>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</si>
  <si>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</si>
  <si>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</si>
  <si>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https://www.stmichaelslondonfields.org.uk</t>
  </si>
  <si>
    <t>olryHlbLUmFIkD?mAWeIUsDEmEUmFAu@@mAF{@AYfH{BjDmACaAo@iLPEfAEdDEVABClA@xDGV@TJfBnAhGdFd@ZXLZDb@Kp@S|@ArBJbBRbAHdADd@?LBb@Ct@@\D~@Th@FDAVrAT~AN`BBpAGfBKjAKn@Qf@Yh@qClDe@dAUdAQlCAh@?hDE`F@n@ArFKtIWdHMrAEAmBLgBF{A?WBq@?{CG]Eo@?aBKsDOGGFaOCG{DImFSuBCEACGAy@EOcJf@m@F</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</si>
  <si>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</si>
  <si>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</si>
  <si>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N16 7QB</t>
  </si>
  <si>
    <t>http://stpaulswesthackney.org</t>
  </si>
  <si>
    <t>uxsyHtsM}CWkBEy@ACBw@CsAI{Fm@sF?oAEoCU}H}@C@uBYeCS{Fs@e@KmDcACCLi@x@}Bj@oCXcElB_A~I}Dn@YFIhBy@dEkBj@S|P_IBED_Bz@TDEr@L`Ac@a@dK?l@~@Xb@TnAbAB?l@l@FBX?LFNLfApADHJ^NbAx@hCR|@`@pAV\\\ZP|@XVVJPVl@`@bBNbAPjB^nFK?{Hc@</t>
  </si>
  <si>
    <t>http://www.spsm.hackney.sch.uk</t>
  </si>
  <si>
    <t>http://www.stpeterdebeauvoir.org.uk</t>
  </si>
  <si>
    <t>y{pyHx{OGIsCw@eUeGEBEGqBi@GKo@QcO_Eq@DyBVAAIU?QHq@f@kGJm@JcA@g@?YCOe@_AWeAH{@DcAXgDHuBHq@b@kJDa@B?z@NbBTpAL|CLrDVZ@`AJrDXd@F`BJRD`@Br@HbBPpAA\@b@_@L?dEDh@DnELHBiE`m@A`@r@~Ja@f@</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</si>
  <si>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</si>
  <si>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</si>
  <si>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http://www.theurswickschool.co.uk/</t>
  </si>
  <si>
    <t>http://www.allsaintsislington.org</t>
  </si>
  <si>
    <t>yrqyHjmWGuASuBaAaHiA}GuA{IqA{Gc@kCDAF@jCWBI{BoMsAwIgBeNaCuN]oD?EFEtCeAnBm@rA_@L?~FuAr@OPAj@FpKnCvGV`EVZF~AHDB?r@`@tECH^xDBBHCB@@FGd@Sv@}DfO|EdELPSjE@F~Df@r@D@b@UlK?JBDnCd@rKqA~@KBBl@dQ@I?^d@|NY@?CI@wCAwEOaACC@gAEqKSEBECg@AiDJgAHGHg@J}A^_Bj@uCbBqAtAmAtBm@p@aAx@[R_@Ng@H}@AEA</t>
  </si>
  <si>
    <t>http://www.christchurchhighbury.com</t>
  </si>
  <si>
    <t>yltyH~rSIgVG}D?oABUCKCCC?KJULaMdHADUoBAq@K_BGQQcCWkG@Cr@Id@ARGBCOy@?KZeDB?h@iHAEmAuAACXwK@EFAbFIX@fAChBH@FI`D@lABF`HHHG|@Cl@@\BBENoD@qCtKq@\BXPHJHNNz@N|HABG@ABb@rS@@~CQNCtAGp@B`CV@B|Er@HAHD~@R`@JTdAf@`Dd@lDPvBHzD?`@I`B?^Ip@CDiHoD}CwAGG{HaECF_@hFCdAW`DIb@a@~AOvAOHeI~CC?e@a@e@USGe@?{@LyD|@yE|@</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</si>
  <si>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</si>
  <si>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</si>
  <si>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</si>
  <si>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http://www.holyredeemerclerkenwell.com</t>
  </si>
  <si>
    <t>ykoyHbsUiE}Jw@iDz@[pEsBBGUoB@GpEcC{@aDxDeA~CmEpBiCb@u@hAcAdAq@@@pF`GtAy@~@tBCLcA`BuArBu@`AaA|AkCbF_BnDG|@IHYxAQb@[r@s@jAeApBi@x@OLo@VuARSDO?iCNwAL</t>
  </si>
  <si>
    <t>https://www.standrewsislington.com</t>
  </si>
  <si>
    <t>http://www.standrewsn19.org</t>
  </si>
  <si>
    <t>cbwyHzvZW}BSwBE]q@sBkCyFi@uAiAgDaAmDeAsC}@{C_B{Dy@cBWc@Oc@w@sC{AkIx@a@t@g@~DoDxAiClBsDpAwBtBrEzC~FxD|Gv@jAFFTE^Y`@cArBwDhAcCnCpF`AtBdApBzAxBYpAiBfGeDpJ_CpGsFnLM`@_@lBa@nAqBlF</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</si>
  <si>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</si>
  <si>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</si>
  <si>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</si>
  <si>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https://www.stclementfinsbury.org</t>
  </si>
  <si>
    <t>sfoyHxwRCCg@KaHwAtKsp@FUVI@CEaAzBkNVwAf@wBTg@b@i@j@c@l@]rAg@|@QBCJ@DERCVID@R|Cr@~Mp@zHd@zDh@tDhAjHlApF|BbISb@MWOF_Az@QHwCx@I?qH|BcKlDqCpA</t>
  </si>
  <si>
    <t>http://www.stgeorgestufnellpark.org</t>
  </si>
  <si>
    <t>mouyHffWpB_CdLkRtAoCRYHP^b@xBnDjAzArAhArDpCvCdCfF~DlDdEl@x@g@nA{AjDcDxGgBhD\hBxAbK^nA~CnIo@lA_A~AgB`Ck@j@m@V_@VUPORSb@Qj@Qz@Gp@_@dBSf@QVc@d@y@r@mEdDEGm@[qEsA{B[QE?QEQmBiGkAcDwAoDgAaCgC}EkAmBkAiBbAmDwAsBQIk@{@aDsFXs@k@_AnB{Dj@uAXy@n@kCPi@\u@|@wApB}B</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</si>
  <si>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</si>
  <si>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</si>
  <si>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https://www.stjamesislington.org</t>
  </si>
  <si>
    <t>__pyH`wSEIcBu@eBsAgAs@yAwA{BcCc@a@U_@{CkJe@eAsAyBsCuD}DcFC?uC}EkFoK@S~DaILSx@iBrB{D`DuD~EuFlBqB@GRPbDrEnAfCdCrH|BrIvCtJbAy@~E_DpC}Ad@S?Df@Ud@OPA@BBPPAZDZLbAj@oNt{@_@tCKl@QVMHI@aBIe@H</t>
  </si>
  <si>
    <t>http://www.stjohnsupperholloway.church</t>
  </si>
  <si>
    <t>http://www.st-johns.towerhamlets.sch.uk/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</si>
  <si>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</si>
  <si>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</si>
  <si>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</si>
  <si>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</si>
  <si>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https://www.stmarks-clerkenwell.co.uk</t>
  </si>
  <si>
    <t>{soyHzaUuB{ICS_@{HGwDMmOCILo@^uC~EgZ`HvAf@JBBYVkAjB?B~F~M~@nAFxAFVpFlOc@t@qBhC_DlEyDdAz@`DqEbCAFTrBiBx@GFcBt@{@Z</t>
  </si>
  <si>
    <t>https://www.tollingtonparish.org.uk</t>
  </si>
  <si>
    <t>kqvyHrqWOYaD{E_DcGgBaEqKuWOSuEqLK_@f@s@Xo@t@u@\i@f@y@L[Zt@F^B@HGJSvBaGjDkKjB{EjDeH|@{A|CqE?Hf@k@xBkD`FmIAM[u@JOfEzKlAJrFj@tCb@vBd@pFdBfA`@`Ab@TFbDdB|@f@nExCxD~CvBrBjDrDdErF{AhBoAdBwA|BKTwA`CuHnLuDlGuA`CuAnCeLjRqB~Bu@oCw@iBqByH_@kAECaD~DuSnX</t>
  </si>
  <si>
    <t>http://www.st-marks.islington.sch.uk/</t>
  </si>
  <si>
    <t>http://www.stmaryshornseyrise.org.uk</t>
  </si>
  <si>
    <t>c~wyHtqXUgCMoBAs@_AmK@_AAy@Bu@HwABMLSFQBY?a@]}BKc@o@oAMa@e@eAG]MeC[_CUsA]mCcA{GrAmBz@aBdBeEpAeC\k@x@iAf@_Ap@aAhAkADDHRj@|@^n@j@s@J^tEpLNRpKtWbCrFbCpE`DzENXjFjHwFrKiBzDsBvDa@bA_@XUDGGw@kAqA{BgBaD{C_GuBsEqAvBmBrDyAhC_EnDu@f@y@`@</t>
  </si>
  <si>
    <t>https://www.stmaryislington.org</t>
  </si>
  <si>
    <t>wqpyHz|SEC_BI[GaEWwGWqKoCk@GQ@s@NcGrAu@qJ_@_FIcBqBFCAa@BCA[BaCHwCSEG?YBeALi@X}@DGLADBL@lDBvADlB@G_C?CJIBEa@kDAe@tAk@h@O~NgCjC?JAD@~@?v@NDGVoAB?|DbFrCtDrAxBd@dAzCjJT^b@`@zBbCxAvAfAr@dBrAbBt@DFGD_AEMBYZmA`B_@RoCf@IIo@Lc@Bm@CSGcAAEB</t>
  </si>
  <si>
    <t>https://www.saint-silas.org.uk</t>
  </si>
  <si>
    <t>ksoyHhlVk@_QEIsM|AoCe@CE?KTmKAc@s@E_Eg@AGRkEMQ}EeE|DgORw@Fe@AGCAIBCC_@yDBIa@uE?s@DCbA@RFl@Bb@Cn@MHHnCg@^SlAaBX[LC~@Dl@M`BHHALINUBHLlOFvD^zHBRlDdOhE|JSNYd@{@fDeAbG_@nCSlBKn@AT</t>
  </si>
  <si>
    <t>http://www.ststephenscanonbury.org.uk</t>
  </si>
  <si>
    <t>y{pyHx{OGJ?JAnBBbBI|AFbCZX|EjD?JmBpB_FtFaDtDsBzDy@hBMR_E`ICJ@FjFnKrCzEWxAC?w@O_A?EAK@kC?_OfCi@NoAf@GFB`@`@jDCDKH?BF~BmBAwAEmDCMAECM@EFEC_@J{BBI{DEq@KeAe@mDg@_DTMvKgEFEm@cFNKx@Wn@Yf@_@lBkBv@o@AeDwCaIrD{H[m@tA_L^eDd@sCfBmODCdUdGrCv@FH</t>
  </si>
  <si>
    <t>https://www.stthomaschurch.co.uk</t>
  </si>
  <si>
    <t>ofuyHp_TmFcBwBe@uCc@sFk@mAKgE{KZe@jA_ClDwGhBmCj@uAhB}C`EoGl@w@DE`@C[u@Mq@OuAAg@WwBSu@Ge@QcCNqBBeCHi@^mAx@iB`@qA\}ATyAPo@TP@BGp@YhAE^?h@HfAAFTtA~@lDd@zE@BB?nEzHA?tBjD?JNv@CDSFe@@s@HABVjGPbCFPJ~A@p@TnB@E`MeHTMJKB?BBBJCT?nAF|DHfVEBeLdCYDiKbCEB^lB?J</t>
  </si>
  <si>
    <t>http://www.churchonthecorner.org.uk</t>
  </si>
  <si>
    <t>https://www.trinityislington.org</t>
  </si>
  <si>
    <t>E3 3PN</t>
  </si>
  <si>
    <t>http://www.allhallowsbow.org.uk</t>
  </si>
  <si>
    <t>}cnyHlsCgA_Bk@gAm@gBU}@[kBUqCGcB?_F@oAjAm@rEoCzJsFxF{CpCsAl@UfBhGtDxLpBdHbBhFMVc@n@uA`BmCvAyB~@eAh@g@b@kA~Ae@`AaAvDQ_@iBlG}@jAqArBsA}BYq@_@eBIm@EmAyBcDiA}Ay@_A</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</si>
  <si>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</si>
  <si>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</si>
  <si>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</si>
  <si>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</si>
  <si>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</si>
  <si>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</si>
  <si>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</si>
  <si>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</si>
  <si>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</si>
  <si>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E14 7HP</t>
  </si>
  <si>
    <t>http://www.stbarnabasbethnalgreen.org</t>
  </si>
  <si>
    <t>uupyHtmGaDmG`FiJcBkGnAa@BEAaDBGv@ShAGZBJBr@HbAs@l@o@@OCe@BIZHBD^bDJAxAe@zFgC`@Yx@a@fA_@ROxBmAzAo@DEAc@FQhCcDl@i@l@s@\YRC^fBFv@Nx@dA`FZdAN\nAvBr@|A~AjCiAdBw@fB?Dn@|AuJjGuCxBcBfA_A|@eAtAa@z@_@dAuBoFsByFoCrA}EhBmA`@oBx@cC|@aA~@</t>
  </si>
  <si>
    <t>http://www.stdunstanstepney.com</t>
  </si>
  <si>
    <t>kqlyHv_MsBaIcEaL{A_Fy@sDCM?G[cBIM_BaJ}@{GeAcHuBaP}CqX}@iISaCeB}L}CcWc@iE[qJ{@mHUyAgAgFg@oBa@oAcAwBa@eAq@yBt@w@pBg@jBOvBArNa@~@?f@Gd@KpAk@\u@Zi@rE{Gp@i@LG`@Kt@GZDDBxCjFtMhTx@pBf@xAOtIKt@SlBa@dFKxCJjE?bBE~CIvB[jEu@dJoApMOvB]pNQhD@?]hG[vGOdIC|IIhEGjRQzFQhHMpKGxBIl@QZ</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</si>
  <si>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</si>
  <si>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</si>
  <si>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</si>
  <si>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http://stjamesthelessbg.org.uk</t>
  </si>
  <si>
    <t>olpyHdiICAe@Au@KKPcAo@]_@i@_A[_AOu@MeAEo@C{AF}AD_@R_ARs@Vm@v@sATm@Ni@L}@L_B?sAO}C[iDSoAY}@[g@gB{BAe@l@{@`A_AbC}@nBy@lAa@|EiBnCsAfFhN`@eA`@{@dAuA~@}@TMVvAh@|D~@~E\vAnBtLgAh@eBhASJu@NGFdAfHnA~LaA^CDZlCCD}@\CCESCEyGxAaAXkE|Ba@BwD?sBD}@eFEOEA</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</si>
  <si>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</si>
  <si>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</si>
  <si>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</si>
  <si>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</si>
  <si>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http://stmaryscablest.blogspot.com</t>
  </si>
  <si>
    <t>_llyH~~IXiGXeMJsBvAaOt@eJZkEHwBD_D?cBKkEJyC`@eFRmBJu@bBj@p@`@ZVf@fARl@Bf@PjI@zAAxBDrBDtFX`E`@`KNrCv@~KHzAA\M|@[xASlBEj@AdFEnBgBNGAUB?BU?kBPyAJ{@UCCQa@wE]</t>
  </si>
  <si>
    <t>wboyH~{LLG@Ck@kS{@gM@ELGBEv@[HC@Eu@sHWaBmAgH]iB}DsPo@gCu@{BMu@VIbDk@?BzA[hGo@zAIzBDdFBt@Df@Hr@^XTd@b@`@j@LTx@nBd@xBJ~@Hp@ZlHHtC@bEBvBd@|Q?FB~AXtLHxBPbC`@nDh@~DADC?w@Mc@CE?M|MAH]?C@E|IALQ@yB`@FlBc@?_@BI?AAc@eLc@qHC?qI`CkBp@cE}N</t>
  </si>
  <si>
    <t>http://stnicholaspoplar.org</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</si>
  <si>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</si>
  <si>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</si>
  <si>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http://www.stpaulsbowcommon.org.uk</t>
  </si>
  <si>
    <t>y`nyH~bFCyA~B_BZ_@Lc@d@wDPmBXwIRuC\gD~AiLJkABu@JmALq@Tu@fAwCp@wC`AwDd@aAjA_Bf@c@dAi@xB_AlCwAtAaBb@o@zB~HnKf]ADIDwDbBh@lHABmGxBHnMCB[D{@XcB|@CLCn@q@h@sEzG[h@]t@qAj@e@Jg@F_A?sN`@wB@</t>
  </si>
  <si>
    <t>http://sps.church</t>
  </si>
  <si>
    <t>swkyHd`JDoB@eFNoBHi@b@sBDc@@]I{Aw@_LOsCa@aKYaEEuFEsB@yBA{AQkICg@EMM_@g@gA[Wq@a@KcGBaDNoHDo@@CtHz@HAzCNZMx@PFBD?dB\t@PHBIdAG~DArJ@bAAr@Bz@Ff@DlALxA@h@V|CRvALl@p@hCRf@JLfAvCrCxGKP{EtG]j@c@fHGfC?dDBjGLbGCDgBRENy@A_@DMbFg@BO]ELKHI@UAQTE@AAgAFKB{@Di@@aAHA?AGAqA</t>
  </si>
  <si>
    <t>http://www.spsl.towerhamlets.sch.uk/</t>
  </si>
  <si>
    <t>https://www.stpetersbethnalgreen.org</t>
  </si>
  <si>
    <t>eooyHzlMeBcHKm@Gk@SeFSyRW}FG]gA[qBgAkCmAcBoAkEmGqBqBg@q@eAeABg@Pw@Nc@b@{@^c@tBqCTg@ReAJkADsAAeBOaBU_BUoA^AZ@xBCzBYbGqAt@WpAk@FPb@zBt@zBn@fC|DrP\hBlAfHV`Bt@rHADIBw@ZCDMFADz@fMj@jSABMFYLRtGEBaDb@CD@ZABm@Rk@^q@h@i@d@?Ac@b@AB</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</si>
  <si>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</si>
  <si>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</si>
  <si>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https://www.stpetersbarge.org</t>
  </si>
  <si>
    <t>http://www.stpetersprimary.org.uk/</t>
  </si>
  <si>
    <t>WikipediaBenefice</t>
  </si>
  <si>
    <t>WikipediaPopulationOfParish</t>
  </si>
  <si>
    <t>TeamMinistryWebsite</t>
  </si>
  <si>
    <t>WikipediaCrockfordLink</t>
  </si>
  <si>
    <t>$Incumbent$</t>
  </si>
  <si>
    <t xml:space="preserve">Date last updated: </t>
  </si>
  <si>
    <t>Maintenance etc: jamie@critos.co.uk</t>
  </si>
  <si>
    <t>https://www.google.co.uk/maps/search/?api=1&amp;query=$lat$,$long$</t>
  </si>
  <si>
    <t>Google maps</t>
  </si>
  <si>
    <t>GoogleMapsLink</t>
  </si>
  <si>
    <t>London directory</t>
  </si>
  <si>
    <t>GC</t>
  </si>
  <si>
    <t>Churchmanship</t>
  </si>
  <si>
    <t>ChurchmanshipOptions</t>
  </si>
  <si>
    <t>Liberal</t>
  </si>
  <si>
    <t>Evangelical</t>
  </si>
  <si>
    <t>E14 4AL</t>
  </si>
  <si>
    <t>Unknown</t>
  </si>
  <si>
    <t>ResourceChurch</t>
  </si>
  <si>
    <t>St Barnabas Homerton</t>
  </si>
  <si>
    <t>St Paul West Hackney</t>
  </si>
  <si>
    <t>St Saviour Hanley Road</t>
  </si>
  <si>
    <t>King's Cross Church (KXC)</t>
  </si>
  <si>
    <t>St Anne Limehouse</t>
  </si>
  <si>
    <t>Ref:3001</t>
  </si>
  <si>
    <t>Include?</t>
  </si>
  <si>
    <t>N</t>
  </si>
  <si>
    <t>The directory does give the postcode for the church building, but the building has moved.  The lat / lng are based on Andy's rough idea of the location, and I've reverse engineered a postcode.</t>
  </si>
  <si>
    <t>E8 3TF</t>
  </si>
  <si>
    <t>St James Clerkenwell (Inspire)</t>
  </si>
  <si>
    <t>The Inspire group meets here.</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</si>
  <si>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</si>
  <si>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</si>
  <si>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</si>
  <si>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</si>
  <si>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</si>
  <si>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</si>
  <si>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</si>
  <si>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</si>
  <si>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</si>
  <si>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</si>
  <si>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</si>
  <si>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</si>
  <si>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</si>
  <si>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</si>
  <si>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</si>
  <si>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</si>
  <si>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</si>
  <si>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</si>
  <si>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</si>
  <si>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</si>
  <si>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</si>
  <si>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</si>
  <si>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</si>
  <si>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</si>
  <si>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</si>
  <si>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</si>
  <si>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</si>
  <si>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</si>
  <si>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</si>
  <si>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</si>
  <si>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</si>
  <si>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</si>
  <si>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</si>
  <si>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</si>
  <si>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</si>
  <si>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</si>
  <si>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</si>
  <si>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</si>
  <si>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</si>
  <si>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</si>
  <si>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</si>
  <si>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</si>
  <si>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</si>
  <si>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</si>
  <si>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</si>
  <si>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</si>
  <si>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</si>
  <si>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</si>
  <si>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</si>
  <si>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</si>
  <si>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</si>
  <si>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</si>
  <si>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</si>
  <si>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</si>
  <si>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</si>
  <si>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</si>
  <si>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</si>
  <si>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</si>
  <si>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</si>
  <si>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</si>
  <si>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</si>
  <si>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</si>
  <si>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</si>
  <si>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</si>
  <si>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</si>
  <si>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</si>
  <si>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</si>
  <si>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</si>
  <si>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</si>
  <si>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</si>
  <si>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</si>
  <si>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</si>
  <si>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</si>
  <si>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</si>
  <si>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</si>
  <si>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</si>
  <si>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</si>
  <si>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</si>
  <si>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</si>
  <si>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</si>
  <si>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</si>
  <si>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</si>
  <si>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</si>
  <si>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</si>
  <si>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</si>
  <si>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</si>
  <si>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</si>
  <si>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</si>
  <si>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</si>
  <si>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</si>
  <si>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</si>
  <si>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</si>
  <si>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</si>
  <si>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</si>
  <si>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</si>
  <si>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</si>
  <si>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</si>
  <si>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</si>
  <si>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</si>
  <si>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</si>
  <si>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</si>
  <si>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</si>
  <si>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</si>
  <si>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</si>
  <si>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</si>
  <si>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</si>
  <si>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</si>
  <si>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</si>
  <si>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</si>
  <si>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</si>
  <si>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</si>
  <si>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</si>
  <si>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</si>
  <si>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</si>
  <si>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</si>
  <si>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</si>
  <si>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</si>
  <si>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</si>
  <si>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</si>
  <si>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</si>
  <si>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</si>
  <si>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</si>
  <si>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</si>
  <si>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</si>
  <si>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</si>
  <si>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</si>
  <si>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</si>
  <si>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</si>
  <si>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</si>
  <si>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</si>
  <si>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</si>
  <si>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</si>
  <si>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</si>
  <si>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</si>
  <si>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</si>
  <si>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</si>
  <si>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</si>
  <si>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</si>
  <si>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</si>
  <si>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</si>
  <si>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</si>
  <si>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</si>
  <si>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</si>
  <si>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</si>
  <si>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</si>
  <si>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</si>
  <si>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</si>
  <si>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</si>
  <si>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</si>
  <si>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</si>
  <si>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</si>
  <si>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</si>
  <si>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</si>
  <si>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</si>
  <si>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</si>
  <si>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</si>
  <si>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</si>
  <si>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</si>
  <si>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</si>
  <si>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</si>
  <si>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</si>
  <si>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</si>
  <si>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</si>
  <si>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</si>
  <si>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</si>
  <si>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</si>
  <si>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</si>
  <si>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</si>
  <si>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</si>
  <si>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</si>
  <si>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</si>
  <si>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</si>
  <si>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</si>
  <si>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</si>
  <si>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</si>
  <si>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</si>
  <si>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</si>
  <si>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</si>
  <si>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</si>
  <si>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</si>
  <si>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</si>
  <si>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</si>
  <si>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</si>
  <si>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</si>
  <si>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</si>
  <si>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</si>
  <si>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</si>
  <si>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</si>
  <si>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</si>
  <si>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</si>
  <si>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</si>
  <si>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</si>
  <si>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</si>
  <si>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</si>
  <si>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</si>
  <si>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</si>
  <si>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</si>
  <si>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</si>
  <si>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</si>
  <si>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</si>
  <si>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</si>
  <si>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</si>
  <si>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</si>
  <si>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</si>
  <si>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</si>
  <si>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</si>
  <si>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</si>
  <si>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</si>
  <si>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</si>
  <si>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</si>
  <si>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</si>
  <si>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</si>
  <si>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</si>
  <si>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</si>
  <si>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</si>
  <si>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</si>
  <si>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</si>
  <si>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</si>
  <si>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</si>
  <si>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</si>
  <si>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</si>
  <si>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</si>
  <si>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</si>
  <si>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</si>
  <si>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</si>
  <si>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</si>
  <si>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</si>
  <si>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</si>
  <si>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</si>
  <si>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</si>
  <si>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</si>
  <si>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</si>
  <si>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</si>
  <si>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</si>
  <si>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</si>
  <si>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</si>
  <si>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</si>
  <si>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</si>
  <si>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</si>
  <si>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</si>
  <si>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</si>
  <si>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</si>
  <si>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</si>
  <si>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</si>
  <si>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</si>
  <si>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</si>
  <si>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</si>
  <si>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</si>
  <si>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</si>
  <si>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</si>
  <si>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</si>
  <si>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</si>
  <si>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</si>
  <si>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</si>
  <si>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</si>
  <si>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</si>
  <si>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</si>
  <si>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</si>
  <si>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</si>
  <si>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</si>
  <si>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</si>
  <si>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</si>
  <si>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</si>
  <si>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</si>
  <si>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</si>
  <si>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</si>
  <si>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</si>
  <si>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</si>
  <si>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</si>
  <si>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</si>
  <si>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</si>
  <si>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</si>
  <si>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</si>
  <si>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</si>
  <si>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</si>
  <si>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</si>
  <si>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</si>
  <si>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</si>
  <si>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</si>
  <si>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</si>
  <si>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</si>
  <si>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</si>
  <si>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</si>
  <si>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</si>
  <si>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</si>
  <si>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</si>
  <si>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</si>
  <si>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</si>
  <si>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</si>
  <si>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</si>
  <si>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</si>
  <si>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</si>
  <si>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</si>
  <si>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</si>
  <si>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</si>
  <si>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</si>
  <si>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</si>
  <si>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</si>
  <si>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</si>
  <si>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</si>
  <si>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</si>
  <si>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</si>
  <si>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</si>
  <si>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</si>
  <si>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</si>
  <si>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</si>
  <si>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</si>
  <si>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</si>
  <si>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</si>
  <si>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</si>
  <si>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</si>
  <si>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</si>
  <si>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</si>
  <si>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</si>
  <si>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</si>
  <si>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</si>
  <si>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</si>
  <si>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</si>
  <si>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</si>
  <si>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</si>
  <si>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</si>
  <si>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</si>
  <si>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</si>
  <si>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</si>
  <si>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</si>
  <si>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</si>
  <si>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</si>
  <si>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</si>
  <si>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</si>
  <si>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</si>
  <si>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</si>
  <si>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</si>
  <si>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</si>
  <si>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</si>
  <si>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</si>
  <si>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</si>
  <si>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</si>
  <si>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</si>
  <si>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</si>
  <si>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</si>
  <si>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</si>
  <si>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</si>
  <si>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</si>
  <si>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</si>
  <si>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</si>
  <si>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</si>
  <si>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</si>
  <si>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</si>
  <si>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</si>
  <si>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</si>
  <si>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</si>
  <si>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</si>
  <si>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</si>
  <si>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</si>
  <si>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</si>
  <si>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</si>
  <si>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</si>
  <si>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</si>
  <si>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</si>
  <si>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</si>
  <si>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</si>
  <si>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</si>
  <si>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</si>
  <si>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</si>
  <si>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</si>
  <si>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</si>
  <si>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</si>
  <si>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</si>
  <si>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</si>
  <si>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</si>
  <si>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</si>
  <si>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</si>
  <si>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</si>
  <si>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</si>
  <si>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</si>
  <si>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</si>
  <si>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</si>
  <si>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</si>
  <si>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</si>
  <si>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</si>
  <si>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</si>
  <si>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</si>
  <si>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</si>
  <si>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</si>
  <si>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</si>
  <si>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</si>
  <si>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</si>
  <si>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</si>
  <si>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</si>
  <si>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</si>
  <si>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</si>
  <si>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</si>
  <si>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</si>
  <si>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</si>
  <si>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</si>
  <si>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</si>
  <si>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</si>
  <si>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</si>
  <si>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</si>
  <si>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</si>
  <si>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</si>
  <si>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</si>
  <si>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</si>
  <si>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</si>
  <si>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</si>
  <si>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</si>
  <si>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</si>
  <si>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</si>
  <si>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</si>
  <si>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</si>
  <si>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</si>
  <si>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</si>
  <si>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</si>
  <si>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</si>
  <si>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</si>
  <si>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</si>
  <si>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</si>
  <si>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</si>
  <si>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</si>
  <si>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</si>
  <si>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</si>
  <si>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</si>
  <si>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</si>
  <si>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</si>
  <si>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</si>
  <si>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</si>
  <si>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</si>
  <si>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</si>
  <si>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</si>
  <si>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</si>
  <si>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</si>
  <si>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</si>
  <si>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</si>
  <si>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</si>
  <si>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</si>
  <si>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</si>
  <si>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</si>
  <si>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</si>
  <si>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</si>
  <si>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</si>
  <si>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</si>
  <si>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</si>
  <si>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</si>
  <si>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</si>
  <si>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</si>
  <si>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</si>
  <si>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</si>
  <si>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</si>
  <si>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</si>
  <si>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</si>
  <si>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</si>
  <si>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</si>
  <si>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</si>
  <si>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</si>
  <si>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</si>
  <si>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</si>
  <si>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</si>
  <si>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</si>
  <si>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</si>
  <si>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</si>
  <si>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</si>
  <si>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</si>
  <si>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</si>
  <si>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</si>
  <si>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</si>
  <si>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</si>
  <si>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</si>
  <si>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</si>
  <si>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</si>
  <si>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</si>
  <si>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</si>
  <si>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</si>
  <si>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</si>
  <si>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</si>
  <si>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</si>
  <si>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</si>
  <si>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</si>
  <si>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</si>
  <si>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</si>
  <si>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</si>
  <si>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</si>
  <si>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</si>
  <si>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</si>
  <si>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</si>
  <si>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</si>
  <si>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</si>
  <si>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</si>
  <si>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</si>
  <si>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</si>
  <si>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</si>
  <si>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</si>
  <si>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</si>
  <si>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</si>
  <si>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</si>
  <si>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</si>
  <si>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</si>
  <si>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</si>
  <si>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</si>
  <si>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</si>
  <si>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</si>
  <si>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</si>
  <si>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</si>
  <si>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</si>
  <si>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</si>
  <si>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</si>
  <si>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</si>
  <si>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</si>
  <si>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</si>
  <si>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</si>
  <si>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</si>
  <si>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</si>
  <si>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</si>
  <si>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</si>
  <si>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</si>
  <si>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</si>
  <si>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</si>
  <si>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</si>
  <si>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</si>
  <si>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</si>
  <si>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</si>
  <si>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</si>
  <si>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</si>
  <si>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</si>
  <si>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</si>
  <si>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</si>
  <si>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</si>
  <si>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</si>
  <si>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</si>
  <si>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</si>
  <si>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</si>
  <si>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</si>
  <si>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</si>
  <si>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</si>
  <si>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</si>
  <si>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</si>
  <si>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</si>
  <si>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</si>
  <si>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</si>
  <si>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</si>
  <si>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</si>
  <si>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</si>
  <si>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</si>
  <si>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</si>
  <si>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</si>
  <si>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</si>
  <si>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</si>
  <si>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</si>
  <si>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</si>
  <si>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</si>
  <si>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</si>
  <si>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</si>
  <si>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</si>
  <si>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</si>
  <si>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</si>
  <si>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</si>
  <si>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</si>
  <si>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</si>
  <si>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</si>
  <si>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</si>
  <si>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</si>
  <si>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</si>
  <si>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</si>
  <si>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</si>
  <si>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</si>
  <si>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</si>
  <si>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</si>
  <si>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</si>
  <si>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</si>
  <si>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</si>
  <si>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</si>
  <si>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</si>
  <si>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</si>
  <si>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</si>
  <si>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</si>
  <si>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</si>
  <si>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</si>
  <si>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</si>
  <si>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</si>
  <si>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</si>
  <si>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</si>
  <si>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</si>
  <si>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</si>
  <si>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</si>
  <si>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</si>
  <si>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</si>
  <si>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</si>
  <si>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</si>
  <si>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</si>
  <si>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</si>
  <si>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</si>
  <si>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</si>
  <si>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</si>
  <si>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</si>
  <si>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</si>
  <si>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</si>
  <si>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</si>
  <si>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</si>
  <si>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</si>
  <si>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</si>
  <si>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</si>
  <si>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</si>
  <si>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</si>
  <si>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</si>
  <si>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</si>
  <si>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</si>
  <si>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</si>
  <si>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</si>
  <si>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</si>
  <si>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</si>
  <si>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</si>
  <si>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</si>
  <si>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</si>
  <si>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</si>
  <si>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</si>
  <si>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</si>
  <si>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</si>
  <si>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</si>
  <si>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</si>
  <si>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</si>
  <si>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</si>
  <si>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</si>
  <si>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</si>
  <si>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</si>
  <si>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</si>
  <si>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</si>
  <si>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</si>
  <si>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</si>
  <si>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</si>
  <si>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</si>
  <si>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</si>
  <si>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</si>
  <si>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</si>
  <si>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</si>
  <si>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</si>
  <si>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</si>
  <si>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</si>
  <si>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</si>
  <si>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</si>
  <si>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</si>
  <si>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</si>
  <si>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</si>
  <si>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</si>
  <si>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</si>
  <si>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</si>
  <si>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</si>
  <si>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</si>
  <si>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</si>
  <si>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</si>
  <si>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</si>
  <si>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</si>
  <si>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</si>
  <si>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</si>
  <si>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</si>
  <si>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</si>
  <si>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</si>
  <si>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</si>
  <si>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</si>
  <si>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</si>
  <si>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</si>
  <si>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</si>
  <si>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</si>
  <si>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</si>
  <si>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</si>
  <si>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</si>
  <si>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</si>
  <si>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</si>
  <si>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</si>
  <si>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</si>
  <si>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</si>
  <si>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</si>
  <si>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</si>
  <si>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</si>
  <si>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</si>
  <si>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</si>
  <si>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</si>
  <si>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</si>
  <si>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</si>
  <si>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</si>
  <si>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</si>
  <si>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</si>
  <si>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</si>
  <si>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</si>
  <si>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</si>
  <si>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</si>
  <si>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</si>
  <si>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</si>
  <si>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</si>
  <si>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</si>
  <si>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</si>
  <si>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</si>
  <si>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</si>
  <si>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</si>
  <si>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</si>
  <si>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</si>
  <si>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</si>
  <si>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</si>
  <si>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</si>
  <si>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</si>
  <si>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</si>
  <si>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</si>
  <si>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</si>
  <si>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</si>
  <si>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</si>
  <si>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</si>
  <si>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</si>
  <si>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</si>
  <si>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</si>
  <si>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</si>
  <si>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</si>
  <si>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</si>
  <si>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</si>
  <si>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</si>
  <si>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</si>
  <si>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</si>
  <si>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</si>
  <si>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</si>
  <si>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</si>
  <si>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</si>
  <si>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</si>
  <si>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</si>
  <si>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</si>
  <si>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</si>
  <si>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</si>
  <si>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</si>
  <si>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</si>
  <si>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</si>
  <si>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</si>
  <si>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</si>
  <si>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</si>
  <si>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</si>
  <si>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</si>
  <si>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</si>
  <si>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</si>
  <si>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</si>
  <si>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</si>
  <si>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</si>
  <si>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</si>
  <si>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</si>
  <si>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</si>
  <si>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</si>
  <si>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</si>
  <si>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</si>
  <si>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</si>
  <si>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</si>
  <si>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</si>
  <si>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</si>
  <si>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</si>
  <si>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</si>
  <si>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</si>
  <si>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</si>
  <si>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</si>
  <si>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</si>
  <si>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</si>
  <si>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</si>
  <si>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</si>
  <si>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</si>
  <si>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</si>
  <si>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</si>
  <si>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</si>
  <si>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</si>
  <si>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</si>
  <si>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</si>
  <si>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</si>
  <si>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</si>
  <si>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</si>
  <si>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</si>
  <si>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</si>
  <si>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</si>
  <si>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</si>
  <si>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</si>
  <si>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</si>
  <si>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</si>
  <si>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</si>
  <si>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</si>
  <si>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</si>
  <si>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</si>
  <si>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</si>
  <si>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</si>
  <si>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</si>
  <si>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</si>
  <si>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</si>
  <si>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</si>
  <si>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</si>
  <si>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</si>
  <si>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</si>
  <si>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</si>
  <si>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</si>
  <si>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</si>
  <si>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</si>
  <si>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</si>
  <si>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</si>
  <si>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</si>
  <si>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</si>
  <si>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</si>
  <si>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</si>
  <si>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</si>
  <si>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</si>
  <si>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</si>
  <si>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</si>
  <si>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</si>
  <si>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</si>
  <si>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</si>
  <si>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</si>
  <si>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</si>
  <si>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</si>
  <si>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</si>
  <si>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</si>
  <si>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</si>
  <si>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</si>
  <si>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</si>
  <si>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</si>
  <si>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</si>
  <si>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</si>
  <si>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</si>
  <si>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</si>
  <si>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</si>
  <si>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</si>
  <si>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</si>
  <si>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</si>
  <si>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</si>
  <si>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</si>
  <si>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</si>
  <si>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</si>
  <si>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</si>
  <si>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</si>
  <si>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</si>
  <si>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</si>
  <si>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</si>
  <si>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</si>
  <si>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</si>
  <si>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</si>
  <si>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</si>
  <si>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</si>
  <si>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</si>
  <si>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</si>
  <si>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</si>
  <si>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</si>
  <si>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</si>
  <si>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</si>
  <si>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</si>
  <si>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</si>
  <si>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</si>
  <si>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</si>
  <si>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</si>
  <si>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</si>
  <si>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</si>
  <si>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</si>
  <si>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</si>
  <si>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</si>
  <si>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</si>
  <si>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</si>
  <si>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</si>
  <si>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</si>
  <si>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</si>
  <si>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</si>
  <si>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</si>
  <si>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</si>
  <si>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</si>
  <si>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</si>
  <si>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</si>
  <si>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</si>
  <si>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</si>
  <si>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</si>
  <si>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</si>
  <si>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</si>
  <si>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</si>
  <si>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</si>
  <si>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</si>
  <si>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</si>
  <si>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</si>
  <si>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</si>
  <si>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</si>
  <si>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</si>
  <si>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</si>
  <si>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</si>
  <si>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</si>
  <si>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</si>
  <si>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</si>
  <si>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</si>
  <si>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</si>
  <si>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</si>
  <si>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</si>
  <si>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</si>
  <si>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</si>
  <si>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</si>
  <si>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</si>
  <si>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</si>
  <si>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</si>
  <si>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</si>
  <si>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</si>
  <si>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</si>
  <si>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</si>
  <si>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</si>
  <si>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</si>
  <si>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</si>
  <si>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</si>
  <si>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</si>
  <si>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</si>
  <si>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</si>
  <si>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</si>
  <si>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</si>
  <si>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</si>
  <si>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</si>
  <si>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</si>
  <si>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</si>
  <si>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</si>
  <si>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</si>
  <si>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</si>
  <si>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</si>
  <si>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</si>
  <si>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</si>
  <si>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</si>
  <si>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</si>
  <si>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</si>
  <si>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</si>
  <si>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</si>
  <si>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</si>
  <si>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</si>
  <si>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</si>
  <si>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</si>
  <si>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</si>
  <si>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</si>
  <si>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</si>
  <si>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</si>
  <si>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</si>
  <si>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</si>
  <si>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</si>
  <si>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</si>
  <si>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</si>
  <si>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</si>
  <si>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</si>
  <si>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</si>
  <si>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</si>
  <si>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</si>
  <si>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</si>
  <si>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</si>
  <si>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</si>
  <si>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</si>
  <si>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</si>
  <si>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</si>
  <si>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</si>
  <si>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</si>
  <si>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</si>
  <si>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</si>
  <si>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</si>
  <si>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</si>
  <si>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</si>
  <si>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</si>
  <si>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</si>
  <si>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</si>
  <si>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</si>
  <si>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</si>
  <si>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</si>
  <si>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</si>
  <si>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</si>
  <si>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</si>
  <si>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</si>
  <si>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</si>
  <si>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</si>
  <si>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</si>
  <si>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</si>
  <si>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</si>
  <si>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</si>
  <si>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</si>
  <si>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</si>
  <si>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</si>
  <si>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</si>
  <si>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</si>
  <si>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</si>
  <si>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</si>
  <si>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</si>
  <si>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</si>
  <si>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</si>
  <si>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</si>
  <si>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</si>
  <si>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</si>
  <si>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</si>
  <si>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</si>
  <si>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</si>
  <si>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</si>
  <si>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</si>
  <si>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</si>
  <si>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</si>
  <si>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</si>
  <si>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</si>
  <si>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</si>
  <si>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</si>
  <si>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</si>
  <si>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</si>
  <si>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</si>
  <si>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</si>
  <si>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</si>
  <si>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</si>
  <si>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</si>
  <si>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</si>
  <si>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</si>
  <si>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</si>
  <si>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</si>
  <si>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</si>
  <si>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</si>
  <si>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</si>
  <si>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</si>
  <si>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</si>
  <si>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</si>
  <si>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</si>
  <si>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</si>
  <si>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</si>
  <si>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</si>
  <si>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</si>
  <si>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</si>
  <si>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</si>
  <si>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</si>
  <si>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</si>
  <si>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</si>
  <si>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</si>
  <si>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</si>
  <si>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</si>
  <si>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</si>
  <si>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</si>
  <si>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</si>
  <si>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</si>
  <si>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</si>
  <si>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</si>
  <si>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</si>
  <si>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</si>
  <si>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</si>
  <si>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</si>
  <si>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</si>
  <si>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</si>
  <si>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</si>
  <si>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</si>
  <si>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</si>
  <si>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</si>
  <si>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</si>
  <si>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</si>
  <si>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</si>
  <si>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</si>
  <si>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</si>
  <si>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</si>
  <si>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</si>
  <si>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</si>
  <si>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</si>
  <si>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</si>
  <si>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</si>
  <si>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</si>
  <si>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</si>
  <si>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</si>
  <si>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</si>
  <si>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</si>
  <si>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</si>
  <si>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</si>
  <si>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</si>
  <si>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</si>
  <si>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</si>
  <si>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</si>
  <si>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</si>
  <si>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</si>
  <si>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</si>
  <si>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</si>
  <si>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</si>
  <si>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</si>
  <si>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</si>
  <si>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</si>
  <si>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</si>
  <si>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</si>
  <si>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</si>
  <si>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</si>
  <si>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</si>
  <si>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</si>
  <si>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</si>
  <si>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</si>
  <si>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</si>
  <si>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</si>
  <si>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</si>
  <si>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</si>
  <si>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</si>
  <si>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</si>
  <si>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</si>
  <si>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</si>
  <si>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</si>
  <si>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</si>
  <si>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</si>
  <si>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</si>
  <si>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</si>
  <si>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</si>
  <si>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</si>
  <si>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</si>
  <si>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</si>
  <si>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</si>
  <si>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</si>
  <si>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</si>
  <si>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</si>
  <si>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</si>
  <si>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</si>
  <si>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</si>
  <si>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</si>
  <si>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</si>
  <si>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</si>
  <si>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</si>
  <si>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</si>
  <si>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</si>
  <si>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</si>
  <si>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</si>
  <si>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</si>
  <si>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</si>
  <si>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</si>
  <si>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</si>
  <si>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</si>
  <si>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</si>
  <si>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</si>
  <si>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</si>
  <si>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</si>
  <si>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</si>
  <si>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</si>
  <si>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</si>
  <si>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</si>
  <si>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</si>
  <si>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</si>
  <si>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</si>
  <si>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</si>
  <si>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</si>
  <si>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</si>
  <si>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</si>
  <si>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</si>
  <si>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</si>
  <si>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</si>
  <si>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</si>
  <si>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</si>
  <si>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</si>
  <si>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</si>
  <si>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</si>
  <si>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</si>
  <si>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</si>
  <si>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</si>
  <si>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</si>
  <si>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</si>
  <si>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</si>
  <si>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</si>
  <si>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</si>
  <si>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</si>
  <si>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</si>
  <si>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</si>
  <si>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</si>
  <si>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</si>
  <si>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</si>
  <si>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</si>
  <si>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</si>
  <si>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</si>
  <si>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</si>
  <si>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</si>
  <si>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</si>
  <si>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</si>
  <si>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</si>
  <si>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</si>
  <si>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</si>
  <si>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</si>
  <si>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</si>
  <si>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</si>
  <si>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</si>
  <si>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</si>
  <si>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</si>
  <si>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</si>
  <si>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</si>
  <si>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</si>
  <si>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</si>
  <si>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</si>
  <si>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</si>
  <si>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</si>
  <si>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</si>
  <si>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</si>
  <si>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</si>
  <si>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</si>
  <si>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</si>
  <si>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</si>
  <si>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</si>
  <si>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</si>
  <si>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</si>
  <si>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</si>
  <si>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</si>
  <si>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</si>
  <si>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</si>
  <si>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</si>
  <si>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</si>
  <si>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</si>
  <si>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</si>
  <si>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</si>
  <si>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</si>
  <si>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</si>
  <si>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</si>
  <si>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</si>
  <si>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</si>
  <si>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</si>
  <si>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</si>
  <si>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</si>
  <si>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</si>
  <si>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</si>
  <si>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</si>
  <si>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</si>
  <si>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</si>
  <si>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</si>
  <si>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</si>
  <si>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</si>
  <si>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</si>
  <si>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</si>
  <si>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</si>
  <si>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</si>
  <si>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</si>
  <si>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</si>
  <si>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</si>
  <si>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</si>
  <si>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</si>
  <si>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</si>
  <si>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</si>
  <si>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</si>
  <si>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</si>
  <si>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</si>
  <si>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</si>
  <si>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</si>
  <si>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</si>
  <si>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</si>
  <si>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</si>
  <si>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</si>
  <si>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</si>
  <si>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</si>
  <si>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</si>
  <si>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</si>
  <si>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</si>
  <si>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</si>
  <si>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</si>
  <si>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</si>
  <si>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</si>
  <si>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</si>
  <si>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</si>
  <si>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</si>
  <si>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</si>
  <si>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</si>
  <si>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</si>
  <si>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</si>
  <si>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</si>
  <si>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</si>
  <si>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</si>
  <si>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</si>
  <si>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</si>
  <si>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</si>
  <si>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</si>
  <si>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</si>
  <si>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</si>
  <si>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</si>
  <si>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</si>
  <si>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</si>
  <si>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</si>
  <si>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</si>
  <si>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</si>
  <si>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</si>
  <si>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</si>
  <si>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</si>
  <si>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</si>
  <si>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</si>
  <si>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</si>
  <si>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</si>
  <si>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</si>
  <si>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</si>
  <si>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</si>
  <si>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</si>
  <si>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</si>
  <si>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</si>
  <si>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</si>
  <si>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</si>
  <si>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</si>
  <si>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</si>
  <si>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</si>
  <si>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</si>
  <si>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</si>
  <si>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</si>
  <si>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</si>
  <si>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</si>
  <si>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</si>
  <si>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</si>
  <si>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</si>
  <si>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</si>
  <si>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</si>
  <si>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</si>
  <si>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</si>
  <si>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</si>
  <si>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</si>
  <si>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</si>
  <si>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</si>
  <si>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</si>
  <si>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</si>
  <si>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</si>
  <si>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</si>
  <si>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</si>
  <si>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</si>
  <si>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</si>
  <si>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</si>
  <si>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</si>
  <si>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</si>
  <si>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</si>
  <si>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</si>
  <si>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</si>
  <si>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</si>
  <si>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</si>
  <si>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</si>
  <si>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</si>
  <si>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</si>
  <si>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</si>
  <si>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</si>
  <si>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</si>
  <si>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</si>
  <si>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</si>
  <si>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</si>
  <si>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</si>
  <si>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</si>
  <si>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</si>
  <si>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</si>
  <si>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</si>
  <si>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</si>
  <si>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</si>
  <si>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</si>
  <si>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</si>
  <si>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</si>
  <si>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</si>
  <si>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</si>
  <si>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</si>
  <si>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</si>
  <si>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</si>
  <si>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</si>
  <si>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</si>
  <si>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</si>
  <si>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</si>
  <si>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</si>
  <si>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</si>
  <si>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</si>
  <si>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</si>
  <si>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</si>
  <si>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</si>
  <si>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</si>
  <si>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</si>
  <si>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</si>
  <si>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</si>
  <si>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</si>
  <si>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</si>
  <si>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</si>
  <si>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</si>
  <si>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</si>
  <si>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</si>
  <si>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</si>
  <si>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</si>
  <si>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</si>
  <si>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</si>
  <si>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</si>
  <si>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</si>
  <si>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</si>
  <si>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</si>
  <si>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</si>
  <si>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</si>
  <si>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</si>
  <si>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</si>
  <si>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</si>
  <si>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</si>
  <si>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</si>
  <si>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</si>
  <si>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</si>
  <si>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</si>
  <si>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</si>
  <si>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</si>
  <si>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</si>
  <si>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</si>
  <si>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</si>
  <si>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</si>
  <si>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</si>
  <si>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</si>
  <si>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</si>
  <si>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</si>
  <si>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</si>
  <si>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</si>
  <si>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</si>
  <si>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</si>
  <si>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</si>
  <si>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</si>
  <si>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</si>
  <si>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</si>
  <si>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</si>
  <si>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</si>
  <si>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</si>
  <si>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</si>
  <si>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</si>
  <si>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</si>
  <si>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</si>
  <si>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</si>
  <si>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</si>
  <si>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</si>
  <si>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</si>
  <si>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</si>
  <si>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</si>
  <si>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</si>
  <si>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</si>
  <si>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</si>
  <si>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</si>
  <si>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</si>
  <si>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</si>
  <si>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</si>
  <si>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</si>
  <si>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</si>
  <si>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</si>
  <si>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</si>
  <si>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</si>
  <si>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</si>
  <si>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</si>
  <si>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</si>
  <si>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</si>
  <si>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</si>
  <si>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</si>
  <si>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</si>
  <si>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</si>
  <si>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</si>
  <si>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</si>
  <si>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</si>
  <si>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</si>
  <si>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</si>
  <si>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</si>
  <si>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</si>
  <si>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</si>
  <si>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</si>
  <si>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</si>
  <si>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</si>
  <si>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</si>
  <si>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</si>
  <si>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</si>
  <si>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</si>
  <si>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</si>
  <si>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</si>
  <si>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</si>
  <si>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</si>
  <si>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</si>
  <si>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</si>
  <si>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</si>
  <si>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</si>
  <si>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</si>
  <si>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</si>
  <si>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</si>
  <si>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</si>
  <si>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</si>
  <si>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</si>
  <si>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</si>
  <si>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</si>
  <si>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</si>
  <si>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</si>
  <si>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</si>
  <si>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</si>
  <si>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</si>
  <si>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</si>
  <si>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</si>
  <si>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</si>
  <si>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</si>
  <si>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</si>
  <si>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</si>
  <si>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</si>
  <si>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</si>
  <si>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</si>
  <si>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</si>
  <si>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</si>
  <si>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</si>
  <si>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</si>
  <si>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</si>
  <si>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</si>
  <si>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</si>
  <si>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</si>
  <si>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</si>
  <si>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</si>
  <si>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</si>
  <si>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</si>
  <si>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</si>
  <si>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</si>
  <si>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</si>
  <si>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</si>
  <si>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</si>
  <si>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</si>
  <si>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</si>
  <si>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</si>
  <si>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</si>
  <si>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</si>
  <si>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</si>
  <si>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</si>
  <si>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</si>
  <si>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</si>
  <si>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</si>
  <si>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</si>
  <si>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</si>
  <si>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</si>
  <si>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</si>
  <si>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</si>
  <si>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</si>
  <si>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</si>
  <si>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</si>
  <si>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</si>
  <si>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</si>
  <si>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</si>
  <si>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</si>
  <si>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</si>
  <si>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</si>
  <si>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</si>
  <si>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</si>
  <si>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</si>
  <si>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</si>
  <si>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</si>
  <si>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</si>
  <si>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</si>
  <si>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</si>
  <si>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</si>
  <si>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</si>
  <si>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</si>
  <si>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</si>
  <si>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</si>
  <si>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</si>
  <si>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</si>
  <si>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</si>
  <si>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</si>
  <si>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</si>
  <si>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</si>
  <si>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</si>
  <si>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</si>
  <si>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</si>
  <si>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</si>
  <si>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</si>
  <si>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</si>
  <si>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</si>
  <si>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</si>
  <si>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</si>
  <si>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</si>
  <si>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</si>
  <si>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</si>
  <si>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</si>
  <si>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</si>
  <si>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</si>
  <si>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</si>
  <si>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</si>
  <si>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</si>
  <si>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</si>
  <si>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</si>
  <si>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</si>
  <si>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</si>
  <si>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</si>
  <si>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</si>
  <si>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</si>
  <si>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</si>
  <si>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</si>
  <si>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</si>
  <si>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</si>
  <si>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</si>
  <si>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</si>
  <si>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</si>
  <si>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</si>
  <si>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</si>
  <si>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</si>
  <si>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</si>
  <si>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</si>
  <si>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</si>
  <si>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</si>
  <si>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</si>
  <si>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</si>
  <si>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</si>
  <si>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</si>
  <si>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</si>
  <si>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</si>
  <si>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</si>
  <si>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</si>
  <si>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</si>
  <si>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</si>
  <si>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</si>
  <si>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</si>
  <si>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</si>
  <si>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</si>
  <si>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</si>
  <si>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</si>
  <si>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</si>
  <si>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</si>
  <si>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</si>
  <si>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</si>
  <si>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</si>
  <si>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</si>
  <si>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</si>
  <si>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</si>
  <si>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</si>
  <si>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</si>
  <si>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</si>
  <si>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</si>
  <si>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</si>
  <si>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</si>
  <si>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</si>
  <si>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</si>
  <si>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</si>
  <si>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</si>
  <si>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</si>
  <si>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</si>
  <si>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</si>
  <si>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</si>
  <si>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</si>
  <si>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</si>
  <si>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</si>
  <si>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</si>
  <si>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</si>
  <si>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</si>
  <si>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</si>
  <si>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</si>
  <si>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</si>
  <si>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</si>
  <si>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</si>
  <si>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</si>
  <si>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</si>
  <si>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</si>
  <si>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</si>
  <si>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</si>
  <si>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</si>
  <si>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</si>
  <si>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</si>
  <si>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</si>
  <si>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</si>
  <si>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</si>
  <si>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</si>
  <si>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</si>
  <si>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</si>
  <si>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</si>
  <si>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</si>
  <si>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</si>
  <si>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</si>
  <si>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</si>
  <si>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</si>
  <si>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</si>
  <si>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</si>
  <si>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</si>
  <si>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</si>
  <si>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</si>
  <si>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</si>
  <si>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</si>
  <si>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</si>
  <si>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</si>
  <si>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</si>
  <si>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</si>
  <si>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</si>
  <si>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</si>
  <si>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</si>
  <si>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</si>
  <si>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</si>
  <si>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</si>
  <si>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</si>
  <si>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</si>
  <si>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</si>
  <si>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</si>
  <si>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</si>
  <si>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</si>
  <si>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</si>
  <si>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</si>
  <si>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</si>
  <si>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</si>
  <si>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</si>
  <si>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</si>
  <si>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</si>
  <si>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</si>
  <si>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</si>
  <si>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</si>
  <si>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</si>
  <si>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</si>
  <si>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</si>
  <si>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</si>
  <si>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</si>
  <si>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</si>
  <si>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</si>
  <si>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</si>
  <si>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</si>
  <si>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</si>
  <si>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</si>
  <si>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</si>
  <si>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</si>
  <si>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</si>
  <si>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</si>
  <si>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</si>
  <si>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</si>
  <si>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</si>
  <si>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</si>
  <si>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</si>
  <si>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</si>
  <si>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</si>
  <si>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</si>
  <si>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</si>
  <si>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</si>
  <si>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</si>
  <si>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</si>
  <si>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</si>
  <si>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</si>
  <si>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</si>
  <si>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</si>
  <si>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</si>
  <si>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</si>
  <si>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</si>
  <si>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</si>
  <si>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</si>
  <si>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</si>
  <si>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</si>
  <si>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</si>
  <si>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</si>
  <si>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</si>
  <si>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</si>
  <si>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</si>
  <si>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</si>
  <si>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</si>
  <si>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</si>
  <si>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</si>
  <si>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</si>
  <si>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</si>
  <si>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</si>
  <si>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</si>
  <si>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</si>
  <si>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</si>
  <si>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</si>
  <si>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</si>
  <si>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</si>
  <si>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</si>
  <si>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</si>
  <si>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</si>
  <si>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</si>
  <si>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</si>
  <si>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</si>
  <si>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</si>
  <si>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</si>
  <si>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</si>
  <si>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</si>
  <si>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</si>
  <si>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</si>
  <si>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</si>
  <si>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</si>
  <si>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</si>
  <si>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</si>
  <si>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</si>
  <si>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</si>
  <si>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</si>
  <si>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</si>
  <si>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</si>
  <si>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</si>
  <si>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</si>
  <si>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</si>
  <si>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</si>
  <si>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</si>
  <si>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</si>
  <si>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</si>
  <si>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</si>
  <si>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</si>
  <si>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</si>
  <si>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</si>
  <si>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</si>
  <si>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</si>
  <si>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</si>
  <si>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</si>
  <si>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</si>
  <si>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</si>
  <si>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</si>
  <si>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</si>
  <si>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</si>
  <si>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</si>
  <si>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</si>
  <si>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</si>
  <si>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</si>
  <si>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</si>
  <si>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</si>
  <si>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</si>
  <si>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</si>
  <si>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</si>
  <si>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</si>
  <si>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</si>
  <si>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</si>
  <si>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</si>
  <si>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</si>
  <si>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</si>
  <si>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</si>
  <si>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</si>
  <si>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</si>
  <si>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</si>
  <si>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</si>
  <si>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</si>
  <si>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</si>
  <si>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</si>
  <si>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</si>
  <si>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</si>
  <si>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</si>
  <si>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</si>
  <si>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</si>
  <si>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</si>
  <si>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</si>
  <si>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</si>
  <si>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</si>
  <si>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</si>
  <si>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</si>
  <si>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</si>
  <si>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</si>
  <si>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</si>
  <si>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</si>
  <si>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</si>
  <si>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</si>
  <si>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</si>
  <si>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</si>
  <si>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</si>
  <si>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</si>
  <si>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</si>
  <si>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</si>
  <si>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</si>
  <si>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</si>
  <si>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</si>
  <si>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</si>
  <si>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</si>
  <si>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</si>
  <si>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</si>
  <si>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</si>
  <si>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</si>
  <si>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</si>
  <si>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</si>
  <si>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</si>
  <si>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</si>
  <si>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</si>
  <si>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</si>
  <si>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</si>
  <si>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</si>
  <si>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</si>
  <si>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</si>
  <si>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</si>
  <si>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</si>
  <si>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</si>
  <si>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</si>
  <si>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</si>
  <si>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</si>
  <si>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</si>
  <si>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</si>
  <si>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</si>
  <si>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</si>
  <si>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</si>
  <si>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</si>
  <si>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</si>
  <si>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</si>
  <si>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</si>
  <si>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</si>
  <si>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</si>
  <si>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</si>
  <si>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</si>
  <si>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</si>
  <si>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</si>
  <si>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</si>
  <si>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</si>
  <si>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</si>
  <si>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</si>
  <si>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</si>
  <si>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</si>
  <si>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</si>
  <si>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</si>
  <si>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</si>
  <si>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</si>
  <si>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</si>
  <si>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</si>
  <si>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</si>
  <si>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</si>
  <si>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</si>
  <si>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</si>
  <si>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</si>
  <si>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</si>
  <si>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</si>
  <si>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</si>
  <si>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</si>
  <si>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</si>
  <si>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</si>
  <si>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</si>
  <si>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</si>
  <si>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</si>
  <si>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</si>
  <si>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</si>
  <si>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</si>
  <si>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</si>
  <si>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</si>
  <si>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</si>
  <si>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</si>
  <si>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</si>
  <si>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</si>
  <si>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</si>
  <si>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</si>
  <si>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</si>
  <si>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</si>
  <si>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</si>
  <si>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</si>
  <si>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</si>
  <si>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</si>
  <si>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</si>
  <si>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</si>
  <si>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</si>
  <si>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</si>
  <si>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</si>
  <si>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</si>
  <si>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</si>
  <si>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</si>
  <si>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</si>
  <si>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</si>
  <si>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</si>
  <si>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</si>
  <si>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</si>
  <si>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</si>
  <si>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</si>
  <si>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</si>
  <si>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</si>
  <si>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</si>
  <si>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</si>
  <si>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</si>
  <si>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</si>
  <si>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</si>
  <si>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</si>
  <si>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</si>
  <si>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</si>
  <si>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</si>
  <si>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</si>
  <si>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</si>
  <si>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</si>
  <si>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</si>
  <si>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</si>
  <si>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</si>
  <si>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</si>
  <si>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</si>
  <si>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</si>
  <si>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</si>
  <si>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</si>
  <si>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</si>
  <si>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</si>
  <si>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</si>
  <si>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</si>
  <si>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</si>
  <si>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</si>
  <si>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</si>
  <si>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</si>
  <si>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</si>
  <si>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</si>
  <si>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</si>
  <si>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</si>
  <si>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</si>
  <si>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</si>
  <si>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</si>
  <si>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</si>
  <si>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</si>
  <si>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</si>
  <si>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</si>
  <si>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</si>
  <si>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</si>
  <si>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</si>
  <si>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</si>
  <si>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</si>
  <si>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</si>
  <si>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</si>
  <si>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</si>
  <si>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</si>
  <si>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</si>
  <si>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</si>
  <si>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</si>
  <si>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</si>
  <si>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</si>
  <si>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</si>
  <si>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</si>
  <si>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</si>
  <si>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</si>
  <si>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</si>
  <si>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</si>
  <si>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</si>
  <si>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</si>
  <si>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</si>
  <si>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</si>
  <si>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</si>
  <si>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</si>
  <si>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</si>
  <si>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</si>
  <si>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</si>
  <si>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</si>
  <si>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</si>
  <si>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</si>
  <si>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</si>
  <si>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</si>
  <si>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</si>
  <si>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</si>
  <si>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</si>
  <si>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</si>
  <si>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</si>
  <si>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</si>
  <si>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</si>
  <si>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</si>
  <si>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</si>
  <si>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</si>
  <si>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</si>
  <si>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</si>
  <si>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</si>
  <si>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</si>
  <si>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</si>
  <si>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</si>
  <si>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</si>
  <si>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</si>
  <si>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</si>
  <si>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</si>
  <si>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</si>
  <si>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</si>
  <si>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</si>
  <si>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</si>
  <si>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</si>
  <si>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</si>
  <si>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</si>
  <si>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</si>
  <si>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</si>
  <si>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</si>
  <si>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</si>
  <si>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</si>
  <si>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</si>
  <si>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</si>
  <si>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</si>
  <si>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</si>
  <si>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</si>
  <si>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</si>
  <si>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</si>
  <si>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</si>
  <si>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</si>
  <si>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</si>
  <si>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</si>
  <si>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</si>
  <si>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</si>
  <si>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</si>
  <si>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</si>
  <si>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</si>
  <si>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</si>
  <si>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</si>
  <si>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</si>
  <si>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</si>
  <si>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</si>
  <si>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</si>
  <si>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</si>
  <si>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</si>
  <si>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</si>
  <si>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</si>
  <si>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</si>
  <si>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</si>
  <si>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</si>
  <si>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</si>
  <si>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</si>
  <si>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</si>
  <si>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</si>
  <si>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</si>
  <si>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</si>
  <si>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</si>
  <si>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</si>
  <si>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</si>
  <si>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</si>
  <si>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</si>
  <si>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</si>
  <si>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</si>
  <si>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</si>
  <si>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</si>
  <si>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</si>
  <si>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</si>
  <si>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</si>
  <si>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</si>
  <si>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</si>
  <si>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</si>
  <si>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</si>
  <si>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</si>
  <si>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</si>
  <si>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</si>
  <si>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</si>
  <si>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</si>
  <si>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</si>
  <si>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</si>
  <si>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</si>
  <si>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</si>
  <si>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</si>
  <si>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</si>
  <si>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</si>
  <si>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</si>
  <si>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</si>
  <si>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</si>
  <si>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</si>
  <si>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</si>
  <si>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</si>
  <si>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</si>
  <si>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</si>
  <si>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</si>
  <si>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</si>
  <si>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</si>
  <si>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</si>
  <si>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</si>
  <si>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</si>
  <si>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</si>
  <si>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</si>
  <si>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</si>
  <si>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</si>
  <si>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</si>
  <si>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</si>
  <si>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</si>
  <si>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</si>
  <si>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</si>
  <si>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</si>
  <si>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</si>
  <si>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</si>
  <si>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</si>
  <si>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</si>
  <si>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</si>
  <si>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</si>
  <si>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</si>
  <si>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</si>
  <si>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</si>
  <si>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</si>
  <si>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</si>
  <si>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</si>
  <si>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</si>
  <si>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</si>
  <si>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</si>
  <si>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</si>
  <si>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</si>
  <si>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</si>
  <si>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</si>
  <si>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</si>
  <si>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</si>
  <si>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</si>
  <si>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</si>
  <si>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</si>
  <si>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</si>
  <si>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</si>
  <si>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</si>
  <si>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</si>
  <si>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</si>
  <si>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</si>
  <si>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</si>
  <si>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</si>
  <si>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</si>
  <si>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</si>
  <si>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</si>
  <si>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</si>
  <si>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</si>
  <si>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</si>
  <si>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</si>
  <si>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</si>
  <si>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</si>
  <si>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</si>
  <si>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</si>
  <si>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</si>
  <si>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</si>
  <si>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</si>
  <si>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</si>
  <si>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</si>
  <si>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</si>
  <si>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</si>
  <si>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</si>
  <si>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</si>
  <si>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</si>
  <si>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</si>
  <si>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</si>
  <si>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</si>
  <si>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</si>
  <si>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</si>
  <si>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</si>
  <si>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</si>
  <si>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</si>
  <si>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</si>
  <si>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</si>
  <si>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</si>
  <si>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</si>
  <si>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</si>
  <si>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</si>
  <si>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</si>
  <si>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</si>
  <si>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</si>
  <si>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</si>
  <si>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</si>
  <si>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</si>
  <si>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</si>
  <si>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</si>
  <si>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</si>
  <si>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</si>
  <si>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</si>
  <si>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</si>
  <si>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</si>
  <si>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</si>
  <si>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</si>
  <si>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</si>
  <si>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</si>
  <si>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</si>
  <si>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</si>
  <si>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</si>
  <si>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</si>
  <si>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</si>
  <si>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</si>
  <si>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</si>
  <si>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</si>
  <si>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</si>
  <si>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</si>
  <si>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</si>
  <si>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</si>
  <si>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</si>
  <si>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</si>
  <si>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</si>
  <si>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</si>
  <si>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</si>
  <si>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</si>
  <si>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</si>
  <si>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</si>
  <si>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</si>
  <si>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</si>
  <si>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</si>
  <si>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</si>
  <si>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</si>
  <si>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</si>
  <si>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</si>
  <si>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</si>
  <si>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</si>
  <si>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</si>
  <si>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</si>
  <si>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</si>
  <si>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</si>
  <si>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</si>
  <si>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</si>
  <si>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</si>
  <si>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</si>
  <si>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</si>
  <si>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</si>
  <si>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</si>
  <si>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</si>
  <si>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</si>
  <si>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</si>
  <si>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</si>
  <si>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</si>
  <si>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</si>
  <si>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</si>
  <si>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</si>
  <si>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</si>
  <si>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</si>
  <si>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</si>
  <si>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</si>
  <si>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</si>
  <si>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</si>
  <si>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</si>
  <si>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</si>
  <si>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</si>
  <si>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</si>
  <si>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</si>
  <si>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</si>
  <si>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</si>
  <si>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</si>
  <si>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</si>
  <si>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</si>
  <si>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</si>
  <si>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</si>
  <si>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</si>
  <si>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</si>
  <si>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</si>
  <si>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</si>
  <si>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</si>
  <si>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</si>
  <si>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</si>
  <si>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</si>
  <si>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</si>
  <si>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</si>
  <si>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</si>
  <si>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</si>
  <si>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</si>
  <si>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</si>
  <si>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</si>
  <si>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</si>
  <si>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</si>
  <si>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</si>
  <si>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</si>
  <si>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</si>
  <si>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</si>
  <si>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</si>
  <si>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</si>
  <si>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</si>
  <si>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</si>
  <si>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</si>
  <si>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</si>
  <si>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</si>
  <si>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</si>
  <si>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</si>
  <si>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</si>
  <si>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</si>
  <si>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</si>
  <si>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</si>
  <si>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</si>
  <si>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</si>
  <si>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</si>
  <si>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</si>
  <si>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</si>
  <si>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</si>
  <si>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</si>
  <si>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</si>
  <si>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</si>
  <si>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</si>
  <si>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</si>
  <si>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</si>
  <si>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</si>
  <si>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</si>
  <si>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</si>
  <si>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</si>
  <si>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</si>
  <si>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</si>
  <si>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</si>
  <si>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</si>
  <si>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</si>
  <si>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</si>
  <si>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</si>
  <si>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</si>
  <si>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</si>
  <si>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</si>
  <si>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</si>
  <si>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</si>
  <si>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</si>
  <si>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</si>
  <si>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</si>
  <si>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</si>
  <si>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</si>
  <si>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</si>
  <si>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</si>
  <si>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</si>
  <si>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</si>
  <si>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</si>
  <si>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</si>
  <si>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</si>
  <si>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</si>
  <si>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</si>
  <si>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</si>
  <si>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</si>
  <si>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</si>
  <si>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</si>
  <si>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</si>
  <si>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</si>
  <si>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</si>
  <si>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</si>
  <si>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</si>
  <si>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</si>
  <si>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</si>
  <si>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</si>
  <si>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</si>
  <si>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</si>
  <si>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</si>
  <si>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</si>
  <si>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</si>
  <si>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</si>
  <si>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</si>
  <si>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</si>
  <si>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</si>
  <si>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</si>
  <si>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</si>
  <si>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</si>
  <si>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</si>
  <si>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</si>
  <si>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</si>
  <si>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</si>
  <si>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</si>
  <si>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</si>
  <si>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</si>
  <si>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</si>
  <si>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</si>
  <si>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</si>
  <si>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</si>
  <si>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</si>
  <si>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</si>
  <si>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</si>
  <si>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</si>
  <si>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</si>
  <si>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</si>
  <si>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</si>
  <si>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N7 8LT</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</si>
  <si>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</si>
  <si>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</si>
  <si>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</si>
  <si>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</si>
  <si>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</si>
  <si>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</si>
  <si>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</si>
  <si>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</si>
  <si>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</si>
  <si>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</si>
  <si>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</si>
  <si>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</si>
  <si>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</si>
  <si>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</si>
  <si>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Hackney Team Ministry.</t>
  </si>
  <si>
    <t>Barnsbury Team.</t>
  </si>
  <si>
    <t>Poplar Team Ministry.</t>
  </si>
  <si>
    <t>Ref:0509B</t>
  </si>
  <si>
    <t>Ref:0509C</t>
  </si>
  <si>
    <t>Ref:0605B</t>
  </si>
  <si>
    <t>Ref:0605A</t>
  </si>
  <si>
    <t>Ref:0605C</t>
  </si>
  <si>
    <t>Ref:0708A</t>
  </si>
  <si>
    <t>Ref:0708B</t>
  </si>
  <si>
    <t>G01</t>
  </si>
  <si>
    <t>https://www.ldbs.co.uk/schools/holy-trinity-jmi-nc-2/</t>
  </si>
  <si>
    <t>G05</t>
  </si>
  <si>
    <t>https://www.ldbs.co.uk/schools/st-john-st-james-jmi-nc/</t>
  </si>
  <si>
    <t>G07</t>
  </si>
  <si>
    <t>https://www.ldbs.co.uk/schools/st-pauls-with-st-michael-s-jmi-nc/</t>
  </si>
  <si>
    <t>G09</t>
  </si>
  <si>
    <t>https://www.ldbs.co.uk/schools/st-john-the-baptist-jmi-nc/</t>
  </si>
  <si>
    <t>G11</t>
  </si>
  <si>
    <t>https://www.ldbs.co.uk/schools/st-john-of-jerusalem-jmi-nc/</t>
  </si>
  <si>
    <t>G13</t>
  </si>
  <si>
    <t>https://www.ldbs.co.uk/schools/st-matthias-jmi-nc/</t>
  </si>
  <si>
    <t>G15</t>
  </si>
  <si>
    <t>https://www.ldbs.co.uk/schools/st-marys-jmi-nc-2/</t>
  </si>
  <si>
    <t>G19</t>
  </si>
  <si>
    <t>N01</t>
  </si>
  <si>
    <t>https://www.ldbs.co.uk/schools/st-andrews-jmi-2/</t>
  </si>
  <si>
    <t>N03</t>
  </si>
  <si>
    <t>https://www.ldbs.co.uk/schools/clerkenwell-parochial-jmi/</t>
  </si>
  <si>
    <t>N05</t>
  </si>
  <si>
    <t>https://www.ldbs.co.uk/schools/st-johns-jmi/</t>
  </si>
  <si>
    <t>N07</t>
  </si>
  <si>
    <t>https://www.ldbs.co.uk/schools/st-marys-jmi/</t>
  </si>
  <si>
    <t>N11</t>
  </si>
  <si>
    <t>https://www.ldbs.co.uk/schools/st-lukes-jmi-nc/</t>
  </si>
  <si>
    <t>N13</t>
  </si>
  <si>
    <t>https://www.ldbs.co.uk/schools/st-jude-st-pauls-primary/</t>
  </si>
  <si>
    <t>N15</t>
  </si>
  <si>
    <t>https://www.ldbs.co.uk/schools/st-marks-jmi/</t>
  </si>
  <si>
    <t>N17</t>
  </si>
  <si>
    <t>https://www.ldbs.co.uk/schools/st-johns-jmi-nc-4/</t>
  </si>
  <si>
    <t>N19</t>
  </si>
  <si>
    <t>https://www.ldbs.co.uk/schools/st-mary-magdalene-academy/</t>
  </si>
  <si>
    <t>N20</t>
  </si>
  <si>
    <t>T01</t>
  </si>
  <si>
    <t>https://www.ldbs.co.uk/schools/st-johns-jmi-nc-5/</t>
  </si>
  <si>
    <t>T03</t>
  </si>
  <si>
    <t>https://www.ldbs.co.uk/schools/st-matthias-jmi-nc-2/</t>
  </si>
  <si>
    <t>T05</t>
  </si>
  <si>
    <t>https://www.ldbs.co.uk/schools/st-paul-wst-luke-jmi-nc/</t>
  </si>
  <si>
    <t>T07</t>
  </si>
  <si>
    <t>https://www.ldbs.co.uk/schools/st-lukes-jmi-nc-2/</t>
  </si>
  <si>
    <t>T09</t>
  </si>
  <si>
    <t>https://www.ldbs.co.uk/schools/st-saviours-jmi-nc/</t>
  </si>
  <si>
    <t>T11</t>
  </si>
  <si>
    <t>https://www.ldbs.co.uk/schools/christ-church-jmi-nc-3/</t>
  </si>
  <si>
    <t>T13</t>
  </si>
  <si>
    <t>https://www.ldbs.co.uk/schools/stepney-greencoat-jmi/</t>
  </si>
  <si>
    <t>T15</t>
  </si>
  <si>
    <t>https://www.ldbs.co.uk/schools/st-peters-jmi-nc/</t>
  </si>
  <si>
    <t>T17</t>
  </si>
  <si>
    <t>https://www.ldbs.co.uk/schools/st-pauls-jmi-nc-4/</t>
  </si>
  <si>
    <t>T21</t>
  </si>
  <si>
    <t>https://www.ldbs.co.uk/schools/stepney-all-saints-secondary/</t>
  </si>
  <si>
    <t>Holy Trinity C of E Primary School</t>
  </si>
  <si>
    <t>St John &amp; St James CE Primary School</t>
  </si>
  <si>
    <t>St John The Baptist Church of England School</t>
  </si>
  <si>
    <t>St Matthias CE Primary School</t>
  </si>
  <si>
    <t>The Urswick Church of England Secondary School</t>
  </si>
  <si>
    <t>Clerkenwell Parochial CE Primary School</t>
  </si>
  <si>
    <t>St Mary Magdalene Academy The Courtyard</t>
  </si>
  <si>
    <t>14-19</t>
  </si>
  <si>
    <t>St Matthias School</t>
  </si>
  <si>
    <t>St Paul with St Luke CofE Primary School</t>
  </si>
  <si>
    <t>Christ Church C of E Primary School</t>
  </si>
  <si>
    <t>Stepney All Saints Church of England Secondary School</t>
  </si>
  <si>
    <t>3-11</t>
  </si>
  <si>
    <t>11-18</t>
  </si>
  <si>
    <t>4-11</t>
  </si>
  <si>
    <t>4-19</t>
  </si>
  <si>
    <t>3-5</t>
  </si>
  <si>
    <t>AgeRange</t>
  </si>
  <si>
    <t>InformationUrl</t>
  </si>
  <si>
    <t>District</t>
  </si>
  <si>
    <t>HasNursery</t>
  </si>
  <si>
    <t>ExtendedDay</t>
  </si>
  <si>
    <t>Address</t>
  </si>
  <si>
    <t>Tel</t>
  </si>
  <si>
    <t>Fax</t>
  </si>
  <si>
    <t>Email</t>
  </si>
  <si>
    <t>Section48Url</t>
  </si>
  <si>
    <t>Section48Date</t>
  </si>
  <si>
    <t>Dalston</t>
  </si>
  <si>
    <t>Primary</t>
  </si>
  <si>
    <t>Yes</t>
  </si>
  <si>
    <t>No</t>
  </si>
  <si>
    <t>Beechwood Road, Dalston, London, E8 3DY</t>
  </si>
  <si>
    <t>020 7254 1010</t>
  </si>
  <si>
    <t>admin@holytrinity.hackney.sch.uk</t>
  </si>
  <si>
    <t>http://www.holytrinity.hackney.sch.uk/</t>
  </si>
  <si>
    <t>20 March 2019</t>
  </si>
  <si>
    <t>https://www.ldbs.co.uk/wp-content/uploads/2017/04/G01-Holy-Trinity-Dalston-Hackney-Final-SIAMS-Report.pdf</t>
  </si>
  <si>
    <t>Isabella Road, Hackney, London, E9 6DX</t>
  </si>
  <si>
    <t>E9 6DX</t>
  </si>
  <si>
    <t>020 8985 2045</t>
  </si>
  <si>
    <t>office@johnjames.hackney.sch.uk</t>
  </si>
  <si>
    <t>http://www.johnjames.hackney.sch.uk/</t>
  </si>
  <si>
    <t>6 March 2019</t>
  </si>
  <si>
    <t>https://www.ldbs.co.uk/wp-content/uploads/2017/04/G05-St-John-St-James-Hackney-Final-SIAMS-Report.pdf</t>
  </si>
  <si>
    <t>Haggerston</t>
  </si>
  <si>
    <t>57a Brougham Road, Haggerston, London, E8 4PB</t>
  </si>
  <si>
    <t>E8 4PB</t>
  </si>
  <si>
    <t>020 7254 1927</t>
  </si>
  <si>
    <t>lfava@spsm.hackney.sch.uk</t>
  </si>
  <si>
    <t>24th January 2018</t>
  </si>
  <si>
    <t>https://www.ldbs.co.uk/wp-content/uploads/2017/04/G07-St-Pauls-with-St-Michaels-Hackney-SIAMS-final-report.pdf</t>
  </si>
  <si>
    <t>Hoxton</t>
  </si>
  <si>
    <t>Crondall Street, Hoxton, London, N1 6JG</t>
  </si>
  <si>
    <t>N1 6JG</t>
  </si>
  <si>
    <t>020 7739 4902</t>
  </si>
  <si>
    <t>office@st-john.hackney.sch.uk</t>
  </si>
  <si>
    <t>April 2016</t>
  </si>
  <si>
    <t>https://www.ldbs.co.uk/wp-content/uploads/2016/12/12_57_st-john-the-baptist-hackney-29.04.16.pdf</t>
  </si>
  <si>
    <t>South Hackney</t>
  </si>
  <si>
    <t>Kingshold Road, South Hackney, London, E9 7JF</t>
  </si>
  <si>
    <t>E9 7JF</t>
  </si>
  <si>
    <t>020 8985 0730</t>
  </si>
  <si>
    <t>admin@St-JohnJerusalem.hackney.sch.uk</t>
  </si>
  <si>
    <t>http://www.st-johnjerusalem.hackney.sch.uk/</t>
  </si>
  <si>
    <t>June 2017</t>
  </si>
  <si>
    <t>Stoke Newington</t>
  </si>
  <si>
    <t>Wordsworth Road, London, Hackney, N16 8DD</t>
  </si>
  <si>
    <t>020 7254 1148</t>
  </si>
  <si>
    <t>admin@st-matthias.hackney.sch.uk</t>
  </si>
  <si>
    <t>http://www.st-matthias.hackney.sch.uk/</t>
  </si>
  <si>
    <t>29 November 2011</t>
  </si>
  <si>
    <t>https://www.ldbs.co.uk/wp-content/uploads/2016/12/G13-S48-St-Matthias-Hackney.pdf</t>
  </si>
  <si>
    <t>Barn Street, Stoke Newington, London, N16 OJT</t>
  </si>
  <si>
    <t>N16 OJT</t>
  </si>
  <si>
    <t>020 8800 2645</t>
  </si>
  <si>
    <t>admin-office@st-marys.hackney.sch.uk</t>
  </si>
  <si>
    <t>http://www.st-marys.hackney.sch.uk/</t>
  </si>
  <si>
    <t>15 November 2013</t>
  </si>
  <si>
    <t>https://www.ldbs.co.uk/wp-content/uploads/2016/12/12_60_st-marys-hackney-nov-2013-s48-report.pdf</t>
  </si>
  <si>
    <t>Barnsbury</t>
  </si>
  <si>
    <t>Matilda Street, Barnsbury, London, N1 0LB</t>
  </si>
  <si>
    <t>N1 0LB</t>
  </si>
  <si>
    <t>020 7837 4049</t>
  </si>
  <si>
    <t>admin@standrews.islington.sch.uk</t>
  </si>
  <si>
    <t>2nd February 2018</t>
  </si>
  <si>
    <t>https://www.ldbs.co.uk/wp-content/uploads/2017/04/N01-St-Andrews-Islington-SIAMS-Final-Report.pdf</t>
  </si>
  <si>
    <t>Clerkenwell</t>
  </si>
  <si>
    <t>Amwell Street, Islington, London, EC1R 1UN</t>
  </si>
  <si>
    <t>EC1R 1UN</t>
  </si>
  <si>
    <t>020 7837 1824</t>
  </si>
  <si>
    <t>office@clerkenwell.islington.sch.uk</t>
  </si>
  <si>
    <t>March 2017</t>
  </si>
  <si>
    <t>Highbury Vale</t>
  </si>
  <si>
    <t>Conewood Street, Blackstock Road, London, N5 1DL</t>
  </si>
  <si>
    <t>N5 1DL</t>
  </si>
  <si>
    <t>020 7226 4906</t>
  </si>
  <si>
    <t>admin@stjhv.islington.sch.uk</t>
  </si>
  <si>
    <t>http://www.stjhv.islington.sch.uk/</t>
  </si>
  <si>
    <t>1 May 2019</t>
  </si>
  <si>
    <t>https://www.ldbs.co.uk/wp-content/uploads/2017/04/N05-St-Johns-Highbury-Vale-Islington-Final-SIAMS-Report.pdf</t>
  </si>
  <si>
    <t>Fowler Road, Islington, London, N1 2EP</t>
  </si>
  <si>
    <t>N1 2EP</t>
  </si>
  <si>
    <t>020 7359 1870</t>
  </si>
  <si>
    <t>school@stmarys.islington.sch.uk</t>
  </si>
  <si>
    <t>17 March 2016</t>
  </si>
  <si>
    <t>https://www.ldbs.co.uk/wp-content/uploads/2016/12/12_92_final-report-st-marys-islington.pdf</t>
  </si>
  <si>
    <t>Old Street</t>
  </si>
  <si>
    <t>Radnor Street, Islington, London, EC1V 3SJ</t>
  </si>
  <si>
    <t>EC1V 3SJ</t>
  </si>
  <si>
    <t>020 7253 3880</t>
  </si>
  <si>
    <t>admin@st-lukes.islington.sch.uk</t>
  </si>
  <si>
    <t>http://www.st-lukesislington.co.uk/</t>
  </si>
  <si>
    <t>Mildmay Park</t>
  </si>
  <si>
    <t>10 Kingsbury Road, Islington, London, N1 4AZ</t>
  </si>
  <si>
    <t>N1 4AZ</t>
  </si>
  <si>
    <t>020 7254 5598</t>
  </si>
  <si>
    <t>admin@sjsp.islington.sch.uk</t>
  </si>
  <si>
    <t>http://www.stjudestpauls.co.uk/</t>
  </si>
  <si>
    <t>January 2020</t>
  </si>
  <si>
    <t>https://www.ldbs.co.uk/wp-content/uploads/2017/04/St-Judes-St-Pauls-Islington-Final-SIAMS-Report-22-1-20.pdf</t>
  </si>
  <si>
    <t>Tollington Park</t>
  </si>
  <si>
    <t>Sussex Way, Tollington Park, London, N19 4JF</t>
  </si>
  <si>
    <t>N19 4JF</t>
  </si>
  <si>
    <t>020 7272 5967</t>
  </si>
  <si>
    <t>admin@st-marks.islington.sch.uk</t>
  </si>
  <si>
    <t>31 January 2020</t>
  </si>
  <si>
    <t>https://www.ldbs.co.uk/wp-content/uploads/2017/04/N15-St-Marks-Islington-Final-SIAMS-report-31-1-20.pdf</t>
  </si>
  <si>
    <t>Upper Holloway</t>
  </si>
  <si>
    <t>Pemberton Gardens, Upper Holloway, London, N19 5RR</t>
  </si>
  <si>
    <t>020 7272 2780</t>
  </si>
  <si>
    <t>info@st-johnsholloway.islington.sch.uk</t>
  </si>
  <si>
    <t>http://www.stjohnsupperholloway.co.uk/</t>
  </si>
  <si>
    <t>Liverpool Road, London, N7 8PG</t>
  </si>
  <si>
    <t>N7 8PG</t>
  </si>
  <si>
    <t>020 7697 0123</t>
  </si>
  <si>
    <t>vicky.linsley@SMMAcademy.org</t>
  </si>
  <si>
    <t>http://www.smmacademy.org/</t>
  </si>
  <si>
    <t>21-22 March 2016</t>
  </si>
  <si>
    <t>https://www.ldbs.co.uk/wp-content/uploads/2016/12/12_97_final-draft-st-mary-magdalene-academy.pdf</t>
  </si>
  <si>
    <t>Bethnal Green</t>
  </si>
  <si>
    <t>Peel Grove, London, E2 9LR</t>
  </si>
  <si>
    <t>E2 9LR</t>
  </si>
  <si>
    <t>020 8980 1142</t>
  </si>
  <si>
    <t>admin@st-johns.towerhamlets.sch.uk</t>
  </si>
  <si>
    <t>July 2016</t>
  </si>
  <si>
    <t>https://www.ldbs.co.uk/wp-content/uploads/2016/12/12_118_jm-st-johns-final-report-19-07-2016.pdf</t>
  </si>
  <si>
    <t>Bacon Street, Bethnal Green, London, E2 6DY</t>
  </si>
  <si>
    <t>E2 6DY</t>
  </si>
  <si>
    <t>020 7739 8058</t>
  </si>
  <si>
    <t>admin@St-Matthias.towerhamlets.sch.uk</t>
  </si>
  <si>
    <t>15 December 2015</t>
  </si>
  <si>
    <t>https://www.ldbs.co.uk/wp-content/uploads/2016/12/12_119_final-siams-report-st-matthias-th.pdf</t>
  </si>
  <si>
    <t>Bow Common</t>
  </si>
  <si>
    <t>Leopold Street, Bow Common, London, E3 4LA</t>
  </si>
  <si>
    <t>E3 4LA</t>
  </si>
  <si>
    <t>020 7987 4624</t>
  </si>
  <si>
    <t>admin@spsl.towerhamlets.sch.uk</t>
  </si>
  <si>
    <t>4 February 2016</t>
  </si>
  <si>
    <t>https://www.ldbs.co.uk/wp-content/uploads/2016/12/12_120_siams-st-paul-with-st-luke-final-report.pdf</t>
  </si>
  <si>
    <t>Cubitt Town</t>
  </si>
  <si>
    <t>Saunders Ness Road, Millwall, London, E14 3EB</t>
  </si>
  <si>
    <t>E14 3EB</t>
  </si>
  <si>
    <t>020 7987 1753</t>
  </si>
  <si>
    <t>head@st-lukes.towerhamlets.sch.uk</t>
  </si>
  <si>
    <t>http://www.st-lukes.towerhamlets.sch.uk/</t>
  </si>
  <si>
    <t>1 December 2017</t>
  </si>
  <si>
    <t>https://www.ldbs.co.uk/wp-content/uploads/2017/04/T07-St-Lukes-TH-SIAMS-final-report.pdf</t>
  </si>
  <si>
    <t>Poplar</t>
  </si>
  <si>
    <t>Chrisp Street, Poplar, London, E14 6BB</t>
  </si>
  <si>
    <t>E14 6BB</t>
  </si>
  <si>
    <t>020 7987 4889</t>
  </si>
  <si>
    <t>head@st-saviours.towerhamlets.sch.uk</t>
  </si>
  <si>
    <t>http://www.st-saviours.towerhamlets.sch.uk</t>
  </si>
  <si>
    <t>19 October 2015</t>
  </si>
  <si>
    <t>https://www.ldbs.co.uk/wp-content/uploads/2016/12/12_122_st-saviours-final-report.pdf</t>
  </si>
  <si>
    <t>Spitalfields</t>
  </si>
  <si>
    <t>47a Brick Lane, Spitalfields, London, E1 6PU</t>
  </si>
  <si>
    <t>E1 6PU</t>
  </si>
  <si>
    <t>020 7247 0792</t>
  </si>
  <si>
    <t>admin@christchurch.towerhamlets.sch.uk</t>
  </si>
  <si>
    <t>http://christchurchprimarybricklane.org/</t>
  </si>
  <si>
    <t>12 June 2015</t>
  </si>
  <si>
    <t>https://www.ldbs.co.uk/wp-content/uploads/2016/12/12_123_siams-report-christ-church-th-12.06.15.pdf</t>
  </si>
  <si>
    <t>Stepney</t>
  </si>
  <si>
    <t>Norbiton Road, Stepney, London, E14 7TF</t>
  </si>
  <si>
    <t>E14 7TF</t>
  </si>
  <si>
    <t>020 7987 3202</t>
  </si>
  <si>
    <t>admin@stepneygreencoat.towerhamlets.sch.uk</t>
  </si>
  <si>
    <t>http://www.stepneygreencoat.towerhamlets.sch.uk/</t>
  </si>
  <si>
    <t>18 March 2015</t>
  </si>
  <si>
    <t>https://www.ldbs.co.uk/wp-content/uploads/2016/12/12_124_stepney-greencoat-siams-report.pdf</t>
  </si>
  <si>
    <t>Wapping</t>
  </si>
  <si>
    <t>Garnet Street, Wapping, London, E1W 3QT</t>
  </si>
  <si>
    <t>E1W 3QT</t>
  </si>
  <si>
    <t>020 7488 3050</t>
  </si>
  <si>
    <t>admin@st-peters.towerhamlets.sch.uk</t>
  </si>
  <si>
    <t>30 January 2020</t>
  </si>
  <si>
    <t>https://www.ldbs.co.uk/wp-content/uploads/2017/04/T15-St-Peters-London-Docks-Tower-Hamlets-Final-SIAMS-Report-30-1-20.pdf</t>
  </si>
  <si>
    <t>Whitechapel</t>
  </si>
  <si>
    <t>Wellclose Square, London, E1 8HY</t>
  </si>
  <si>
    <t>E1 8HY</t>
  </si>
  <si>
    <t>020 7480 6581</t>
  </si>
  <si>
    <t>admin@st-pauls.towerhamlets.sch.uk</t>
  </si>
  <si>
    <t>http://www.st-pauls.towerhamlets.sch.uk/</t>
  </si>
  <si>
    <t>Secondary</t>
  </si>
  <si>
    <t>Stepney Way, Stepney, London, E1 ORH</t>
  </si>
  <si>
    <t>E1 ORH</t>
  </si>
  <si>
    <t>020 7790 6712</t>
  </si>
  <si>
    <t>info@stepneyallsaints.school</t>
  </si>
  <si>
    <t>https://stepneyallsaints.school/</t>
  </si>
  <si>
    <t>22-23 May 2018</t>
  </si>
  <si>
    <t>https://www.ldbs.co.uk/wp-content/uploads/2016/12/T21-Sir-John-Cass-Redcoat-TH-SIAMS-Final-Report.pdf</t>
  </si>
  <si>
    <t>https://www.ldbs.co.uk/schools/the-urswick-secondary-school/</t>
  </si>
  <si>
    <t>https://www.ldbs.co.uk/schools/courtyard-st-mary-magdalene-academy/</t>
  </si>
  <si>
    <t>51.54428664952364</t>
  </si>
  <si>
    <t>-0.07375260239143143</t>
  </si>
  <si>
    <t>51.54804809053234</t>
  </si>
  <si>
    <t>-0.05055432814980406</t>
  </si>
  <si>
    <t>51.53748469113319</t>
  </si>
  <si>
    <t>-0.06573178247403086</t>
  </si>
  <si>
    <t>51.5309284512739</t>
  </si>
  <si>
    <t>-0.08441536477733541</t>
  </si>
  <si>
    <t>51.53967325249358</t>
  </si>
  <si>
    <t>-0.0510944228375342</t>
  </si>
  <si>
    <t>51.5526701229976</t>
  </si>
  <si>
    <t>-0.07993633010607391</t>
  </si>
  <si>
    <t>51.56151660956963</t>
  </si>
  <si>
    <t>-0.08203120779993062</t>
  </si>
  <si>
    <t>51.545147296932235</t>
  </si>
  <si>
    <t>-0.057082616424555255</t>
  </si>
  <si>
    <t>Paragon Road, Hackney, London, E9 6NR</t>
  </si>
  <si>
    <t>E9 6NR</t>
  </si>
  <si>
    <t>020 8985 2430</t>
  </si>
  <si>
    <t>admin@theurswickschool.co.uk</t>
  </si>
  <si>
    <t>10-11 February 2015</t>
  </si>
  <si>
    <t>https://www.ldbs.co.uk/wp-content/uploads/2016/12/12_161_the-urswick-hackney-siams-report.pdf</t>
  </si>
  <si>
    <t>51.53780397504315</t>
  </si>
  <si>
    <t>-0.11400995330352884</t>
  </si>
  <si>
    <t>51.52783733331243</t>
  </si>
  <si>
    <t>-0.11061222009373015</t>
  </si>
  <si>
    <t>51.55827136928462</t>
  </si>
  <si>
    <t>-0.10014566602006657</t>
  </si>
  <si>
    <t>51.53930168905948</t>
  </si>
  <si>
    <t>-0.10061800208918774</t>
  </si>
  <si>
    <t>51.526396017134225</t>
  </si>
  <si>
    <t>-0.09427068369478364</t>
  </si>
  <si>
    <t>51.54782694244619</t>
  </si>
  <si>
    <t>-0.07875661060148482</t>
  </si>
  <si>
    <t>51.5641688443623</t>
  </si>
  <si>
    <t>-0.12133085825177002</t>
  </si>
  <si>
    <t>51.562394506989115</t>
  </si>
  <si>
    <t>-0.13312697769845347</t>
  </si>
  <si>
    <t>51.54662221198056</t>
  </si>
  <si>
    <t>-0.1110342043200575</t>
  </si>
  <si>
    <t>51.54646729120507</t>
  </si>
  <si>
    <t>-0.11074310985641045</t>
  </si>
  <si>
    <t>Special Needs</t>
  </si>
  <si>
    <t>Old Coroners Court St Mary Magdalene Church Gardens Holloway Road Islington N7 8LT</t>
  </si>
  <si>
    <t>020 3859 6350</t>
  </si>
  <si>
    <t>firstcontact@smmathecourtyard.org</t>
  </si>
  <si>
    <t>https://smmathecourtyard.org/</t>
  </si>
  <si>
    <t>51.53007975388197</t>
  </si>
  <si>
    <t>-0.05455794668978351</t>
  </si>
  <si>
    <t>51.52472632755219</t>
  </si>
  <si>
    <t>-0.0709163350474725</t>
  </si>
  <si>
    <t>51.51776338109746</t>
  </si>
  <si>
    <t>-0.02884218576230756</t>
  </si>
  <si>
    <t>51.49063040688864</t>
  </si>
  <si>
    <t>-0.005545069402634685</t>
  </si>
  <si>
    <t>51.5161598170115</t>
  </si>
  <si>
    <t>-0.01731452354199793</t>
  </si>
  <si>
    <t>51.518782314100406</t>
  </si>
  <si>
    <t>-0.07210775686275091</t>
  </si>
  <si>
    <t>51.51408000324989</t>
  </si>
  <si>
    <t>-0.03234864178882454</t>
  </si>
  <si>
    <t>51.50613439525237</t>
  </si>
  <si>
    <t>-0.05554841569060355</t>
  </si>
  <si>
    <t>51.50982371117691</t>
  </si>
  <si>
    <t>-0.06556874067241392</t>
  </si>
  <si>
    <t>51.51582337730274</t>
  </si>
  <si>
    <t>-0.04269982634976642</t>
  </si>
  <si>
    <t>$School$</t>
  </si>
  <si>
    <t>SchoolWebsite</t>
  </si>
  <si>
    <t>PopupDetailsChurches</t>
  </si>
  <si>
    <t>PopupDetailsSchools</t>
  </si>
  <si>
    <t>AdditionalFieldsChurches</t>
  </si>
  <si>
    <t>AdditionalFieldsSchools</t>
  </si>
  <si>
    <t xml:space="preserve">       Use these boxes to configure the pop-up details – instructions below.</t>
  </si>
  <si>
    <t xml:space="preserve">&lt;div style="text-align:center;text-decoration:underline;padding-bottom:1em"&gt;$Name$&lt;/div&gt;
Postcode: $Postcode$
Type: $Type$ $AgeRange$
Deanery: $Deanery$
$NotesForDisplay$
Google maps
</t>
  </si>
  <si>
    <t>Postcode in directory is wrong.</t>
  </si>
  <si>
    <t>Postcode is missing from directory.</t>
  </si>
  <si>
    <r>
      <rPr>
        <b/>
        <u/>
        <sz val="11"/>
        <color theme="1"/>
        <rFont val="Calibri"/>
        <family val="2"/>
        <scheme val="minor"/>
      </rPr>
      <t>About the Schools data</t>
    </r>
    <r>
      <rPr>
        <sz val="11"/>
        <color theme="1"/>
        <rFont val="Calibri"/>
        <family val="2"/>
        <scheme val="minor"/>
      </rPr>
      <t xml:space="preserve">
The schools data comes from https://www.ldbs.co.uk/our-schools/.
It's a bit difficult to pick up the lists of schools automatically, but if you hover over Hackney, Islington and Tower Hamlets in turn, and save the webpage manually to disk each time, you can then manipulate the data in a text editor to get columns A-F of the Schools page, and clicking on ReloadSchoolData pretty much does the rest.
Note that the website refers to several flavours of schools, but the three deaneries do not have any schools of types not covered by this list.
In general, the data here looks to be consistent and probably ok (the only inconsistency I've noticed is that not all of the addresses are formatted in the same way, or at least there's one which is not).
All fields come from the source website, with the following exceptions :-
</t>
    </r>
    <r>
      <rPr>
        <b/>
        <sz val="11"/>
        <color theme="1"/>
        <rFont val="Calibri"/>
        <family val="2"/>
        <scheme val="minor"/>
      </rPr>
      <t>Include?</t>
    </r>
    <r>
      <rPr>
        <sz val="11"/>
        <color theme="1"/>
        <rFont val="Calibri"/>
        <family val="2"/>
        <scheme val="minor"/>
      </rPr>
      <t xml:space="preserve"> is there for the sake of compatibility with the Churches data.  I don't anticipate wanting to exclude any rows, but you can put an 'N' in this column if you </t>
    </r>
    <r>
      <rPr>
        <u/>
        <sz val="11"/>
        <color theme="1"/>
        <rFont val="Calibri"/>
        <family val="2"/>
        <scheme val="minor"/>
      </rPr>
      <t>do</t>
    </r>
    <r>
      <rPr>
        <sz val="11"/>
        <color theme="1"/>
        <rFont val="Calibri"/>
        <family val="2"/>
        <scheme val="minor"/>
      </rPr>
      <t xml:space="preserve"> want to exclude a row.
</t>
    </r>
    <r>
      <rPr>
        <b/>
        <sz val="11"/>
        <color theme="1"/>
        <rFont val="Calibri"/>
        <family val="2"/>
        <scheme val="minor"/>
      </rPr>
      <t>Postcode</t>
    </r>
    <r>
      <rPr>
        <sz val="11"/>
        <color theme="1"/>
        <rFont val="Calibri"/>
        <family val="2"/>
        <scheme val="minor"/>
      </rPr>
      <t xml:space="preserve"> is deduced from the Address information.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NotesForDisplay</t>
    </r>
    <r>
      <rPr>
        <sz val="11"/>
        <color theme="1"/>
        <rFont val="Calibri"/>
        <family val="2"/>
        <scheme val="minor"/>
      </rPr>
      <t xml:space="preserve"> is there just in casde we want to add any annotation.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If you want to add to the list, you need to obtain the values for Deanery, RefNumber, Name, AgeRange, and InformationUrl by the means described at the top of this box.  Don't forget to copy formulae down.
</t>
    </r>
  </si>
  <si>
    <r>
      <rPr>
        <b/>
        <u/>
        <sz val="11"/>
        <color theme="1"/>
        <rFont val="Calibri"/>
        <family val="2"/>
        <scheme val="minor"/>
      </rPr>
      <t>Latitude and longitude</t>
    </r>
    <r>
      <rPr>
        <sz val="11"/>
        <color theme="1"/>
        <rFont val="Calibri"/>
        <family val="2"/>
        <scheme val="minor"/>
      </rPr>
      <t xml:space="preserve">
To convert postcodes to latitude / longitude, I've used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
For churches, the map generally shows the building if you zoom in far enough, so I've then hacked the Javacript of the website temporarily to let me click on a position and to return the coordinates, which I have then used to update the data.
For schools, the website from which I took the data already contains coordinates.</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</si>
  <si>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OsmCoordinates</t>
    </r>
    <r>
      <rPr>
        <sz val="11"/>
        <color theme="1"/>
        <rFont val="Calibri"/>
        <family val="2"/>
        <scheme val="minor"/>
      </rPr>
      <t xml:space="preserve"> sheet contains location information for everything which OSM regarded as being some kind of religous institution in London.
The </t>
    </r>
    <r>
      <rPr>
        <u/>
        <sz val="11"/>
        <color theme="1"/>
        <rFont val="Calibri"/>
        <family val="2"/>
        <scheme val="minor"/>
      </rPr>
      <t>CoordsFromClickingOnMap</t>
    </r>
    <r>
      <rPr>
        <sz val="11"/>
        <color theme="1"/>
        <rFont val="Calibri"/>
        <family val="2"/>
        <scheme val="minor"/>
      </rPr>
      <t xml:space="preserve"> sheet contains the coordinates for the various churches I obtained by clicking on the church buildings on the map.</t>
    </r>
  </si>
  <si>
    <t>Parish</t>
  </si>
  <si>
    <t>DataBoundarySha</t>
  </si>
  <si>
    <t>-0.073378533</t>
  </si>
  <si>
    <t>-0.041488479</t>
  </si>
  <si>
    <t>-0.034594071</t>
  </si>
  <si>
    <t>-0.08106433</t>
  </si>
  <si>
    <t>-0.072875258</t>
  </si>
  <si>
    <t>-0.091753006</t>
  </si>
  <si>
    <t>-0.052230775</t>
  </si>
  <si>
    <t>-0.080251945</t>
  </si>
  <si>
    <t>-0.08106623</t>
  </si>
  <si>
    <t>-0.042668581</t>
  </si>
  <si>
    <t>-0.042664558</t>
  </si>
  <si>
    <t>-0.069595203</t>
  </si>
  <si>
    <t>-0.073325101</t>
  </si>
  <si>
    <t>-0.056414005</t>
  </si>
  <si>
    <t>-0.046074986</t>
  </si>
  <si>
    <t>-0.083623584</t>
  </si>
  <si>
    <t>-0.100552489</t>
  </si>
  <si>
    <t>-0.077172518</t>
  </si>
  <si>
    <t>-0.070435003</t>
  </si>
  <si>
    <t>-0.030557066</t>
  </si>
  <si>
    <t>-0.084449351</t>
  </si>
  <si>
    <t>-0.054581612</t>
  </si>
  <si>
    <t>-0.079339421</t>
  </si>
  <si>
    <t>-0.063923746</t>
  </si>
  <si>
    <t>-0.066554918</t>
  </si>
  <si>
    <t>-0.093690367</t>
  </si>
  <si>
    <t>-0.073969094</t>
  </si>
  <si>
    <t>-0.080208288</t>
  </si>
  <si>
    <t>-0.064212307</t>
  </si>
  <si>
    <t>-0.116563744</t>
  </si>
  <si>
    <t>-0.09860785</t>
  </si>
  <si>
    <t>-0.114223804</t>
  </si>
  <si>
    <t>-0.107893828</t>
  </si>
  <si>
    <t>-0.109171693</t>
  </si>
  <si>
    <t>-0.11525676</t>
  </si>
  <si>
    <t>-0.135673216</t>
  </si>
  <si>
    <t>-0.100556016</t>
  </si>
  <si>
    <t>-0.097649624</t>
  </si>
  <si>
    <t>-0.126570192</t>
  </si>
  <si>
    <t>-0.105587866</t>
  </si>
  <si>
    <t>-0.095713958</t>
  </si>
  <si>
    <t>-0.100550652</t>
  </si>
  <si>
    <t>-0.080037134</t>
  </si>
  <si>
    <t>-0.121301755</t>
  </si>
  <si>
    <t>-0.108695179</t>
  </si>
  <si>
    <t>-0.11353868</t>
  </si>
  <si>
    <t>-0.122906883</t>
  </si>
  <si>
    <t>-0.10180962</t>
  </si>
  <si>
    <t>-0.11657886</t>
  </si>
  <si>
    <t>-0.112020749</t>
  </si>
  <si>
    <t>-0.097240249</t>
  </si>
  <si>
    <t>-0.103928894</t>
  </si>
  <si>
    <t>-0.110737476</t>
  </si>
  <si>
    <t>-0.108815501</t>
  </si>
  <si>
    <t>-0.020099206</t>
  </si>
  <si>
    <t>-0.011635423</t>
  </si>
  <si>
    <t>-0.023736839</t>
  </si>
  <si>
    <t>-0.00625357</t>
  </si>
  <si>
    <t>-0.073683263</t>
  </si>
  <si>
    <t>-0.011638682</t>
  </si>
  <si>
    <t>-0.028652011</t>
  </si>
  <si>
    <t>-0.031357896</t>
  </si>
  <si>
    <t>-0.039985031</t>
  </si>
  <si>
    <t>-0.041691714</t>
  </si>
  <si>
    <t>-0.059716702</t>
  </si>
  <si>
    <t>-0.047868043</t>
  </si>
  <si>
    <t>-0.05490616</t>
  </si>
  <si>
    <t>-0.023431991</t>
  </si>
  <si>
    <t>-0.016676859</t>
  </si>
  <si>
    <t>-0.050697428</t>
  </si>
  <si>
    <t>-0.06716849</t>
  </si>
  <si>
    <t>-0.005611181</t>
  </si>
  <si>
    <t>-0.0323461</t>
  </si>
  <si>
    <t>-0.029391646</t>
  </si>
  <si>
    <t>-0.052039265</t>
  </si>
  <si>
    <t>-0.064495057</t>
  </si>
  <si>
    <t>-0.058042992</t>
  </si>
  <si>
    <t>-0.023901581</t>
  </si>
  <si>
    <t>-0.118424456</t>
  </si>
  <si>
    <r>
      <rPr>
        <b/>
        <u/>
        <sz val="11"/>
        <color theme="1"/>
        <rFont val="Calibri"/>
        <family val="2"/>
        <scheme val="minor"/>
      </rPr>
      <t>Instructions</t>
    </r>
    <r>
      <rPr>
        <sz val="11"/>
        <color theme="1"/>
        <rFont val="Calibri"/>
        <family val="2"/>
        <scheme val="minor"/>
      </rPr>
      <t xml:space="preserve">
This file holds data about all the churches and schools which will appear on the web page.  More particularly, the information on the </t>
    </r>
    <r>
      <rPr>
        <u/>
        <sz val="11"/>
        <color theme="1"/>
        <rFont val="Calibri"/>
        <family val="2"/>
        <scheme val="minor"/>
      </rPr>
      <t>Churches</t>
    </r>
    <r>
      <rPr>
        <sz val="11"/>
        <color theme="1"/>
        <rFont val="Calibri"/>
        <family val="2"/>
        <scheme val="minor"/>
      </rPr>
      <t xml:space="preserve">, </t>
    </r>
    <r>
      <rPr>
        <u/>
        <sz val="11"/>
        <color theme="1"/>
        <rFont val="Calibri"/>
        <family val="2"/>
        <scheme val="minor"/>
      </rPr>
      <t>Schools</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In an earlier version of the file, I recommended updating the data regularly using the Reload buttons.  I am now not so sure this is a good idea.  It should work ok for schools, but the data available for schools is unlikely to change much anyway, I imagine.  For churches things are more difficult, because there are shortfalls in the data available from the London Directory which necessitate manual corrections, and we don't really want to update the data and lose the existing corrections.  In view of this, I did not bother to update the code which did the updates when I worked on my latest iteration, and the ReloadChurchData button does nothing.
If you </t>
    </r>
    <r>
      <rPr>
        <u/>
        <sz val="11"/>
        <color theme="1"/>
        <rFont val="Calibri"/>
        <family val="2"/>
        <scheme val="minor"/>
      </rPr>
      <t>do</t>
    </r>
    <r>
      <rPr>
        <sz val="11"/>
        <color theme="1"/>
        <rFont val="Calibri"/>
        <family val="2"/>
        <scheme val="minor"/>
      </rPr>
      <t xml:space="preserve"> make updates, use the GenerateFile button to create the data file needed for the web page.   The generated files are called </t>
    </r>
    <r>
      <rPr>
        <u/>
        <sz val="11"/>
        <color theme="1"/>
        <rFont val="Calibri"/>
        <family val="2"/>
        <scheme val="minor"/>
      </rPr>
      <t>churches.js and schools.js</t>
    </r>
    <r>
      <rPr>
        <sz val="11"/>
        <color theme="1"/>
        <rFont val="Calibri"/>
        <family val="2"/>
        <scheme val="minor"/>
      </rPr>
      <t xml:space="preserve">, and are placed in the same folder as this spreadsheet.
These generated files need to end up in the 'js' folder under the place where the index.html file for the website appears.  If they have not been generated there, you will have to move them therefore.
On the Churches and Schools pages, italicised data indicates that it is derived from elsewhere using formulae, and if you are adding further rows you need to make sure you copy the formulae.  In the page headers, anything marked in orange is exported for use in Javascript.  This is handled by a fomula which extents across the headers.
</t>
    </r>
  </si>
  <si>
    <t>St Jude &amp; St. Paul's Church of England Primary</t>
  </si>
  <si>
    <t>St Mark's Church of England Primary School</t>
  </si>
  <si>
    <t>St John's Upper Holloway CE Primary School</t>
  </si>
  <si>
    <t>St John's CE Primary School</t>
  </si>
  <si>
    <t>St Luke's CE Primary School</t>
  </si>
  <si>
    <t>St Saviour's School</t>
  </si>
  <si>
    <t>St Peter's London Docks A Church of England Primary School</t>
  </si>
  <si>
    <t>St Paul's Whitechapel CE Primary School</t>
  </si>
  <si>
    <t>St Paul's with St Michael's CE Primary School</t>
  </si>
  <si>
    <t>St Mary's CE Primary School</t>
  </si>
  <si>
    <t>St Andrew's (Barnsbury) C of E Primary School</t>
  </si>
  <si>
    <t>St John's Highbury Vale CE Primary School</t>
  </si>
  <si>
    <t>St Luke's C of E Primary School</t>
  </si>
  <si>
    <t>deanery
name
type
latitude
longitude
postcode</t>
  </si>
  <si>
    <t>GoogleStreetViewLinkFormat</t>
  </si>
  <si>
    <t>&lt;div style="text-align:center;text-decoration:underline;padding-bottom:1em"&gt;$Name$&lt;/div&gt;
$NotesForDisplay$
Postcode: $Postcode$
&lt;div style="color:red"&gt;$ResourceChurch$&lt;/div&gt;
Type: $Churchmanship$
Electoral roll: $ElectoralRoll$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onclick="limitToRadius(@index@);"&gt;&lt;/div&gt;</t>
  </si>
  <si>
    <t>deanery
name
electoralRoll
latitude
longitude
churchmanship
resourceChurch
wikipediaPopulationOfParish
electoralRoll
postcode
parish
dataBoundary</t>
  </si>
  <si>
    <r>
      <rPr>
        <b/>
        <u/>
        <sz val="11"/>
        <color theme="1"/>
        <rFont val="Calibri"/>
        <family val="2"/>
        <scheme val="minor"/>
      </rPr>
      <t>About the Churches data</t>
    </r>
    <r>
      <rPr>
        <sz val="11"/>
        <color theme="1"/>
        <rFont val="Calibri"/>
        <family val="2"/>
        <scheme val="minor"/>
      </rPr>
      <t xml:space="preserve">
The data has come from https://www.london.anglican.org/directory/hackney-deanery/ (and Islington and Tower Hamlets), from Wikipedia and from another of other sources and manual look ups.  Not all of these sources are necessary reliable and up to date (even the official London Directory is somewhat incomplete and inconsistent).
The columns originate as follows:
</t>
    </r>
    <r>
      <rPr>
        <b/>
        <sz val="11"/>
        <color theme="1"/>
        <rFont val="Calibri"/>
        <family val="2"/>
        <scheme val="minor"/>
      </rPr>
      <t xml:space="preserve">RefNumber, DirectoryUrl, Deanery, Name, ElectoralRoll </t>
    </r>
    <r>
      <rPr>
        <sz val="11"/>
        <color theme="1"/>
        <rFont val="Calibri"/>
        <family val="2"/>
        <scheme val="minor"/>
      </rPr>
      <t>and</t>
    </r>
    <r>
      <rPr>
        <b/>
        <sz val="11"/>
        <color theme="1"/>
        <rFont val="Calibri"/>
        <family val="2"/>
        <scheme val="minor"/>
      </rPr>
      <t xml:space="preserve"> DataBoundary</t>
    </r>
    <r>
      <rPr>
        <sz val="11"/>
        <color theme="1"/>
        <rFont val="Calibri"/>
        <family val="2"/>
        <scheme val="minor"/>
      </rPr>
      <t xml:space="preserve"> all come from the London Directory.
</t>
    </r>
    <r>
      <rPr>
        <b/>
        <sz val="11"/>
        <color theme="1"/>
        <rFont val="Calibri"/>
        <family val="2"/>
        <scheme val="minor"/>
      </rPr>
      <t>Postcode</t>
    </r>
    <r>
      <rPr>
        <sz val="11"/>
        <color theme="1"/>
        <rFont val="Calibri"/>
        <family val="2"/>
        <scheme val="minor"/>
      </rPr>
      <t xml:space="preserve"> in most cases comes from the Directory, but a few churches there lacked a postcode or had the wrong value.
</t>
    </r>
    <r>
      <rPr>
        <b/>
        <sz val="11"/>
        <color theme="1"/>
        <rFont val="Calibri"/>
        <family val="2"/>
        <scheme val="minor"/>
      </rPr>
      <t>Latitude</t>
    </r>
    <r>
      <rPr>
        <sz val="11"/>
        <color theme="1"/>
        <rFont val="Calibri"/>
        <family val="2"/>
        <scheme val="minor"/>
      </rPr>
      <t xml:space="preserve"> and </t>
    </r>
    <r>
      <rPr>
        <b/>
        <sz val="11"/>
        <color theme="1"/>
        <rFont val="Calibri"/>
        <family val="2"/>
        <scheme val="minor"/>
      </rPr>
      <t>Longitude</t>
    </r>
    <r>
      <rPr>
        <sz val="11"/>
        <color theme="1"/>
        <rFont val="Calibri"/>
        <family val="2"/>
        <scheme val="minor"/>
      </rPr>
      <t xml:space="preserve"> I found as described in the box at the top right of this sheet.
Anything with </t>
    </r>
    <r>
      <rPr>
        <b/>
        <sz val="11"/>
        <color theme="1"/>
        <rFont val="Calibri"/>
        <family val="2"/>
        <scheme val="minor"/>
      </rPr>
      <t>Wikipedia</t>
    </r>
    <r>
      <rPr>
        <sz val="11"/>
        <color theme="1"/>
        <rFont val="Calibri"/>
        <family val="2"/>
        <scheme val="minor"/>
      </rPr>
      <t xml:space="preserve"> in its name came from Wikipedia.
</t>
    </r>
    <r>
      <rPr>
        <b/>
        <sz val="11"/>
        <color theme="1"/>
        <rFont val="Calibri"/>
        <family val="2"/>
        <scheme val="minor"/>
      </rPr>
      <t>GC,</t>
    </r>
    <r>
      <rPr>
        <sz val="11"/>
        <color theme="1"/>
        <rFont val="Calibri"/>
        <family val="2"/>
        <scheme val="minor"/>
      </rPr>
      <t xml:space="preserve"> </t>
    </r>
    <r>
      <rPr>
        <b/>
        <sz val="11"/>
        <color theme="1"/>
        <rFont val="Calibri"/>
        <family val="2"/>
        <scheme val="minor"/>
      </rPr>
      <t>Churchmanship</t>
    </r>
    <r>
      <rPr>
        <sz val="11"/>
        <color theme="1"/>
        <rFont val="Calibri"/>
        <family val="2"/>
        <scheme val="minor"/>
      </rPr>
      <t xml:space="preserve"> and </t>
    </r>
    <r>
      <rPr>
        <b/>
        <sz val="11"/>
        <color theme="1"/>
        <rFont val="Calibri"/>
        <family val="2"/>
        <scheme val="minor"/>
      </rPr>
      <t>ResourceChurch</t>
    </r>
    <r>
      <rPr>
        <sz val="11"/>
        <color theme="1"/>
        <rFont val="Calibri"/>
        <family val="2"/>
        <scheme val="minor"/>
      </rPr>
      <t xml:space="preserve"> came from ad hoc data supplied to me for the purpose.
</t>
    </r>
    <r>
      <rPr>
        <b/>
        <sz val="11"/>
        <color theme="1"/>
        <rFont val="Calibri"/>
        <family val="2"/>
        <scheme val="minor"/>
      </rPr>
      <t>ChurchWebsite</t>
    </r>
    <r>
      <rPr>
        <sz val="11"/>
        <color theme="1"/>
        <rFont val="Calibri"/>
        <family val="2"/>
        <scheme val="minor"/>
      </rPr>
      <t xml:space="preserve"> and </t>
    </r>
    <r>
      <rPr>
        <b/>
        <sz val="11"/>
        <color theme="1"/>
        <rFont val="Calibri"/>
        <family val="2"/>
        <scheme val="minor"/>
      </rPr>
      <t>TeamMinistryWebsite</t>
    </r>
    <r>
      <rPr>
        <sz val="11"/>
        <color theme="1"/>
        <rFont val="Calibri"/>
        <family val="2"/>
        <scheme val="minor"/>
      </rPr>
      <t xml:space="preserve"> I think came mainly from the Directory, but I augmented and corrected this as necessary.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Parish</t>
    </r>
    <r>
      <rPr>
        <sz val="11"/>
        <color theme="1"/>
        <rFont val="Calibri"/>
        <family val="2"/>
        <scheme val="minor"/>
      </rPr>
      <t xml:space="preserve"> gives all churches in the same parish an (arbitrary) common id.  Note that although all churches in a given parish will have the same parish number, and it will be distinct from all other parishes, the numbers used, the overall collection of parish numbers will not normally be contiguous.
</t>
    </r>
    <r>
      <rPr>
        <b/>
        <sz val="11"/>
        <color theme="1"/>
        <rFont val="Calibri"/>
        <family val="2"/>
        <scheme val="minor"/>
      </rPr>
      <t>NotesForDisplay</t>
    </r>
    <r>
      <rPr>
        <sz val="11"/>
        <color theme="1"/>
        <rFont val="Calibri"/>
        <family val="2"/>
        <scheme val="minor"/>
      </rPr>
      <t xml:space="preserve"> is an ad hoc field in which I have manually added any information which I think might usefully be displayed as part of the pop-up for the church.
</t>
    </r>
    <r>
      <rPr>
        <b/>
        <sz val="11"/>
        <color theme="1"/>
        <rFont val="Calibri"/>
        <family val="2"/>
        <scheme val="minor"/>
      </rPr>
      <t>WorkingNotes</t>
    </r>
    <r>
      <rPr>
        <sz val="11"/>
        <color theme="1"/>
        <rFont val="Calibri"/>
        <family val="2"/>
        <scheme val="minor"/>
      </rPr>
      <t xml:space="preserve"> contains information which I thought useful to retain, although not for display purposes.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</si>
  <si>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&lt;b&gt;BMO&lt;/b&gt;</t>
  </si>
  <si>
    <t>Catholic1</t>
  </si>
  <si>
    <t>Catholic2</t>
  </si>
  <si>
    <t>51.544732647312806, -0.05186010153178001</t>
  </si>
  <si>
    <t>51.5444843519803, -0.07374511932286225</t>
  </si>
  <si>
    <t>51.548161264580706, -0.05106893097946974</t>
  </si>
  <si>
    <t>51.53745804798396, -0.06539388374090264</t>
  </si>
  <si>
    <t>51.539671684424555, -0.04998668374086306</t>
  </si>
  <si>
    <t>51.552822449091074, -0.08012430153157515</t>
  </si>
  <si>
    <t>51.56173813023959, -0.08161004264059782</t>
  </si>
  <si>
    <t>51.53809757964239, -0.11445520153195497</t>
  </si>
  <si>
    <t>51.5308389022248, -0.08396808433969312</t>
  </si>
  <si>
    <t>Location unclear.  Assumed to be the same as the church.</t>
  </si>
  <si>
    <t>51.528326416993615, -0.11083908374113473</t>
  </si>
  <si>
    <t>51.5582804823808, -0.1001902837403715</t>
  </si>
  <si>
    <t>51.52655681712294, -0.09186088374119222</t>
  </si>
  <si>
    <t>51.54810881554651, -0.07904310153169619</t>
  </si>
  <si>
    <t>51.563413347036715, -0.1194777015312686</t>
  </si>
  <si>
    <t>51.56259874706648, -0.13293334263573012</t>
  </si>
  <si>
    <t>51.54693597964393, -0.11048830153170613</t>
  </si>
  <si>
    <t>51.515970396921155, -0.042914830980297816</t>
  </si>
  <si>
    <t>51.51011041430987, -0.0659162720849083</t>
  </si>
  <si>
    <t>51.50616159700927, -0.05458157208502414</t>
  </si>
  <si>
    <t>51.51410061423717, -0.032358430980307724</t>
  </si>
  <si>
    <t>51.518887848661485, -0.07178260153248468</t>
  </si>
  <si>
    <t>51.516402144789836, -0.01714034434000053</t>
  </si>
  <si>
    <t>51.48991077963449, -0.005571537115378107</t>
  </si>
  <si>
    <t>51.51807261774358, -0.02855298374142542</t>
  </si>
  <si>
    <t>51.524302554935964, -0.07084586595018924</t>
  </si>
  <si>
    <t>51.530037696794516, -0.05434810153215951</t>
  </si>
  <si>
    <t>51.547986869770995, -0.10709901779958195</t>
  </si>
  <si>
    <t>Location unclear.  Used postcode.</t>
  </si>
  <si>
    <t>51.5395693342681, -0.10049336448223155</t>
  </si>
  <si>
    <t>LatitudeFromScrapingWebPage</t>
  </si>
  <si>
    <t>LongitudeFromScrapingWebPage</t>
  </si>
  <si>
    <t>51.5444843519803</t>
  </si>
  <si>
    <t>-0.07374511932286225</t>
  </si>
  <si>
    <t>51.548161264580706</t>
  </si>
  <si>
    <t>-0.05106893097946974</t>
  </si>
  <si>
    <t>51.53745804798396</t>
  </si>
  <si>
    <t>-0.06539388374090264</t>
  </si>
  <si>
    <t>51.5308389022248</t>
  </si>
  <si>
    <t>-0.08396808433969312</t>
  </si>
  <si>
    <t>51.539671684424555</t>
  </si>
  <si>
    <t>-0.04998668374086306</t>
  </si>
  <si>
    <t>51.552822449091074</t>
  </si>
  <si>
    <t>-0.08012430153157515</t>
  </si>
  <si>
    <t>51.56173813023959</t>
  </si>
  <si>
    <t>-0.08161004264059782</t>
  </si>
  <si>
    <t>51.544732647312806</t>
  </si>
  <si>
    <t>-0.05186010153178001</t>
  </si>
  <si>
    <t>51.53809757964239</t>
  </si>
  <si>
    <t>-0.11445520153195497</t>
  </si>
  <si>
    <t>51.528326416993615</t>
  </si>
  <si>
    <t>-0.11083908374113473</t>
  </si>
  <si>
    <t>51.5582804823808</t>
  </si>
  <si>
    <t>-0.1001902837403715</t>
  </si>
  <si>
    <t>51.5395693342681</t>
  </si>
  <si>
    <t>-0.10049336448223155</t>
  </si>
  <si>
    <t>51.52655681712294</t>
  </si>
  <si>
    <t>-0.09186088374119222</t>
  </si>
  <si>
    <t>51.54810881554651</t>
  </si>
  <si>
    <t>-0.07904310153169619</t>
  </si>
  <si>
    <t>51.563413347036715</t>
  </si>
  <si>
    <t>-0.1194777015312686</t>
  </si>
  <si>
    <t>51.56259874706648</t>
  </si>
  <si>
    <t>-0.13293334263573012</t>
  </si>
  <si>
    <t>51.54693597964393</t>
  </si>
  <si>
    <t>-0.11048830153170613</t>
  </si>
  <si>
    <t>51.547986869770995</t>
  </si>
  <si>
    <t>-0.10709901779958195</t>
  </si>
  <si>
    <t>51.530037696794516</t>
  </si>
  <si>
    <t>-0.05434810153215951</t>
  </si>
  <si>
    <t>51.524302554935964</t>
  </si>
  <si>
    <t>-0.07084586595018924</t>
  </si>
  <si>
    <t>51.51807261774358</t>
  </si>
  <si>
    <t>-0.02855298374142542</t>
  </si>
  <si>
    <t>51.48991077963449</t>
  </si>
  <si>
    <t>-0.005571537115378107</t>
  </si>
  <si>
    <t>51.516402144789836</t>
  </si>
  <si>
    <t>-0.01714034434000053</t>
  </si>
  <si>
    <t>51.518887848661485</t>
  </si>
  <si>
    <t>-0.07178260153248468</t>
  </si>
  <si>
    <t>51.51410061423717</t>
  </si>
  <si>
    <t>-0.032358430980307724</t>
  </si>
  <si>
    <t>51.50616159700927</t>
  </si>
  <si>
    <t>-0.05458157208502414</t>
  </si>
  <si>
    <t>51.51011041430987</t>
  </si>
  <si>
    <t>-0.0659162720849083</t>
  </si>
  <si>
    <t>51.515970396921155</t>
  </si>
  <si>
    <t>-0.042914830980297816</t>
  </si>
  <si>
    <t>LatitudeFromManualGoogleMapLookup</t>
  </si>
  <si>
    <t>LongitudeFromManualGoogleMapLookup</t>
  </si>
  <si>
    <t>WorkingDataFromManualGoogleLookup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</si>
</sst>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sz val="13"/>
      <color theme="1"/>
      <name val="Calibri"/>
      <family val="2"/>
      <scheme val="minor"/>
    </font>
    <font>
      <sz val="9"/>
      <color theme="1"/>
      <name val="Calibri"/>
      <family val="2"/>
      <scheme val="minor"/>
    </font>
    <font>
      <u/>
      <sz val="9"/>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theme="5" tint="0.59999389629810485"/>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thin">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13" fillId="36" borderId="25" xfId="0" applyFont="1" applyFill="1" applyBorder="1"/>
    <xf numFmtId="0" fontId="13" fillId="36" borderId="26"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0" borderId="27" xfId="0" applyBorder="1"/>
    <xf numFmtId="0" fontId="16" fillId="34" borderId="27" xfId="0" applyFont="1" applyFill="1" applyBorder="1"/>
    <xf numFmtId="164" fontId="0" fillId="0" borderId="27" xfId="0" applyNumberFormat="1" applyBorder="1"/>
    <xf numFmtId="0" fontId="0" fillId="33" borderId="28" xfId="0" applyFill="1" applyBorder="1"/>
    <xf numFmtId="0" fontId="0" fillId="33" borderId="29" xfId="0" applyFill="1" applyBorder="1"/>
    <xf numFmtId="0" fontId="24" fillId="37" borderId="11" xfId="0" applyFont="1" applyFill="1" applyBorder="1" applyAlignment="1">
      <alignment horizontal="right" vertical="center"/>
    </xf>
    <xf numFmtId="0" fontId="25" fillId="37" borderId="12" xfId="0" applyFont="1" applyFill="1" applyBorder="1"/>
    <xf numFmtId="0" fontId="26"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7" xfId="0" applyNumberFormat="1" applyBorder="1" applyAlignment="1">
      <alignment horizontal="right"/>
    </xf>
    <xf numFmtId="0" fontId="0" fillId="33" borderId="32" xfId="0" applyFill="1" applyBorder="1"/>
    <xf numFmtId="0" fontId="0" fillId="33" borderId="33" xfId="0" applyFill="1" applyBorder="1"/>
    <xf numFmtId="0" fontId="0" fillId="33" borderId="34" xfId="0" applyFill="1" applyBorder="1"/>
    <xf numFmtId="0" fontId="0" fillId="33" borderId="35" xfId="0" applyFill="1" applyBorder="1"/>
    <xf numFmtId="0" fontId="0" fillId="33" borderId="36" xfId="0" applyFill="1" applyBorder="1"/>
    <xf numFmtId="0" fontId="0" fillId="0" borderId="27" xfId="0" applyFill="1" applyBorder="1"/>
    <xf numFmtId="0" fontId="0" fillId="0" borderId="27" xfId="0" applyBorder="1" applyAlignment="1">
      <alignment horizontal="center"/>
    </xf>
    <xf numFmtId="0" fontId="0" fillId="0" borderId="27" xfId="0" applyBorder="1" applyAlignment="1">
      <alignment shrinkToFit="1"/>
    </xf>
    <xf numFmtId="0" fontId="16" fillId="35" borderId="0" xfId="0" applyFont="1" applyFill="1"/>
    <xf numFmtId="49" fontId="0" fillId="0" borderId="0" xfId="0" applyNumberFormat="1"/>
    <xf numFmtId="49" fontId="19" fillId="0" borderId="0" xfId="42" applyNumberFormat="1"/>
    <xf numFmtId="0" fontId="0" fillId="38" borderId="10" xfId="0" applyFill="1" applyBorder="1" applyAlignment="1">
      <alignment vertical="top" wrapText="1"/>
    </xf>
    <xf numFmtId="0" fontId="0" fillId="0" borderId="0" xfId="0" applyNumberFormat="1"/>
    <xf numFmtId="0" fontId="16" fillId="34" borderId="27" xfId="0" applyNumberFormat="1" applyFont="1" applyFill="1" applyBorder="1"/>
    <xf numFmtId="49" fontId="0" fillId="0" borderId="27" xfId="0" applyNumberFormat="1" applyBorder="1"/>
    <xf numFmtId="164" fontId="19" fillId="0" borderId="27" xfId="42" applyNumberFormat="1" applyFill="1" applyBorder="1"/>
    <xf numFmtId="0" fontId="0" fillId="0" borderId="27" xfId="0" applyFill="1" applyBorder="1" applyAlignment="1">
      <alignment horizontal="center"/>
    </xf>
    <xf numFmtId="49" fontId="0" fillId="0" borderId="27" xfId="0" applyNumberFormat="1" applyFill="1" applyBorder="1"/>
    <xf numFmtId="164" fontId="0" fillId="0" borderId="27" xfId="0" applyNumberFormat="1" applyFill="1" applyBorder="1"/>
    <xf numFmtId="0" fontId="0" fillId="0" borderId="27" xfId="0" applyFill="1" applyBorder="1" applyAlignment="1">
      <alignment shrinkToFit="1"/>
    </xf>
    <xf numFmtId="0" fontId="19" fillId="0" borderId="27" xfId="42" applyFill="1" applyBorder="1"/>
    <xf numFmtId="0" fontId="0" fillId="0" borderId="0" xfId="0" applyFill="1"/>
    <xf numFmtId="0" fontId="0" fillId="0" borderId="31" xfId="0" applyFill="1" applyBorder="1"/>
    <xf numFmtId="164" fontId="0" fillId="0" borderId="31" xfId="0" applyNumberFormat="1" applyFill="1" applyBorder="1"/>
    <xf numFmtId="0" fontId="0" fillId="0" borderId="31" xfId="0" applyFill="1" applyBorder="1" applyAlignment="1">
      <alignment horizontal="center"/>
    </xf>
    <xf numFmtId="49" fontId="0" fillId="0" borderId="31" xfId="0" applyNumberFormat="1" applyFill="1" applyBorder="1" applyAlignment="1">
      <alignment horizontal="right"/>
    </xf>
    <xf numFmtId="0" fontId="19" fillId="0" borderId="0" xfId="42" applyFill="1"/>
    <xf numFmtId="0" fontId="0" fillId="0" borderId="31" xfId="0" applyFill="1" applyBorder="1" applyAlignment="1">
      <alignment shrinkToFit="1"/>
    </xf>
    <xf numFmtId="49" fontId="16" fillId="34" borderId="27" xfId="0" applyNumberFormat="1" applyFont="1" applyFill="1" applyBorder="1"/>
    <xf numFmtId="0" fontId="0" fillId="33" borderId="40" xfId="0" applyFill="1" applyBorder="1"/>
    <xf numFmtId="15" fontId="23" fillId="37" borderId="11" xfId="0" applyNumberFormat="1" applyFont="1" applyFill="1" applyBorder="1" applyAlignment="1">
      <alignment horizontal="left" vertical="center"/>
    </xf>
    <xf numFmtId="0" fontId="0" fillId="39" borderId="14" xfId="0" applyFill="1" applyBorder="1" applyAlignment="1">
      <alignment horizontal="left" vertical="top" wrapText="1"/>
    </xf>
    <xf numFmtId="0" fontId="0" fillId="39" borderId="30" xfId="0" applyFill="1" applyBorder="1" applyAlignment="1">
      <alignment horizontal="left" vertical="top"/>
    </xf>
    <xf numFmtId="0" fontId="0" fillId="39" borderId="15" xfId="0" applyFill="1" applyBorder="1" applyAlignment="1">
      <alignment horizontal="left" vertical="top"/>
    </xf>
    <xf numFmtId="0" fontId="0" fillId="39" borderId="16" xfId="0" applyFill="1" applyBorder="1" applyAlignment="1">
      <alignment horizontal="left" vertical="top" wrapText="1"/>
    </xf>
    <xf numFmtId="0" fontId="0" fillId="39" borderId="17" xfId="0" applyFill="1" applyBorder="1" applyAlignment="1">
      <alignment horizontal="left" vertical="top" wrapText="1"/>
    </xf>
    <xf numFmtId="0" fontId="0" fillId="39" borderId="18" xfId="0" applyFill="1" applyBorder="1" applyAlignment="1">
      <alignment horizontal="left" vertical="top" wrapText="1"/>
    </xf>
    <xf numFmtId="0" fontId="0" fillId="39" borderId="19" xfId="0" applyFill="1" applyBorder="1" applyAlignment="1">
      <alignment horizontal="left" vertical="top" wrapText="1"/>
    </xf>
    <xf numFmtId="0" fontId="0" fillId="39" borderId="0" xfId="0" applyFill="1" applyBorder="1" applyAlignment="1">
      <alignment horizontal="left" vertical="top" wrapText="1"/>
    </xf>
    <xf numFmtId="0" fontId="0" fillId="39" borderId="12" xfId="0" applyFill="1" applyBorder="1" applyAlignment="1">
      <alignment horizontal="left" vertical="top" wrapText="1"/>
    </xf>
    <xf numFmtId="0" fontId="0" fillId="39" borderId="20" xfId="0" applyFill="1" applyBorder="1" applyAlignment="1">
      <alignment horizontal="left" vertical="top" wrapText="1"/>
    </xf>
    <xf numFmtId="0" fontId="0" fillId="39" borderId="11" xfId="0" applyFill="1" applyBorder="1" applyAlignment="1">
      <alignment horizontal="left" vertical="top" wrapText="1"/>
    </xf>
    <xf numFmtId="0" fontId="0" fillId="39" borderId="13" xfId="0" applyFill="1" applyBorder="1" applyAlignment="1">
      <alignment horizontal="left" vertical="top" wrapText="1"/>
    </xf>
    <xf numFmtId="0" fontId="0" fillId="39" borderId="37" xfId="0" applyFill="1" applyBorder="1" applyAlignment="1">
      <alignment horizontal="left" vertical="top" wrapText="1"/>
    </xf>
    <xf numFmtId="0" fontId="0" fillId="39" borderId="38" xfId="0" applyFill="1" applyBorder="1" applyAlignment="1">
      <alignment horizontal="left" vertical="top" wrapText="1"/>
    </xf>
    <xf numFmtId="0" fontId="0" fillId="39" borderId="39" xfId="0" applyFill="1" applyBorder="1" applyAlignment="1">
      <alignment horizontal="left" vertical="top" wrapText="1"/>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font>
        <b val="0"/>
        <i/>
      </font>
    </dxf>
    <dxf>
      <font>
        <b/>
        <i val="0"/>
      </font>
      <fill>
        <patternFill>
          <bgColor theme="5" tint="0.59996337778862885"/>
        </patternFill>
      </fill>
    </dxf>
    <dxf>
      <font>
        <b val="0"/>
        <i/>
      </font>
    </dxf>
    <dxf>
      <font>
        <b/>
        <i val="0"/>
      </font>
      <fill>
        <patternFill>
          <bgColor theme="5" tint="0.59996337778862885"/>
        </patternFill>
      </fill>
    </dxf>
    <dxf>
      <font>
        <b val="0"/>
        <i/>
      </font>
    </dxf>
    <dxf>
      <font>
        <b/>
        <i val="0"/>
      </font>
      <fill>
        <patternFill>
          <bgColor theme="5" tint="0.59996337778862885"/>
        </patternFill>
      </fill>
    </dxf>
    <dxf>
      <font>
        <b/>
        <i val="0"/>
      </font>
      <fill>
        <patternFill>
          <bgColor theme="5" tint="0.59996337778862885"/>
        </patternFill>
      </fill>
    </dxf>
    <dxf>
      <font>
        <b val="0"/>
        <i/>
      </font>
    </dxf>
    <dxf>
      <font>
        <b val="0"/>
        <i/>
      </font>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val="0"/>
        <i/>
      </font>
    </dxf>
    <dxf>
      <font>
        <b/>
        <i val="0"/>
      </font>
      <fill>
        <patternFill>
          <bgColor theme="5" tint="0.59996337778862885"/>
        </patternFill>
      </fill>
    </dxf>
    <dxf>
      <font>
        <b val="0"/>
        <i/>
      </font>
    </dxf>
  </dxfs>
  <tableStyles count="0" defaultTableStyle="TableStyleMedium2" defaultPivotStyle="PivotStyleLight16"/>
  <colors>
    <mruColors>
      <color rgb="FFFF9966"/>
      <color rgb="FFD7A8E9"/>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JavascriptFile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5</xdr:col>
          <xdr:colOff>447675</xdr:colOff>
          <xdr:row>5</xdr:row>
          <xdr:rowOff>104775</xdr:rowOff>
        </xdr:to>
        <xdr:sp macro="" textlink="">
          <xdr:nvSpPr>
            <xdr:cNvPr id="2050" name="Btn_ReloadChurc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152400</xdr:rowOff>
        </xdr:from>
        <xdr:to>
          <xdr:col>8</xdr:col>
          <xdr:colOff>285750</xdr:colOff>
          <xdr:row>5</xdr:row>
          <xdr:rowOff>104775</xdr:rowOff>
        </xdr:to>
        <xdr:sp macro="" textlink="">
          <xdr:nvSpPr>
            <xdr:cNvPr id="2051" name="Btn_ReloadSchool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657225</xdr:colOff>
      <xdr:row>0</xdr:row>
      <xdr:rowOff>285750</xdr:rowOff>
    </xdr:from>
    <xdr:ext cx="4763484" cy="499367"/>
    <xdr:sp macro="" textlink="">
      <xdr:nvSpPr>
        <xdr:cNvPr id="3" name="TextBox 2"/>
        <xdr:cNvSpPr txBox="1"/>
      </xdr:nvSpPr>
      <xdr:spPr>
        <a:xfrm>
          <a:off x="9963150" y="285750"/>
          <a:ext cx="4763484" cy="499367"/>
        </a:xfrm>
        <a:prstGeom prst="rect">
          <a:avLst/>
        </a:prstGeom>
        <a:solidFill>
          <a:srgbClr val="7030A0"/>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300" b="1">
              <a:solidFill>
                <a:srgbClr val="FFFF00"/>
              </a:solidFill>
            </a:rPr>
            <a:t>Make sure</a:t>
          </a:r>
          <a:r>
            <a:rPr lang="en-GB" sz="1300" b="1" baseline="0">
              <a:solidFill>
                <a:srgbClr val="FFFF00"/>
              </a:solidFill>
            </a:rPr>
            <a:t> you understand this lot before you do anything to alter</a:t>
          </a:r>
          <a:br>
            <a:rPr lang="en-GB" sz="1300" b="1" baseline="0">
              <a:solidFill>
                <a:srgbClr val="FFFF00"/>
              </a:solidFill>
            </a:rPr>
          </a:br>
          <a:r>
            <a:rPr lang="en-GB" sz="1300" b="1" baseline="0">
              <a:solidFill>
                <a:srgbClr val="FFFF00"/>
              </a:solidFill>
            </a:rPr>
            <a:t>the anatomy of the data or update it from the various websites.</a:t>
          </a:r>
          <a:endParaRPr lang="en-GB" sz="1300" b="1">
            <a:solidFill>
              <a:srgbClr val="FFFF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5</xdr:row>
      <xdr:rowOff>1019175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6</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5</xdr:row>
      <xdr:rowOff>1104900</xdr:rowOff>
    </xdr:from>
    <xdr:to>
      <xdr:col>8</xdr:col>
      <xdr:colOff>2762250</xdr:colOff>
      <xdr:row>5</xdr:row>
      <xdr:rowOff>1924050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628649</xdr:rowOff>
    </xdr:from>
    <xdr:to>
      <xdr:col>8</xdr:col>
      <xdr:colOff>713233</xdr:colOff>
      <xdr:row>5</xdr:row>
      <xdr:rowOff>1141094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AppData/Roaming/Microsoft/Excel/=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AppData/Roaming/Microsoft/Excel/=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AppData/Roaming/Microsoft/Excel/=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dbs.co.uk/schools/st-lukes-jmi-nc/" TargetMode="External"/><Relationship Id="rId18" Type="http://schemas.openxmlformats.org/officeDocument/2006/relationships/hyperlink" Target="https://www.ldbs.co.uk/schools/courtyard-st-mary-magdalene-academy/" TargetMode="External"/><Relationship Id="rId26" Type="http://schemas.openxmlformats.org/officeDocument/2006/relationships/hyperlink" Target="https://www.ldbs.co.uk/schools/st-peters-jmi-nc/" TargetMode="External"/><Relationship Id="rId39" Type="http://schemas.openxmlformats.org/officeDocument/2006/relationships/hyperlink" Target="http://www.stjhv.islington.sch.uk/" TargetMode="External"/><Relationship Id="rId21" Type="http://schemas.openxmlformats.org/officeDocument/2006/relationships/hyperlink" Target="https://www.ldbs.co.uk/schools/st-paul-wst-luke-jmi-nc/" TargetMode="External"/><Relationship Id="rId34" Type="http://schemas.openxmlformats.org/officeDocument/2006/relationships/hyperlink" Target="http://www.st-matthias.hackney.sch.uk/" TargetMode="External"/><Relationship Id="rId42" Type="http://schemas.openxmlformats.org/officeDocument/2006/relationships/hyperlink" Target="http://www.stjudestpauls.co.uk/" TargetMode="External"/><Relationship Id="rId47" Type="http://schemas.openxmlformats.org/officeDocument/2006/relationships/hyperlink" Target="http://www.st-johns.towerhamlets.sch.uk/" TargetMode="External"/><Relationship Id="rId50" Type="http://schemas.openxmlformats.org/officeDocument/2006/relationships/hyperlink" Target="http://www.st-lukes.towerhamlets.sch.uk/" TargetMode="External"/><Relationship Id="rId55" Type="http://schemas.openxmlformats.org/officeDocument/2006/relationships/hyperlink" Target="http://www.st-pauls.towerhamlets.sch.uk/" TargetMode="External"/><Relationship Id="rId7" Type="http://schemas.openxmlformats.org/officeDocument/2006/relationships/hyperlink" Target="https://www.ldbs.co.uk/schools/st-marys-jmi-nc-2/" TargetMode="External"/><Relationship Id="rId12" Type="http://schemas.openxmlformats.org/officeDocument/2006/relationships/hyperlink" Target="https://www.ldbs.co.uk/schools/st-marys-jmi/" TargetMode="External"/><Relationship Id="rId17" Type="http://schemas.openxmlformats.org/officeDocument/2006/relationships/hyperlink" Target="https://www.ldbs.co.uk/schools/st-mary-magdalene-academy/" TargetMode="External"/><Relationship Id="rId25" Type="http://schemas.openxmlformats.org/officeDocument/2006/relationships/hyperlink" Target="https://www.ldbs.co.uk/schools/stepney-greencoat-jmi/" TargetMode="External"/><Relationship Id="rId33" Type="http://schemas.openxmlformats.org/officeDocument/2006/relationships/hyperlink" Target="http://www.st-johnjerusalem.hackney.sch.uk/" TargetMode="External"/><Relationship Id="rId38" Type="http://schemas.openxmlformats.org/officeDocument/2006/relationships/hyperlink" Target="http://www.clerkenwellprimary.org/" TargetMode="External"/><Relationship Id="rId46" Type="http://schemas.openxmlformats.org/officeDocument/2006/relationships/hyperlink" Target="https://smmathecourtyard.org/" TargetMode="External"/><Relationship Id="rId2" Type="http://schemas.openxmlformats.org/officeDocument/2006/relationships/hyperlink" Target="https://www.ldbs.co.uk/schools/st-john-st-james-jmi-nc/" TargetMode="External"/><Relationship Id="rId16" Type="http://schemas.openxmlformats.org/officeDocument/2006/relationships/hyperlink" Target="https://www.ldbs.co.uk/schools/st-johns-jmi-nc-4/" TargetMode="External"/><Relationship Id="rId20" Type="http://schemas.openxmlformats.org/officeDocument/2006/relationships/hyperlink" Target="https://www.ldbs.co.uk/schools/st-matthias-jmi-nc-2/" TargetMode="External"/><Relationship Id="rId29" Type="http://schemas.openxmlformats.org/officeDocument/2006/relationships/hyperlink" Target="http://www.holytrinity.hackney.sch.uk/" TargetMode="External"/><Relationship Id="rId41" Type="http://schemas.openxmlformats.org/officeDocument/2006/relationships/hyperlink" Target="http://www.st-lukesislington.co.uk/" TargetMode="External"/><Relationship Id="rId54" Type="http://schemas.openxmlformats.org/officeDocument/2006/relationships/hyperlink" Target="http://www.stpetersprimary.org.uk/" TargetMode="External"/><Relationship Id="rId1" Type="http://schemas.openxmlformats.org/officeDocument/2006/relationships/hyperlink" Target="https://www.ldbs.co.uk/schools/holy-trinity-jmi-nc-2/" TargetMode="External"/><Relationship Id="rId6" Type="http://schemas.openxmlformats.org/officeDocument/2006/relationships/hyperlink" Target="https://www.ldbs.co.uk/schools/st-matthias-jmi-nc/" TargetMode="External"/><Relationship Id="rId11" Type="http://schemas.openxmlformats.org/officeDocument/2006/relationships/hyperlink" Target="https://www.ldbs.co.uk/schools/st-johns-jmi/" TargetMode="External"/><Relationship Id="rId24" Type="http://schemas.openxmlformats.org/officeDocument/2006/relationships/hyperlink" Target="https://www.ldbs.co.uk/schools/christ-church-jmi-nc-3/" TargetMode="External"/><Relationship Id="rId32" Type="http://schemas.openxmlformats.org/officeDocument/2006/relationships/hyperlink" Target="http://www.st-john.hackney.sch.uk/" TargetMode="External"/><Relationship Id="rId37" Type="http://schemas.openxmlformats.org/officeDocument/2006/relationships/hyperlink" Target="http://www.standrews.islington.sch.uk/" TargetMode="External"/><Relationship Id="rId40" Type="http://schemas.openxmlformats.org/officeDocument/2006/relationships/hyperlink" Target="http://www.stmarys.islington.sch.uk/" TargetMode="External"/><Relationship Id="rId45" Type="http://schemas.openxmlformats.org/officeDocument/2006/relationships/hyperlink" Target="http://www.smmacademy.org/" TargetMode="External"/><Relationship Id="rId53" Type="http://schemas.openxmlformats.org/officeDocument/2006/relationships/hyperlink" Target="http://www.stepneygreencoat.towerhamlets.sch.uk/" TargetMode="External"/><Relationship Id="rId5" Type="http://schemas.openxmlformats.org/officeDocument/2006/relationships/hyperlink" Target="https://www.ldbs.co.uk/schools/st-john-of-jerusalem-jmi-nc/" TargetMode="External"/><Relationship Id="rId15" Type="http://schemas.openxmlformats.org/officeDocument/2006/relationships/hyperlink" Target="https://www.ldbs.co.uk/schools/st-marks-jmi/" TargetMode="External"/><Relationship Id="rId23" Type="http://schemas.openxmlformats.org/officeDocument/2006/relationships/hyperlink" Target="https://www.ldbs.co.uk/schools/st-saviours-jmi-nc/" TargetMode="External"/><Relationship Id="rId28" Type="http://schemas.openxmlformats.org/officeDocument/2006/relationships/hyperlink" Target="https://www.ldbs.co.uk/schools/stepney-all-saints-secondary/" TargetMode="External"/><Relationship Id="rId36" Type="http://schemas.openxmlformats.org/officeDocument/2006/relationships/hyperlink" Target="http://www.theurswickschool.co.uk/" TargetMode="External"/><Relationship Id="rId49" Type="http://schemas.openxmlformats.org/officeDocument/2006/relationships/hyperlink" Target="http://www.spsl.towerhamlets.sch.uk/" TargetMode="External"/><Relationship Id="rId57" Type="http://schemas.openxmlformats.org/officeDocument/2006/relationships/printerSettings" Target="../printerSettings/printerSettings3.bin"/><Relationship Id="rId10" Type="http://schemas.openxmlformats.org/officeDocument/2006/relationships/hyperlink" Target="https://www.ldbs.co.uk/schools/clerkenwell-parochial-jmi/" TargetMode="External"/><Relationship Id="rId19" Type="http://schemas.openxmlformats.org/officeDocument/2006/relationships/hyperlink" Target="https://www.ldbs.co.uk/schools/st-johns-jmi-nc-5/" TargetMode="External"/><Relationship Id="rId31" Type="http://schemas.openxmlformats.org/officeDocument/2006/relationships/hyperlink" Target="http://www.spsm.hackney.sch.uk/" TargetMode="External"/><Relationship Id="rId44" Type="http://schemas.openxmlformats.org/officeDocument/2006/relationships/hyperlink" Target="http://www.stjohnsupperholloway.co.uk/" TargetMode="External"/><Relationship Id="rId52" Type="http://schemas.openxmlformats.org/officeDocument/2006/relationships/hyperlink" Target="http://christchurchprimarybricklane.org/" TargetMode="External"/><Relationship Id="rId4" Type="http://schemas.openxmlformats.org/officeDocument/2006/relationships/hyperlink" Target="https://www.ldbs.co.uk/schools/st-john-the-baptist-jmi-nc/" TargetMode="External"/><Relationship Id="rId9" Type="http://schemas.openxmlformats.org/officeDocument/2006/relationships/hyperlink" Target="https://www.ldbs.co.uk/schools/st-andrews-jmi-2/" TargetMode="External"/><Relationship Id="rId14" Type="http://schemas.openxmlformats.org/officeDocument/2006/relationships/hyperlink" Target="https://www.ldbs.co.uk/schools/st-jude-st-pauls-primary/" TargetMode="External"/><Relationship Id="rId22" Type="http://schemas.openxmlformats.org/officeDocument/2006/relationships/hyperlink" Target="https://www.ldbs.co.uk/schools/st-lukes-jmi-nc-2/" TargetMode="External"/><Relationship Id="rId27" Type="http://schemas.openxmlformats.org/officeDocument/2006/relationships/hyperlink" Target="https://www.ldbs.co.uk/schools/st-pauls-jmi-nc-4/" TargetMode="External"/><Relationship Id="rId30" Type="http://schemas.openxmlformats.org/officeDocument/2006/relationships/hyperlink" Target="http://www.johnjames.hackney.sch.uk/" TargetMode="External"/><Relationship Id="rId35" Type="http://schemas.openxmlformats.org/officeDocument/2006/relationships/hyperlink" Target="http://www.st-marys.hackney.sch.uk/" TargetMode="External"/><Relationship Id="rId43" Type="http://schemas.openxmlformats.org/officeDocument/2006/relationships/hyperlink" Target="http://www.st-marks.islington.sch.uk/" TargetMode="External"/><Relationship Id="rId48" Type="http://schemas.openxmlformats.org/officeDocument/2006/relationships/hyperlink" Target="http://www.stmatthiasschool.org.uk/" TargetMode="External"/><Relationship Id="rId56" Type="http://schemas.openxmlformats.org/officeDocument/2006/relationships/hyperlink" Target="https://stepneyallsaints.school/" TargetMode="External"/><Relationship Id="rId8" Type="http://schemas.openxmlformats.org/officeDocument/2006/relationships/hyperlink" Target="https://www.ldbs.co.uk/schools/the-urswick-secondary-school/" TargetMode="External"/><Relationship Id="rId51" Type="http://schemas.openxmlformats.org/officeDocument/2006/relationships/hyperlink" Target="http://www.st-saviours.towerhamlets.sch.uk/" TargetMode="External"/><Relationship Id="rId3" Type="http://schemas.openxmlformats.org/officeDocument/2006/relationships/hyperlink" Target="https://www.ldbs.co.uk/schools/st-pauls-with-st-michael-s-jmi-n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opLeftCell="A4" workbookViewId="0">
      <selection activeCell="D76" sqref="D76:N86"/>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67</v>
      </c>
      <c r="N1" s="20" t="s">
        <v>634</v>
      </c>
      <c r="O1" s="60">
        <v>44162</v>
      </c>
      <c r="P1" s="60"/>
    </row>
    <row r="8" spans="1:16" x14ac:dyDescent="0.25">
      <c r="D8" s="61" t="s">
        <v>635</v>
      </c>
      <c r="E8" s="62"/>
      <c r="F8" s="62"/>
      <c r="G8" s="62"/>
      <c r="H8" s="62"/>
      <c r="I8" s="62"/>
      <c r="J8" s="62"/>
      <c r="K8" s="62"/>
      <c r="L8" s="62"/>
      <c r="M8" s="62"/>
      <c r="N8" s="63"/>
    </row>
    <row r="9" spans="1:16" x14ac:dyDescent="0.25">
      <c r="A9" s="21"/>
    </row>
    <row r="10" spans="1:16" ht="15" customHeight="1" x14ac:dyDescent="0.25">
      <c r="A10" s="22"/>
      <c r="D10" s="64" t="s">
        <v>3479</v>
      </c>
      <c r="E10" s="65"/>
      <c r="F10" s="65"/>
      <c r="G10" s="65"/>
      <c r="H10" s="65"/>
      <c r="I10" s="65"/>
      <c r="J10" s="65"/>
      <c r="K10" s="65"/>
      <c r="L10" s="65"/>
      <c r="M10" s="65"/>
      <c r="N10" s="66"/>
      <c r="P10" s="73" t="s">
        <v>3396</v>
      </c>
    </row>
    <row r="11" spans="1:16" x14ac:dyDescent="0.25">
      <c r="D11" s="67"/>
      <c r="E11" s="68"/>
      <c r="F11" s="68"/>
      <c r="G11" s="68"/>
      <c r="H11" s="68"/>
      <c r="I11" s="68"/>
      <c r="J11" s="68"/>
      <c r="K11" s="68"/>
      <c r="L11" s="68"/>
      <c r="M11" s="68"/>
      <c r="N11" s="69"/>
      <c r="P11" s="74"/>
    </row>
    <row r="12" spans="1:16" x14ac:dyDescent="0.25">
      <c r="D12" s="67"/>
      <c r="E12" s="68"/>
      <c r="F12" s="68"/>
      <c r="G12" s="68"/>
      <c r="H12" s="68"/>
      <c r="I12" s="68"/>
      <c r="J12" s="68"/>
      <c r="K12" s="68"/>
      <c r="L12" s="68"/>
      <c r="M12" s="68"/>
      <c r="N12" s="69"/>
      <c r="P12" s="74"/>
    </row>
    <row r="13" spans="1:16" x14ac:dyDescent="0.25">
      <c r="D13" s="67"/>
      <c r="E13" s="68"/>
      <c r="F13" s="68"/>
      <c r="G13" s="68"/>
      <c r="H13" s="68"/>
      <c r="I13" s="68"/>
      <c r="J13" s="68"/>
      <c r="K13" s="68"/>
      <c r="L13" s="68"/>
      <c r="M13" s="68"/>
      <c r="N13" s="69"/>
      <c r="P13" s="74"/>
    </row>
    <row r="14" spans="1:16" x14ac:dyDescent="0.25">
      <c r="D14" s="67"/>
      <c r="E14" s="68"/>
      <c r="F14" s="68"/>
      <c r="G14" s="68"/>
      <c r="H14" s="68"/>
      <c r="I14" s="68"/>
      <c r="J14" s="68"/>
      <c r="K14" s="68"/>
      <c r="L14" s="68"/>
      <c r="M14" s="68"/>
      <c r="N14" s="69"/>
      <c r="P14" s="74"/>
    </row>
    <row r="15" spans="1:16" x14ac:dyDescent="0.25">
      <c r="D15" s="67"/>
      <c r="E15" s="68"/>
      <c r="F15" s="68"/>
      <c r="G15" s="68"/>
      <c r="H15" s="68"/>
      <c r="I15" s="68"/>
      <c r="J15" s="68"/>
      <c r="K15" s="68"/>
      <c r="L15" s="68"/>
      <c r="M15" s="68"/>
      <c r="N15" s="69"/>
      <c r="P15" s="74"/>
    </row>
    <row r="16" spans="1:16" x14ac:dyDescent="0.25">
      <c r="D16" s="67"/>
      <c r="E16" s="68"/>
      <c r="F16" s="68"/>
      <c r="G16" s="68"/>
      <c r="H16" s="68"/>
      <c r="I16" s="68"/>
      <c r="J16" s="68"/>
      <c r="K16" s="68"/>
      <c r="L16" s="68"/>
      <c r="M16" s="68"/>
      <c r="N16" s="69"/>
      <c r="P16" s="74"/>
    </row>
    <row r="17" spans="4:16" x14ac:dyDescent="0.25">
      <c r="D17" s="67"/>
      <c r="E17" s="68"/>
      <c r="F17" s="68"/>
      <c r="G17" s="68"/>
      <c r="H17" s="68"/>
      <c r="I17" s="68"/>
      <c r="J17" s="68"/>
      <c r="K17" s="68"/>
      <c r="L17" s="68"/>
      <c r="M17" s="68"/>
      <c r="N17" s="69"/>
      <c r="P17" s="74"/>
    </row>
    <row r="18" spans="4:16" x14ac:dyDescent="0.25">
      <c r="D18" s="67"/>
      <c r="E18" s="68"/>
      <c r="F18" s="68"/>
      <c r="G18" s="68"/>
      <c r="H18" s="68"/>
      <c r="I18" s="68"/>
      <c r="J18" s="68"/>
      <c r="K18" s="68"/>
      <c r="L18" s="68"/>
      <c r="M18" s="68"/>
      <c r="N18" s="69"/>
      <c r="P18" s="74"/>
    </row>
    <row r="19" spans="4:16" x14ac:dyDescent="0.25">
      <c r="D19" s="67"/>
      <c r="E19" s="68"/>
      <c r="F19" s="68"/>
      <c r="G19" s="68"/>
      <c r="H19" s="68"/>
      <c r="I19" s="68"/>
      <c r="J19" s="68"/>
      <c r="K19" s="68"/>
      <c r="L19" s="68"/>
      <c r="M19" s="68"/>
      <c r="N19" s="69"/>
      <c r="P19" s="74"/>
    </row>
    <row r="20" spans="4:16" x14ac:dyDescent="0.25">
      <c r="D20" s="67"/>
      <c r="E20" s="68"/>
      <c r="F20" s="68"/>
      <c r="G20" s="68"/>
      <c r="H20" s="68"/>
      <c r="I20" s="68"/>
      <c r="J20" s="68"/>
      <c r="K20" s="68"/>
      <c r="L20" s="68"/>
      <c r="M20" s="68"/>
      <c r="N20" s="69"/>
      <c r="P20" s="74"/>
    </row>
    <row r="21" spans="4:16" x14ac:dyDescent="0.25">
      <c r="D21" s="67"/>
      <c r="E21" s="68"/>
      <c r="F21" s="68"/>
      <c r="G21" s="68"/>
      <c r="H21" s="68"/>
      <c r="I21" s="68"/>
      <c r="J21" s="68"/>
      <c r="K21" s="68"/>
      <c r="L21" s="68"/>
      <c r="M21" s="68"/>
      <c r="N21" s="69"/>
      <c r="P21" s="74"/>
    </row>
    <row r="22" spans="4:16" x14ac:dyDescent="0.25">
      <c r="D22" s="67"/>
      <c r="E22" s="68"/>
      <c r="F22" s="68"/>
      <c r="G22" s="68"/>
      <c r="H22" s="68"/>
      <c r="I22" s="68"/>
      <c r="J22" s="68"/>
      <c r="K22" s="68"/>
      <c r="L22" s="68"/>
      <c r="M22" s="68"/>
      <c r="N22" s="69"/>
      <c r="P22" s="74"/>
    </row>
    <row r="23" spans="4:16" x14ac:dyDescent="0.25">
      <c r="D23" s="67"/>
      <c r="E23" s="68"/>
      <c r="F23" s="68"/>
      <c r="G23" s="68"/>
      <c r="H23" s="68"/>
      <c r="I23" s="68"/>
      <c r="J23" s="68"/>
      <c r="K23" s="68"/>
      <c r="L23" s="68"/>
      <c r="M23" s="68"/>
      <c r="N23" s="69"/>
      <c r="P23" s="74"/>
    </row>
    <row r="24" spans="4:16" x14ac:dyDescent="0.25">
      <c r="D24" s="67"/>
      <c r="E24" s="68"/>
      <c r="F24" s="68"/>
      <c r="G24" s="68"/>
      <c r="H24" s="68"/>
      <c r="I24" s="68"/>
      <c r="J24" s="68"/>
      <c r="K24" s="68"/>
      <c r="L24" s="68"/>
      <c r="M24" s="68"/>
      <c r="N24" s="69"/>
      <c r="P24" s="74"/>
    </row>
    <row r="25" spans="4:16" x14ac:dyDescent="0.25">
      <c r="D25" s="67"/>
      <c r="E25" s="68"/>
      <c r="F25" s="68"/>
      <c r="G25" s="68"/>
      <c r="H25" s="68"/>
      <c r="I25" s="68"/>
      <c r="J25" s="68"/>
      <c r="K25" s="68"/>
      <c r="L25" s="68"/>
      <c r="M25" s="68"/>
      <c r="N25" s="69"/>
      <c r="P25" s="74"/>
    </row>
    <row r="26" spans="4:16" x14ac:dyDescent="0.25">
      <c r="D26" s="67"/>
      <c r="E26" s="68"/>
      <c r="F26" s="68"/>
      <c r="G26" s="68"/>
      <c r="H26" s="68"/>
      <c r="I26" s="68"/>
      <c r="J26" s="68"/>
      <c r="K26" s="68"/>
      <c r="L26" s="68"/>
      <c r="M26" s="68"/>
      <c r="N26" s="69"/>
      <c r="P26" s="74"/>
    </row>
    <row r="27" spans="4:16" x14ac:dyDescent="0.25">
      <c r="D27" s="67"/>
      <c r="E27" s="68"/>
      <c r="F27" s="68"/>
      <c r="G27" s="68"/>
      <c r="H27" s="68"/>
      <c r="I27" s="68"/>
      <c r="J27" s="68"/>
      <c r="K27" s="68"/>
      <c r="L27" s="68"/>
      <c r="M27" s="68"/>
      <c r="N27" s="69"/>
      <c r="P27" s="74"/>
    </row>
    <row r="28" spans="4:16" x14ac:dyDescent="0.25">
      <c r="D28" s="67"/>
      <c r="E28" s="68"/>
      <c r="F28" s="68"/>
      <c r="G28" s="68"/>
      <c r="H28" s="68"/>
      <c r="I28" s="68"/>
      <c r="J28" s="68"/>
      <c r="K28" s="68"/>
      <c r="L28" s="68"/>
      <c r="M28" s="68"/>
      <c r="N28" s="69"/>
      <c r="P28" s="74"/>
    </row>
    <row r="29" spans="4:16" x14ac:dyDescent="0.25">
      <c r="D29" s="67"/>
      <c r="E29" s="68"/>
      <c r="F29" s="68"/>
      <c r="G29" s="68"/>
      <c r="H29" s="68"/>
      <c r="I29" s="68"/>
      <c r="J29" s="68"/>
      <c r="K29" s="68"/>
      <c r="L29" s="68"/>
      <c r="M29" s="68"/>
      <c r="N29" s="69"/>
      <c r="P29" s="74"/>
    </row>
    <row r="30" spans="4:16" x14ac:dyDescent="0.25">
      <c r="D30" s="67"/>
      <c r="E30" s="68"/>
      <c r="F30" s="68"/>
      <c r="G30" s="68"/>
      <c r="H30" s="68"/>
      <c r="I30" s="68"/>
      <c r="J30" s="68"/>
      <c r="K30" s="68"/>
      <c r="L30" s="68"/>
      <c r="M30" s="68"/>
      <c r="N30" s="69"/>
      <c r="P30" s="74"/>
    </row>
    <row r="31" spans="4:16" x14ac:dyDescent="0.25">
      <c r="D31" s="67"/>
      <c r="E31" s="68"/>
      <c r="F31" s="68"/>
      <c r="G31" s="68"/>
      <c r="H31" s="68"/>
      <c r="I31" s="68"/>
      <c r="J31" s="68"/>
      <c r="K31" s="68"/>
      <c r="L31" s="68"/>
      <c r="M31" s="68"/>
      <c r="N31" s="69"/>
      <c r="P31" s="74"/>
    </row>
    <row r="32" spans="4:16" x14ac:dyDescent="0.25">
      <c r="D32" s="70"/>
      <c r="E32" s="71"/>
      <c r="F32" s="71"/>
      <c r="G32" s="71"/>
      <c r="H32" s="71"/>
      <c r="I32" s="71"/>
      <c r="J32" s="71"/>
      <c r="K32" s="71"/>
      <c r="L32" s="71"/>
      <c r="M32" s="71"/>
      <c r="N32" s="72"/>
      <c r="P32" s="75"/>
    </row>
    <row r="34" spans="4:16" ht="15" customHeight="1" x14ac:dyDescent="0.25">
      <c r="D34" s="64" t="s">
        <v>3497</v>
      </c>
      <c r="E34" s="65"/>
      <c r="F34" s="65"/>
      <c r="G34" s="65"/>
      <c r="H34" s="65"/>
      <c r="I34" s="65"/>
      <c r="J34" s="65"/>
      <c r="K34" s="65"/>
      <c r="L34" s="65"/>
      <c r="M34" s="65"/>
      <c r="N34" s="66"/>
      <c r="P34" s="73" t="s">
        <v>3395</v>
      </c>
    </row>
    <row r="35" spans="4:16" x14ac:dyDescent="0.25">
      <c r="D35" s="67"/>
      <c r="E35" s="68"/>
      <c r="F35" s="68"/>
      <c r="G35" s="68"/>
      <c r="H35" s="68"/>
      <c r="I35" s="68"/>
      <c r="J35" s="68"/>
      <c r="K35" s="68"/>
      <c r="L35" s="68"/>
      <c r="M35" s="68"/>
      <c r="N35" s="69"/>
      <c r="P35" s="74"/>
    </row>
    <row r="36" spans="4:16" x14ac:dyDescent="0.25">
      <c r="D36" s="67"/>
      <c r="E36" s="68"/>
      <c r="F36" s="68"/>
      <c r="G36" s="68"/>
      <c r="H36" s="68"/>
      <c r="I36" s="68"/>
      <c r="J36" s="68"/>
      <c r="K36" s="68"/>
      <c r="L36" s="68"/>
      <c r="M36" s="68"/>
      <c r="N36" s="69"/>
      <c r="P36" s="74"/>
    </row>
    <row r="37" spans="4:16" x14ac:dyDescent="0.25">
      <c r="D37" s="67"/>
      <c r="E37" s="68"/>
      <c r="F37" s="68"/>
      <c r="G37" s="68"/>
      <c r="H37" s="68"/>
      <c r="I37" s="68"/>
      <c r="J37" s="68"/>
      <c r="K37" s="68"/>
      <c r="L37" s="68"/>
      <c r="M37" s="68"/>
      <c r="N37" s="69"/>
      <c r="P37" s="74"/>
    </row>
    <row r="38" spans="4:16" x14ac:dyDescent="0.25">
      <c r="D38" s="67"/>
      <c r="E38" s="68"/>
      <c r="F38" s="68"/>
      <c r="G38" s="68"/>
      <c r="H38" s="68"/>
      <c r="I38" s="68"/>
      <c r="J38" s="68"/>
      <c r="K38" s="68"/>
      <c r="L38" s="68"/>
      <c r="M38" s="68"/>
      <c r="N38" s="69"/>
      <c r="P38" s="74"/>
    </row>
    <row r="39" spans="4:16" x14ac:dyDescent="0.25">
      <c r="D39" s="67"/>
      <c r="E39" s="68"/>
      <c r="F39" s="68"/>
      <c r="G39" s="68"/>
      <c r="H39" s="68"/>
      <c r="I39" s="68"/>
      <c r="J39" s="68"/>
      <c r="K39" s="68"/>
      <c r="L39" s="68"/>
      <c r="M39" s="68"/>
      <c r="N39" s="69"/>
      <c r="P39" s="74"/>
    </row>
    <row r="40" spans="4:16" x14ac:dyDescent="0.25">
      <c r="D40" s="67"/>
      <c r="E40" s="68"/>
      <c r="F40" s="68"/>
      <c r="G40" s="68"/>
      <c r="H40" s="68"/>
      <c r="I40" s="68"/>
      <c r="J40" s="68"/>
      <c r="K40" s="68"/>
      <c r="L40" s="68"/>
      <c r="M40" s="68"/>
      <c r="N40" s="69"/>
      <c r="P40" s="74"/>
    </row>
    <row r="41" spans="4:16" x14ac:dyDescent="0.25">
      <c r="D41" s="67"/>
      <c r="E41" s="68"/>
      <c r="F41" s="68"/>
      <c r="G41" s="68"/>
      <c r="H41" s="68"/>
      <c r="I41" s="68"/>
      <c r="J41" s="68"/>
      <c r="K41" s="68"/>
      <c r="L41" s="68"/>
      <c r="M41" s="68"/>
      <c r="N41" s="69"/>
      <c r="P41" s="74"/>
    </row>
    <row r="42" spans="4:16" x14ac:dyDescent="0.25">
      <c r="D42" s="67"/>
      <c r="E42" s="68"/>
      <c r="F42" s="68"/>
      <c r="G42" s="68"/>
      <c r="H42" s="68"/>
      <c r="I42" s="68"/>
      <c r="J42" s="68"/>
      <c r="K42" s="68"/>
      <c r="L42" s="68"/>
      <c r="M42" s="68"/>
      <c r="N42" s="69"/>
      <c r="P42" s="74"/>
    </row>
    <row r="43" spans="4:16" x14ac:dyDescent="0.25">
      <c r="D43" s="67"/>
      <c r="E43" s="68"/>
      <c r="F43" s="68"/>
      <c r="G43" s="68"/>
      <c r="H43" s="68"/>
      <c r="I43" s="68"/>
      <c r="J43" s="68"/>
      <c r="K43" s="68"/>
      <c r="L43" s="68"/>
      <c r="M43" s="68"/>
      <c r="N43" s="69"/>
      <c r="P43" s="74"/>
    </row>
    <row r="44" spans="4:16" x14ac:dyDescent="0.25">
      <c r="D44" s="67"/>
      <c r="E44" s="68"/>
      <c r="F44" s="68"/>
      <c r="G44" s="68"/>
      <c r="H44" s="68"/>
      <c r="I44" s="68"/>
      <c r="J44" s="68"/>
      <c r="K44" s="68"/>
      <c r="L44" s="68"/>
      <c r="M44" s="68"/>
      <c r="N44" s="69"/>
      <c r="P44" s="74"/>
    </row>
    <row r="45" spans="4:16" x14ac:dyDescent="0.25">
      <c r="D45" s="67"/>
      <c r="E45" s="68"/>
      <c r="F45" s="68"/>
      <c r="G45" s="68"/>
      <c r="H45" s="68"/>
      <c r="I45" s="68"/>
      <c r="J45" s="68"/>
      <c r="K45" s="68"/>
      <c r="L45" s="68"/>
      <c r="M45" s="68"/>
      <c r="N45" s="69"/>
      <c r="P45" s="74"/>
    </row>
    <row r="46" spans="4:16" x14ac:dyDescent="0.25">
      <c r="D46" s="67"/>
      <c r="E46" s="68"/>
      <c r="F46" s="68"/>
      <c r="G46" s="68"/>
      <c r="H46" s="68"/>
      <c r="I46" s="68"/>
      <c r="J46" s="68"/>
      <c r="K46" s="68"/>
      <c r="L46" s="68"/>
      <c r="M46" s="68"/>
      <c r="N46" s="69"/>
      <c r="P46" s="74"/>
    </row>
    <row r="47" spans="4:16" x14ac:dyDescent="0.25">
      <c r="D47" s="67"/>
      <c r="E47" s="68"/>
      <c r="F47" s="68"/>
      <c r="G47" s="68"/>
      <c r="H47" s="68"/>
      <c r="I47" s="68"/>
      <c r="J47" s="68"/>
      <c r="K47" s="68"/>
      <c r="L47" s="68"/>
      <c r="M47" s="68"/>
      <c r="N47" s="69"/>
      <c r="P47" s="74"/>
    </row>
    <row r="48" spans="4:16" x14ac:dyDescent="0.25">
      <c r="D48" s="67"/>
      <c r="E48" s="68"/>
      <c r="F48" s="68"/>
      <c r="G48" s="68"/>
      <c r="H48" s="68"/>
      <c r="I48" s="68"/>
      <c r="J48" s="68"/>
      <c r="K48" s="68"/>
      <c r="L48" s="68"/>
      <c r="M48" s="68"/>
      <c r="N48" s="69"/>
      <c r="P48" s="74"/>
    </row>
    <row r="49" spans="4:16" x14ac:dyDescent="0.25">
      <c r="D49" s="67"/>
      <c r="E49" s="68"/>
      <c r="F49" s="68"/>
      <c r="G49" s="68"/>
      <c r="H49" s="68"/>
      <c r="I49" s="68"/>
      <c r="J49" s="68"/>
      <c r="K49" s="68"/>
      <c r="L49" s="68"/>
      <c r="M49" s="68"/>
      <c r="N49" s="69"/>
      <c r="P49" s="74"/>
    </row>
    <row r="50" spans="4:16" x14ac:dyDescent="0.25">
      <c r="D50" s="67"/>
      <c r="E50" s="68"/>
      <c r="F50" s="68"/>
      <c r="G50" s="68"/>
      <c r="H50" s="68"/>
      <c r="I50" s="68"/>
      <c r="J50" s="68"/>
      <c r="K50" s="68"/>
      <c r="L50" s="68"/>
      <c r="M50" s="68"/>
      <c r="N50" s="69"/>
      <c r="P50" s="74"/>
    </row>
    <row r="51" spans="4:16" x14ac:dyDescent="0.25">
      <c r="D51" s="67"/>
      <c r="E51" s="68"/>
      <c r="F51" s="68"/>
      <c r="G51" s="68"/>
      <c r="H51" s="68"/>
      <c r="I51" s="68"/>
      <c r="J51" s="68"/>
      <c r="K51" s="68"/>
      <c r="L51" s="68"/>
      <c r="M51" s="68"/>
      <c r="N51" s="69"/>
      <c r="P51" s="74"/>
    </row>
    <row r="52" spans="4:16" x14ac:dyDescent="0.25">
      <c r="D52" s="67"/>
      <c r="E52" s="68"/>
      <c r="F52" s="68"/>
      <c r="G52" s="68"/>
      <c r="H52" s="68"/>
      <c r="I52" s="68"/>
      <c r="J52" s="68"/>
      <c r="K52" s="68"/>
      <c r="L52" s="68"/>
      <c r="M52" s="68"/>
      <c r="N52" s="69"/>
      <c r="P52" s="74"/>
    </row>
    <row r="53" spans="4:16" x14ac:dyDescent="0.25">
      <c r="D53" s="67"/>
      <c r="E53" s="68"/>
      <c r="F53" s="68"/>
      <c r="G53" s="68"/>
      <c r="H53" s="68"/>
      <c r="I53" s="68"/>
      <c r="J53" s="68"/>
      <c r="K53" s="68"/>
      <c r="L53" s="68"/>
      <c r="M53" s="68"/>
      <c r="N53" s="69"/>
      <c r="P53" s="74"/>
    </row>
    <row r="54" spans="4:16" x14ac:dyDescent="0.25">
      <c r="D54" s="67"/>
      <c r="E54" s="68"/>
      <c r="F54" s="68"/>
      <c r="G54" s="68"/>
      <c r="H54" s="68"/>
      <c r="I54" s="68"/>
      <c r="J54" s="68"/>
      <c r="K54" s="68"/>
      <c r="L54" s="68"/>
      <c r="M54" s="68"/>
      <c r="N54" s="69"/>
      <c r="P54" s="74"/>
    </row>
    <row r="55" spans="4:16" x14ac:dyDescent="0.25">
      <c r="D55" s="67"/>
      <c r="E55" s="68"/>
      <c r="F55" s="68"/>
      <c r="G55" s="68"/>
      <c r="H55" s="68"/>
      <c r="I55" s="68"/>
      <c r="J55" s="68"/>
      <c r="K55" s="68"/>
      <c r="L55" s="68"/>
      <c r="M55" s="68"/>
      <c r="N55" s="69"/>
      <c r="P55" s="74"/>
    </row>
    <row r="56" spans="4:16" x14ac:dyDescent="0.25">
      <c r="D56" s="67"/>
      <c r="E56" s="68"/>
      <c r="F56" s="68"/>
      <c r="G56" s="68"/>
      <c r="H56" s="68"/>
      <c r="I56" s="68"/>
      <c r="J56" s="68"/>
      <c r="K56" s="68"/>
      <c r="L56" s="68"/>
      <c r="M56" s="68"/>
      <c r="N56" s="69"/>
      <c r="P56" s="74"/>
    </row>
    <row r="57" spans="4:16" x14ac:dyDescent="0.25">
      <c r="D57" s="67"/>
      <c r="E57" s="68"/>
      <c r="F57" s="68"/>
      <c r="G57" s="68"/>
      <c r="H57" s="68"/>
      <c r="I57" s="68"/>
      <c r="J57" s="68"/>
      <c r="K57" s="68"/>
      <c r="L57" s="68"/>
      <c r="M57" s="68"/>
      <c r="N57" s="69"/>
      <c r="P57" s="74"/>
    </row>
    <row r="58" spans="4:16" x14ac:dyDescent="0.25">
      <c r="D58" s="67"/>
      <c r="E58" s="68"/>
      <c r="F58" s="68"/>
      <c r="G58" s="68"/>
      <c r="H58" s="68"/>
      <c r="I58" s="68"/>
      <c r="J58" s="68"/>
      <c r="K58" s="68"/>
      <c r="L58" s="68"/>
      <c r="M58" s="68"/>
      <c r="N58" s="69"/>
      <c r="P58" s="74"/>
    </row>
    <row r="59" spans="4:16" x14ac:dyDescent="0.25">
      <c r="D59" s="67"/>
      <c r="E59" s="68"/>
      <c r="F59" s="68"/>
      <c r="G59" s="68"/>
      <c r="H59" s="68"/>
      <c r="I59" s="68"/>
      <c r="J59" s="68"/>
      <c r="K59" s="68"/>
      <c r="L59" s="68"/>
      <c r="M59" s="68"/>
      <c r="N59" s="69"/>
      <c r="P59" s="74"/>
    </row>
    <row r="60" spans="4:16" x14ac:dyDescent="0.25">
      <c r="D60" s="67"/>
      <c r="E60" s="68"/>
      <c r="F60" s="68"/>
      <c r="G60" s="68"/>
      <c r="H60" s="68"/>
      <c r="I60" s="68"/>
      <c r="J60" s="68"/>
      <c r="K60" s="68"/>
      <c r="L60" s="68"/>
      <c r="M60" s="68"/>
      <c r="N60" s="69"/>
      <c r="P60" s="74"/>
    </row>
    <row r="61" spans="4:16" x14ac:dyDescent="0.25">
      <c r="D61" s="67"/>
      <c r="E61" s="68"/>
      <c r="F61" s="68"/>
      <c r="G61" s="68"/>
      <c r="H61" s="68"/>
      <c r="I61" s="68"/>
      <c r="J61" s="68"/>
      <c r="K61" s="68"/>
      <c r="L61" s="68"/>
      <c r="M61" s="68"/>
      <c r="N61" s="69"/>
      <c r="P61" s="74"/>
    </row>
    <row r="62" spans="4:16" x14ac:dyDescent="0.25">
      <c r="D62" s="67"/>
      <c r="E62" s="68"/>
      <c r="F62" s="68"/>
      <c r="G62" s="68"/>
      <c r="H62" s="68"/>
      <c r="I62" s="68"/>
      <c r="J62" s="68"/>
      <c r="K62" s="68"/>
      <c r="L62" s="68"/>
      <c r="M62" s="68"/>
      <c r="N62" s="69"/>
      <c r="P62" s="74"/>
    </row>
    <row r="63" spans="4:16" x14ac:dyDescent="0.25">
      <c r="D63" s="67"/>
      <c r="E63" s="68"/>
      <c r="F63" s="68"/>
      <c r="G63" s="68"/>
      <c r="H63" s="68"/>
      <c r="I63" s="68"/>
      <c r="J63" s="68"/>
      <c r="K63" s="68"/>
      <c r="L63" s="68"/>
      <c r="M63" s="68"/>
      <c r="N63" s="69"/>
      <c r="P63" s="74"/>
    </row>
    <row r="64" spans="4:16" x14ac:dyDescent="0.25">
      <c r="D64" s="67"/>
      <c r="E64" s="68"/>
      <c r="F64" s="68"/>
      <c r="G64" s="68"/>
      <c r="H64" s="68"/>
      <c r="I64" s="68"/>
      <c r="J64" s="68"/>
      <c r="K64" s="68"/>
      <c r="L64" s="68"/>
      <c r="M64" s="68"/>
      <c r="N64" s="69"/>
      <c r="P64" s="74"/>
    </row>
    <row r="65" spans="4:16" x14ac:dyDescent="0.25">
      <c r="D65" s="67"/>
      <c r="E65" s="68"/>
      <c r="F65" s="68"/>
      <c r="G65" s="68"/>
      <c r="H65" s="68"/>
      <c r="I65" s="68"/>
      <c r="J65" s="68"/>
      <c r="K65" s="68"/>
      <c r="L65" s="68"/>
      <c r="M65" s="68"/>
      <c r="N65" s="69"/>
      <c r="P65" s="74"/>
    </row>
    <row r="66" spans="4:16" x14ac:dyDescent="0.25">
      <c r="D66" s="67"/>
      <c r="E66" s="68"/>
      <c r="F66" s="68"/>
      <c r="G66" s="68"/>
      <c r="H66" s="68"/>
      <c r="I66" s="68"/>
      <c r="J66" s="68"/>
      <c r="K66" s="68"/>
      <c r="L66" s="68"/>
      <c r="M66" s="68"/>
      <c r="N66" s="69"/>
      <c r="P66" s="74"/>
    </row>
    <row r="67" spans="4:16" x14ac:dyDescent="0.25">
      <c r="D67" s="67"/>
      <c r="E67" s="68"/>
      <c r="F67" s="68"/>
      <c r="G67" s="68"/>
      <c r="H67" s="68"/>
      <c r="I67" s="68"/>
      <c r="J67" s="68"/>
      <c r="K67" s="68"/>
      <c r="L67" s="68"/>
      <c r="M67" s="68"/>
      <c r="N67" s="69"/>
      <c r="P67" s="74"/>
    </row>
    <row r="68" spans="4:16" x14ac:dyDescent="0.25">
      <c r="D68" s="67"/>
      <c r="E68" s="68"/>
      <c r="F68" s="68"/>
      <c r="G68" s="68"/>
      <c r="H68" s="68"/>
      <c r="I68" s="68"/>
      <c r="J68" s="68"/>
      <c r="K68" s="68"/>
      <c r="L68" s="68"/>
      <c r="M68" s="68"/>
      <c r="N68" s="69"/>
      <c r="P68" s="74"/>
    </row>
    <row r="69" spans="4:16" x14ac:dyDescent="0.25">
      <c r="D69" s="67"/>
      <c r="E69" s="68"/>
      <c r="F69" s="68"/>
      <c r="G69" s="68"/>
      <c r="H69" s="68"/>
      <c r="I69" s="68"/>
      <c r="J69" s="68"/>
      <c r="K69" s="68"/>
      <c r="L69" s="68"/>
      <c r="M69" s="68"/>
      <c r="N69" s="69"/>
      <c r="P69" s="74"/>
    </row>
    <row r="70" spans="4:16" x14ac:dyDescent="0.25">
      <c r="D70" s="67"/>
      <c r="E70" s="68"/>
      <c r="F70" s="68"/>
      <c r="G70" s="68"/>
      <c r="H70" s="68"/>
      <c r="I70" s="68"/>
      <c r="J70" s="68"/>
      <c r="K70" s="68"/>
      <c r="L70" s="68"/>
      <c r="M70" s="68"/>
      <c r="N70" s="69"/>
      <c r="P70" s="74"/>
    </row>
    <row r="71" spans="4:16" x14ac:dyDescent="0.25">
      <c r="D71" s="67"/>
      <c r="E71" s="68"/>
      <c r="F71" s="68"/>
      <c r="G71" s="68"/>
      <c r="H71" s="68"/>
      <c r="I71" s="68"/>
      <c r="J71" s="68"/>
      <c r="K71" s="68"/>
      <c r="L71" s="68"/>
      <c r="M71" s="68"/>
      <c r="N71" s="69"/>
      <c r="P71" s="74"/>
    </row>
    <row r="72" spans="4:16" x14ac:dyDescent="0.25">
      <c r="D72" s="67"/>
      <c r="E72" s="68"/>
      <c r="F72" s="68"/>
      <c r="G72" s="68"/>
      <c r="H72" s="68"/>
      <c r="I72" s="68"/>
      <c r="J72" s="68"/>
      <c r="K72" s="68"/>
      <c r="L72" s="68"/>
      <c r="M72" s="68"/>
      <c r="N72" s="69"/>
      <c r="P72" s="74"/>
    </row>
    <row r="73" spans="4:16" x14ac:dyDescent="0.25">
      <c r="D73" s="67"/>
      <c r="E73" s="68"/>
      <c r="F73" s="68"/>
      <c r="G73" s="68"/>
      <c r="H73" s="68"/>
      <c r="I73" s="68"/>
      <c r="J73" s="68"/>
      <c r="K73" s="68"/>
      <c r="L73" s="68"/>
      <c r="M73" s="68"/>
      <c r="N73" s="69"/>
      <c r="P73" s="74"/>
    </row>
    <row r="74" spans="4:16" x14ac:dyDescent="0.25">
      <c r="D74" s="70"/>
      <c r="E74" s="71"/>
      <c r="F74" s="71"/>
      <c r="G74" s="71"/>
      <c r="H74" s="71"/>
      <c r="I74" s="71"/>
      <c r="J74" s="71"/>
      <c r="K74" s="71"/>
      <c r="L74" s="71"/>
      <c r="M74" s="71"/>
      <c r="N74" s="72"/>
      <c r="P74" s="75"/>
    </row>
    <row r="76" spans="4:16" ht="15" customHeight="1" x14ac:dyDescent="0.25">
      <c r="D76" s="64" t="s">
        <v>3397</v>
      </c>
      <c r="E76" s="65"/>
      <c r="F76" s="65"/>
      <c r="G76" s="65"/>
      <c r="H76" s="65"/>
      <c r="I76" s="65"/>
      <c r="J76" s="65"/>
      <c r="K76" s="65"/>
      <c r="L76" s="65"/>
      <c r="M76" s="65"/>
      <c r="N76" s="66"/>
    </row>
    <row r="77" spans="4:16" x14ac:dyDescent="0.25">
      <c r="D77" s="67"/>
      <c r="E77" s="68"/>
      <c r="F77" s="68"/>
      <c r="G77" s="68"/>
      <c r="H77" s="68"/>
      <c r="I77" s="68"/>
      <c r="J77" s="68"/>
      <c r="K77" s="68"/>
      <c r="L77" s="68"/>
      <c r="M77" s="68"/>
      <c r="N77" s="69"/>
    </row>
    <row r="78" spans="4:16" x14ac:dyDescent="0.25">
      <c r="D78" s="67"/>
      <c r="E78" s="68"/>
      <c r="F78" s="68"/>
      <c r="G78" s="68"/>
      <c r="H78" s="68"/>
      <c r="I78" s="68"/>
      <c r="J78" s="68"/>
      <c r="K78" s="68"/>
      <c r="L78" s="68"/>
      <c r="M78" s="68"/>
      <c r="N78" s="69"/>
    </row>
    <row r="79" spans="4:16" x14ac:dyDescent="0.25">
      <c r="D79" s="67"/>
      <c r="E79" s="68"/>
      <c r="F79" s="68"/>
      <c r="G79" s="68"/>
      <c r="H79" s="68"/>
      <c r="I79" s="68"/>
      <c r="J79" s="68"/>
      <c r="K79" s="68"/>
      <c r="L79" s="68"/>
      <c r="M79" s="68"/>
      <c r="N79" s="69"/>
    </row>
    <row r="80" spans="4:16" x14ac:dyDescent="0.25">
      <c r="D80" s="67"/>
      <c r="E80" s="68"/>
      <c r="F80" s="68"/>
      <c r="G80" s="68"/>
      <c r="H80" s="68"/>
      <c r="I80" s="68"/>
      <c r="J80" s="68"/>
      <c r="K80" s="68"/>
      <c r="L80" s="68"/>
      <c r="M80" s="68"/>
      <c r="N80" s="69"/>
    </row>
    <row r="81" spans="4:14" x14ac:dyDescent="0.25">
      <c r="D81" s="67"/>
      <c r="E81" s="68"/>
      <c r="F81" s="68"/>
      <c r="G81" s="68"/>
      <c r="H81" s="68"/>
      <c r="I81" s="68"/>
      <c r="J81" s="68"/>
      <c r="K81" s="68"/>
      <c r="L81" s="68"/>
      <c r="M81" s="68"/>
      <c r="N81" s="69"/>
    </row>
    <row r="82" spans="4:14" x14ac:dyDescent="0.25">
      <c r="D82" s="67"/>
      <c r="E82" s="68"/>
      <c r="F82" s="68"/>
      <c r="G82" s="68"/>
      <c r="H82" s="68"/>
      <c r="I82" s="68"/>
      <c r="J82" s="68"/>
      <c r="K82" s="68"/>
      <c r="L82" s="68"/>
      <c r="M82" s="68"/>
      <c r="N82" s="69"/>
    </row>
    <row r="83" spans="4:14" x14ac:dyDescent="0.25">
      <c r="D83" s="67"/>
      <c r="E83" s="68"/>
      <c r="F83" s="68"/>
      <c r="G83" s="68"/>
      <c r="H83" s="68"/>
      <c r="I83" s="68"/>
      <c r="J83" s="68"/>
      <c r="K83" s="68"/>
      <c r="L83" s="68"/>
      <c r="M83" s="68"/>
      <c r="N83" s="69"/>
    </row>
    <row r="84" spans="4:14" x14ac:dyDescent="0.25">
      <c r="D84" s="67"/>
      <c r="E84" s="68"/>
      <c r="F84" s="68"/>
      <c r="G84" s="68"/>
      <c r="H84" s="68"/>
      <c r="I84" s="68"/>
      <c r="J84" s="68"/>
      <c r="K84" s="68"/>
      <c r="L84" s="68"/>
      <c r="M84" s="68"/>
      <c r="N84" s="69"/>
    </row>
    <row r="85" spans="4:14" x14ac:dyDescent="0.25">
      <c r="D85" s="67"/>
      <c r="E85" s="68"/>
      <c r="F85" s="68"/>
      <c r="G85" s="68"/>
      <c r="H85" s="68"/>
      <c r="I85" s="68"/>
      <c r="J85" s="68"/>
      <c r="K85" s="68"/>
      <c r="L85" s="68"/>
      <c r="M85" s="68"/>
      <c r="N85" s="69"/>
    </row>
    <row r="86" spans="4:14" x14ac:dyDescent="0.25">
      <c r="D86" s="70"/>
      <c r="E86" s="71"/>
      <c r="F86" s="71"/>
      <c r="G86" s="71"/>
      <c r="H86" s="71"/>
      <c r="I86" s="71"/>
      <c r="J86" s="71"/>
      <c r="K86" s="71"/>
      <c r="L86" s="71"/>
      <c r="M86" s="71"/>
      <c r="N86" s="72"/>
    </row>
  </sheetData>
  <mergeCells count="7">
    <mergeCell ref="O1:P1"/>
    <mergeCell ref="D8:N8"/>
    <mergeCell ref="D76:N86"/>
    <mergeCell ref="D34:N74"/>
    <mergeCell ref="P34:P74"/>
    <mergeCell ref="D10:N32"/>
    <mergeCell ref="P10:P3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loadChurchData">
          <controlPr defaultSize="0" autoLine="0" autoPict="0" r:id="rId5">
            <anchor moveWithCells="1">
              <from>
                <xdr:col>3</xdr:col>
                <xdr:colOff>9525</xdr:colOff>
                <xdr:row>3</xdr:row>
                <xdr:rowOff>152400</xdr:rowOff>
              </from>
              <to>
                <xdr:col>5</xdr:col>
                <xdr:colOff>447675</xdr:colOff>
                <xdr:row>5</xdr:row>
                <xdr:rowOff>104775</xdr:rowOff>
              </to>
            </anchor>
          </controlPr>
        </control>
      </mc:Choice>
      <mc:Fallback>
        <control shapeId="2050" r:id="rId4" name="Btn_ReloadChurchData"/>
      </mc:Fallback>
    </mc:AlternateContent>
    <mc:AlternateContent xmlns:mc="http://schemas.openxmlformats.org/markup-compatibility/2006">
      <mc:Choice Requires="x14">
        <control shapeId="2049" r:id="rId6" name="Btn_GenerateJavascriptFiles">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JavascriptFiles"/>
      </mc:Fallback>
    </mc:AlternateContent>
    <mc:AlternateContent xmlns:mc="http://schemas.openxmlformats.org/markup-compatibility/2006">
      <mc:Choice Requires="x14">
        <control shapeId="2051" r:id="rId8" name="Btn_ReloadSchoolData">
          <controlPr defaultSize="0" autoLine="0" r:id="rId9">
            <anchor moveWithCells="1">
              <from>
                <xdr:col>5</xdr:col>
                <xdr:colOff>457200</xdr:colOff>
                <xdr:row>3</xdr:row>
                <xdr:rowOff>152400</xdr:rowOff>
              </from>
              <to>
                <xdr:col>8</xdr:col>
                <xdr:colOff>285750</xdr:colOff>
                <xdr:row>5</xdr:row>
                <xdr:rowOff>104775</xdr:rowOff>
              </to>
            </anchor>
          </controlPr>
        </control>
      </mc:Choice>
      <mc:Fallback>
        <control shapeId="2051" r:id="rId8" name="Btn_ReloadSchool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AJ80"/>
  <sheetViews>
    <sheetView workbookViewId="0">
      <pane xSplit="4" ySplit="1" topLeftCell="AA2" activePane="bottomRight" state="frozen"/>
      <selection pane="topRight" activeCell="C1" sqref="C1"/>
      <selection pane="bottomLeft" activeCell="A2" sqref="A2"/>
      <selection pane="bottomRight" activeCell="D57" sqref="D57:D58"/>
    </sheetView>
  </sheetViews>
  <sheetFormatPr defaultColWidth="13.85546875" defaultRowHeight="15" x14ac:dyDescent="0.25"/>
  <cols>
    <col min="1" max="1" width="18" style="15" customWidth="1"/>
    <col min="2" max="2" width="76.140625" style="17" customWidth="1"/>
    <col min="3" max="3" width="14" style="15" bestFit="1" customWidth="1"/>
    <col min="4" max="4" width="46.7109375" style="15" bestFit="1" customWidth="1"/>
    <col min="5" max="5" width="2.85546875" style="15" customWidth="1"/>
    <col min="6" max="6" width="10.85546875" style="36" bestFit="1" customWidth="1"/>
    <col min="7" max="7" width="2.85546875" style="15" customWidth="1"/>
    <col min="8" max="8" width="11.42578125" style="15" bestFit="1" customWidth="1"/>
    <col min="9" max="9" width="10.5703125" style="44" bestFit="1" customWidth="1"/>
    <col min="10" max="10" width="13.42578125" style="44" bestFit="1" customWidth="1"/>
    <col min="11" max="11" width="2.85546875" style="15" customWidth="1"/>
    <col min="12" max="12" width="14.42578125" style="29" bestFit="1" customWidth="1"/>
    <col min="13" max="13" width="2.85546875" style="15" customWidth="1"/>
    <col min="14" max="14" width="30.28515625" style="15" bestFit="1" customWidth="1"/>
    <col min="15" max="15" width="74.7109375" style="15" customWidth="1"/>
    <col min="16" max="16" width="2.85546875" style="15" customWidth="1"/>
    <col min="17" max="17" width="42.85546875" style="17" bestFit="1" customWidth="1"/>
    <col min="18" max="18" width="34.28515625" style="17" bestFit="1" customWidth="1"/>
    <col min="19" max="19" width="37.28515625" style="17" customWidth="1"/>
    <col min="20" max="20" width="26.5703125" style="17" customWidth="1"/>
    <col min="21" max="21" width="33" style="17" customWidth="1"/>
    <col min="22" max="22" width="59.140625" style="17" customWidth="1"/>
    <col min="23" max="23" width="2.85546875" style="15" customWidth="1"/>
    <col min="26" max="26" width="2.85546875" style="15" customWidth="1"/>
    <col min="27" max="27" width="5.85546875" style="15" bestFit="1" customWidth="1"/>
    <col min="28" max="28" width="17.140625" style="15" bestFit="1" customWidth="1"/>
    <col min="29" max="29" width="17.140625" style="15" customWidth="1"/>
    <col min="30" max="30" width="2.85546875" style="15" customWidth="1"/>
    <col min="31" max="32" width="19" style="37" customWidth="1"/>
    <col min="33" max="33" width="8.7109375" style="37" bestFit="1" customWidth="1"/>
    <col min="34" max="34" width="2.85546875" style="37" customWidth="1"/>
    <col min="35" max="35" width="66.5703125" style="37" bestFit="1" customWidth="1"/>
    <col min="36" max="36" width="35" style="15" customWidth="1"/>
    <col min="37" max="16384" width="13.85546875" style="15"/>
  </cols>
  <sheetData>
    <row r="1" spans="1:36" s="16" customFormat="1" x14ac:dyDescent="0.25">
      <c r="A1" s="16" t="s">
        <v>402</v>
      </c>
      <c r="B1" s="16" t="s">
        <v>403</v>
      </c>
      <c r="C1" s="16" t="s">
        <v>205</v>
      </c>
      <c r="D1" s="16" t="s">
        <v>668</v>
      </c>
      <c r="F1" s="16" t="s">
        <v>654</v>
      </c>
      <c r="H1" s="16" t="s">
        <v>196</v>
      </c>
      <c r="I1" s="58" t="s">
        <v>194</v>
      </c>
      <c r="J1" s="58" t="s">
        <v>195</v>
      </c>
      <c r="L1" s="16" t="s">
        <v>66</v>
      </c>
      <c r="N1" s="16" t="s">
        <v>630</v>
      </c>
      <c r="O1" s="16" t="s">
        <v>629</v>
      </c>
      <c r="Q1" s="16" t="s">
        <v>25</v>
      </c>
      <c r="R1" s="16" t="s">
        <v>631</v>
      </c>
      <c r="S1" s="16" t="s">
        <v>100</v>
      </c>
      <c r="T1" s="16" t="s">
        <v>68</v>
      </c>
      <c r="U1" s="16" t="s">
        <v>632</v>
      </c>
      <c r="V1" s="16" t="s">
        <v>638</v>
      </c>
      <c r="AA1" s="16" t="s">
        <v>640</v>
      </c>
      <c r="AB1" s="16" t="s">
        <v>641</v>
      </c>
      <c r="AC1" s="16" t="s">
        <v>647</v>
      </c>
      <c r="AE1" s="16" t="s">
        <v>485</v>
      </c>
      <c r="AF1" s="16" t="s">
        <v>3399</v>
      </c>
      <c r="AG1" s="16" t="s">
        <v>3398</v>
      </c>
      <c r="AI1" s="16" t="s">
        <v>3037</v>
      </c>
      <c r="AJ1" s="16" t="s">
        <v>3036</v>
      </c>
    </row>
    <row r="2" spans="1:36" s="35" customFormat="1" x14ac:dyDescent="0.25">
      <c r="A2" s="35" t="s">
        <v>409</v>
      </c>
      <c r="B2" s="45" t="s">
        <v>275</v>
      </c>
      <c r="C2" s="35" t="s">
        <v>26</v>
      </c>
      <c r="D2" s="35" t="s">
        <v>24</v>
      </c>
      <c r="F2" s="46"/>
      <c r="H2" s="35" t="s">
        <v>258</v>
      </c>
      <c r="I2" s="47">
        <v>51.5390852435048</v>
      </c>
      <c r="J2" s="47" t="s">
        <v>3400</v>
      </c>
      <c r="L2" s="35">
        <v>230</v>
      </c>
      <c r="N2" s="35" t="s">
        <v>69</v>
      </c>
      <c r="O2" s="35" t="s">
        <v>4</v>
      </c>
      <c r="R2" s="35" t="s">
        <v>69</v>
      </c>
      <c r="S2" s="45" t="s">
        <v>103</v>
      </c>
      <c r="T2" s="48" t="s">
        <v>69</v>
      </c>
      <c r="U2" s="45" t="s">
        <v>141</v>
      </c>
      <c r="V2" s="45" t="str">
        <f t="shared" ref="V2:V32" si="0">IF("" = I2, "", SUBSTITUTE(SUBSTITUTE(GoogleStreetViewLinkFormat, "$lat$", I2), "$long$", J2))</f>
        <v>https://www.google.co.uk/maps/search/?api=1&amp;query=51.5390852435048,-0.073378533</v>
      </c>
      <c r="AA2" s="35">
        <v>0</v>
      </c>
      <c r="AB2" s="35" t="s">
        <v>643</v>
      </c>
      <c r="AE2" s="49" t="s">
        <v>486</v>
      </c>
      <c r="AF2" s="49" t="str">
        <f>CalcSha(AE2)</f>
        <v>51C600ED46831EB9B1F0D7A8C929BB760F801B02</v>
      </c>
      <c r="AG2" s="49">
        <f ca="1">MATCH2(AE2,AE:AE) - 2</f>
        <v>0</v>
      </c>
      <c r="AH2" s="49"/>
      <c r="AI2" s="49"/>
    </row>
    <row r="3" spans="1:36" s="35" customFormat="1" x14ac:dyDescent="0.25">
      <c r="A3" s="35" t="s">
        <v>3042</v>
      </c>
      <c r="B3" s="45" t="s">
        <v>279</v>
      </c>
      <c r="C3" s="35" t="s">
        <v>26</v>
      </c>
      <c r="D3" s="35" t="s">
        <v>412</v>
      </c>
      <c r="F3" s="46"/>
      <c r="H3" s="35" t="s">
        <v>212</v>
      </c>
      <c r="I3" s="47">
        <v>51.555745230306499</v>
      </c>
      <c r="J3" s="47" t="s">
        <v>3401</v>
      </c>
      <c r="L3" s="35">
        <v>33</v>
      </c>
      <c r="N3" s="35" t="s">
        <v>69</v>
      </c>
      <c r="O3" s="35" t="s">
        <v>69</v>
      </c>
      <c r="Q3" s="50" t="s">
        <v>487</v>
      </c>
      <c r="R3" s="35" t="s">
        <v>69</v>
      </c>
      <c r="S3" s="35" t="s">
        <v>69</v>
      </c>
      <c r="T3" s="48" t="s">
        <v>69</v>
      </c>
      <c r="U3" s="48" t="s">
        <v>69</v>
      </c>
      <c r="V3" s="45" t="str">
        <f t="shared" si="0"/>
        <v>https://www.google.co.uk/maps/search/?api=1&amp;query=51.5557452303065,-0.041488479</v>
      </c>
      <c r="X3" s="51"/>
      <c r="Y3" s="51"/>
      <c r="AA3" s="35">
        <v>0</v>
      </c>
      <c r="AB3" s="35" t="s">
        <v>644</v>
      </c>
      <c r="AE3" s="49" t="s">
        <v>488</v>
      </c>
      <c r="AF3" s="49" t="str">
        <f t="shared" ref="AF3:AF66" si="1">CalcSha(AE3)</f>
        <v>BCF30BDDFA843689F55B65497F094B023BF02F37</v>
      </c>
      <c r="AG3" s="49">
        <f ca="1">MATCH2(AE3,AE:AE) - 2</f>
        <v>1</v>
      </c>
      <c r="AH3" s="49"/>
      <c r="AI3" s="49" t="s">
        <v>3039</v>
      </c>
    </row>
    <row r="4" spans="1:36" s="35" customFormat="1" x14ac:dyDescent="0.25">
      <c r="A4" s="35" t="s">
        <v>3043</v>
      </c>
      <c r="B4" s="45" t="s">
        <v>280</v>
      </c>
      <c r="C4" s="35" t="s">
        <v>26</v>
      </c>
      <c r="D4" s="35" t="s">
        <v>413</v>
      </c>
      <c r="F4" s="46"/>
      <c r="H4" s="35" t="s">
        <v>489</v>
      </c>
      <c r="I4" s="47">
        <v>51.550402523279097</v>
      </c>
      <c r="J4" s="47" t="s">
        <v>3402</v>
      </c>
      <c r="L4" s="35">
        <v>26</v>
      </c>
      <c r="N4" s="35" t="s">
        <v>69</v>
      </c>
      <c r="O4" s="35" t="s">
        <v>69</v>
      </c>
      <c r="Q4" s="50" t="s">
        <v>490</v>
      </c>
      <c r="R4" s="35" t="s">
        <v>69</v>
      </c>
      <c r="S4" s="35" t="s">
        <v>69</v>
      </c>
      <c r="T4" s="48" t="s">
        <v>69</v>
      </c>
      <c r="U4" s="48" t="s">
        <v>69</v>
      </c>
      <c r="V4" s="45" t="str">
        <f t="shared" si="0"/>
        <v>https://www.google.co.uk/maps/search/?api=1&amp;query=51.5504025232791,-0.034594071</v>
      </c>
      <c r="X4" s="51"/>
      <c r="Y4" s="51"/>
      <c r="AA4" s="35">
        <v>0</v>
      </c>
      <c r="AB4" s="35" t="s">
        <v>644</v>
      </c>
      <c r="AE4" s="49" t="s">
        <v>491</v>
      </c>
      <c r="AF4" s="49" t="str">
        <f t="shared" si="1"/>
        <v>B3011A4D1CD897DC60E202F3012B956FDF1742BE</v>
      </c>
      <c r="AG4" s="49">
        <f t="shared" ref="AG4:AG67" ca="1" si="2">MATCH2(AE4,AE:AE) - 2</f>
        <v>2</v>
      </c>
      <c r="AH4" s="49"/>
      <c r="AI4" s="49" t="s">
        <v>3039</v>
      </c>
    </row>
    <row r="5" spans="1:36" s="35" customFormat="1" x14ac:dyDescent="0.25">
      <c r="A5" s="35" t="s">
        <v>433</v>
      </c>
      <c r="B5" s="45" t="s">
        <v>316</v>
      </c>
      <c r="C5" s="35" t="s">
        <v>26</v>
      </c>
      <c r="D5" s="35" t="s">
        <v>15</v>
      </c>
      <c r="F5" s="46"/>
      <c r="H5" s="35" t="s">
        <v>215</v>
      </c>
      <c r="I5" s="47">
        <v>51.534468392717301</v>
      </c>
      <c r="J5" s="47" t="s">
        <v>3403</v>
      </c>
      <c r="N5" s="35">
        <v>5588</v>
      </c>
      <c r="O5" s="35" t="s">
        <v>14</v>
      </c>
      <c r="Q5" s="50" t="s">
        <v>492</v>
      </c>
      <c r="R5" s="35" t="s">
        <v>69</v>
      </c>
      <c r="S5" s="45" t="s">
        <v>109</v>
      </c>
      <c r="T5" s="48">
        <v>0</v>
      </c>
      <c r="U5" s="45" t="s">
        <v>151</v>
      </c>
      <c r="V5" s="45" t="str">
        <f t="shared" si="0"/>
        <v>https://www.google.co.uk/maps/search/?api=1&amp;query=51.5344683927173,-0.08106433</v>
      </c>
      <c r="X5" s="51"/>
      <c r="Y5" s="51"/>
      <c r="AA5" s="35">
        <v>2</v>
      </c>
      <c r="AB5" s="35" t="s">
        <v>644</v>
      </c>
      <c r="AE5" s="49"/>
      <c r="AF5" s="49" t="str">
        <f t="shared" si="1"/>
        <v>DA39A3EE5E6B4B0D3255BFEF95601890AFD80709</v>
      </c>
      <c r="AG5" s="49">
        <f t="shared" ca="1" si="2"/>
        <v>3</v>
      </c>
      <c r="AH5" s="49"/>
      <c r="AI5" s="49"/>
      <c r="AJ5" s="35" t="s">
        <v>3394</v>
      </c>
    </row>
    <row r="6" spans="1:36" s="35" customFormat="1" x14ac:dyDescent="0.25">
      <c r="A6" s="35" t="s">
        <v>408</v>
      </c>
      <c r="B6" s="45" t="s">
        <v>273</v>
      </c>
      <c r="C6" s="35" t="s">
        <v>26</v>
      </c>
      <c r="D6" s="35" t="s">
        <v>274</v>
      </c>
      <c r="F6" s="46"/>
      <c r="H6" s="35" t="s">
        <v>657</v>
      </c>
      <c r="I6" s="47">
        <v>51.544359</v>
      </c>
      <c r="J6" s="47" t="s">
        <v>3404</v>
      </c>
      <c r="L6" s="35">
        <v>230</v>
      </c>
      <c r="N6" s="35">
        <v>8749</v>
      </c>
      <c r="O6" s="35" t="s">
        <v>4</v>
      </c>
      <c r="R6" s="35" t="s">
        <v>69</v>
      </c>
      <c r="S6" s="45" t="s">
        <v>103</v>
      </c>
      <c r="T6" s="48">
        <v>0</v>
      </c>
      <c r="U6" s="45" t="s">
        <v>141</v>
      </c>
      <c r="V6" s="45" t="str">
        <f t="shared" si="0"/>
        <v>https://www.google.co.uk/maps/search/?api=1&amp;query=51.544359,-0.072875258</v>
      </c>
      <c r="AA6" s="35">
        <v>0</v>
      </c>
      <c r="AB6" s="35" t="s">
        <v>646</v>
      </c>
      <c r="AE6" s="49" t="s">
        <v>486</v>
      </c>
      <c r="AF6" s="49" t="str">
        <f t="shared" si="1"/>
        <v>51C600ED46831EB9B1F0D7A8C929BB760F801B02</v>
      </c>
      <c r="AG6" s="49">
        <f t="shared" ca="1" si="2"/>
        <v>0</v>
      </c>
      <c r="AH6" s="49"/>
      <c r="AI6" s="49"/>
      <c r="AJ6" s="35" t="s">
        <v>3393</v>
      </c>
    </row>
    <row r="7" spans="1:36" s="35" customFormat="1" x14ac:dyDescent="0.25">
      <c r="A7" s="35" t="s">
        <v>427</v>
      </c>
      <c r="B7" s="45" t="s">
        <v>304</v>
      </c>
      <c r="C7" s="35" t="s">
        <v>26</v>
      </c>
      <c r="D7" s="35" t="s">
        <v>305</v>
      </c>
      <c r="F7" s="46"/>
      <c r="H7" s="35" t="s">
        <v>260</v>
      </c>
      <c r="I7" s="47">
        <v>51.531064826425002</v>
      </c>
      <c r="J7" s="47" t="s">
        <v>3405</v>
      </c>
      <c r="L7" s="35">
        <v>53</v>
      </c>
      <c r="N7" s="35">
        <v>7400</v>
      </c>
      <c r="O7" s="35" t="s">
        <v>13</v>
      </c>
      <c r="R7" s="35" t="s">
        <v>69</v>
      </c>
      <c r="S7" s="45" t="s">
        <v>109</v>
      </c>
      <c r="T7" s="48">
        <v>0</v>
      </c>
      <c r="U7" s="45" t="s">
        <v>150</v>
      </c>
      <c r="V7" s="45" t="str">
        <f t="shared" si="0"/>
        <v>https://www.google.co.uk/maps/search/?api=1&amp;query=51.531064826425,-0.091753006</v>
      </c>
      <c r="X7" s="51"/>
      <c r="Y7" s="51"/>
      <c r="AA7" s="35">
        <v>4</v>
      </c>
      <c r="AB7" s="35" t="s">
        <v>3500</v>
      </c>
      <c r="AE7" s="49" t="s">
        <v>494</v>
      </c>
      <c r="AF7" s="49" t="str">
        <f t="shared" si="1"/>
        <v>A012462E2C834BD82DE8F0D02ADF957BBC12588A</v>
      </c>
      <c r="AG7" s="49">
        <f t="shared" ca="1" si="2"/>
        <v>5</v>
      </c>
      <c r="AH7" s="49"/>
      <c r="AI7" s="49"/>
    </row>
    <row r="8" spans="1:36" s="35" customFormat="1" x14ac:dyDescent="0.25">
      <c r="A8" s="35" t="s">
        <v>405</v>
      </c>
      <c r="B8" s="45" t="s">
        <v>267</v>
      </c>
      <c r="C8" s="35" t="s">
        <v>26</v>
      </c>
      <c r="D8" s="35" t="s">
        <v>268</v>
      </c>
      <c r="F8" s="46"/>
      <c r="H8" s="35" t="s">
        <v>495</v>
      </c>
      <c r="I8" s="47">
        <v>51.550592000000002</v>
      </c>
      <c r="J8" s="47" t="s">
        <v>3406</v>
      </c>
      <c r="L8" s="35">
        <v>251</v>
      </c>
      <c r="N8" s="35" t="s">
        <v>69</v>
      </c>
      <c r="O8" s="35" t="s">
        <v>69</v>
      </c>
      <c r="Q8" s="50" t="s">
        <v>496</v>
      </c>
      <c r="R8" s="35" t="s">
        <v>69</v>
      </c>
      <c r="S8" s="35" t="s">
        <v>69</v>
      </c>
      <c r="T8" s="48" t="s">
        <v>69</v>
      </c>
      <c r="U8" s="48" t="s">
        <v>69</v>
      </c>
      <c r="V8" s="45" t="str">
        <f t="shared" si="0"/>
        <v>https://www.google.co.uk/maps/search/?api=1&amp;query=51.550592,-0.052230775</v>
      </c>
      <c r="X8" s="51"/>
      <c r="Y8" s="51"/>
      <c r="AA8" s="35">
        <v>1</v>
      </c>
      <c r="AB8" s="35" t="s">
        <v>644</v>
      </c>
      <c r="AE8" s="49" t="s">
        <v>497</v>
      </c>
      <c r="AF8" s="49" t="str">
        <f t="shared" si="1"/>
        <v>5BE4B1BA7FD91FA75C466499EF9A3C939AEC20D8</v>
      </c>
      <c r="AG8" s="49">
        <f t="shared" ca="1" si="2"/>
        <v>6</v>
      </c>
      <c r="AH8" s="49"/>
      <c r="AI8" s="49"/>
    </row>
    <row r="9" spans="1:36" s="35" customFormat="1" x14ac:dyDescent="0.25">
      <c r="A9" s="35" t="s">
        <v>420</v>
      </c>
      <c r="B9" s="45" t="s">
        <v>291</v>
      </c>
      <c r="C9" s="35" t="s">
        <v>26</v>
      </c>
      <c r="D9" s="35" t="s">
        <v>292</v>
      </c>
      <c r="F9" s="46"/>
      <c r="H9" s="35" t="s">
        <v>261</v>
      </c>
      <c r="I9" s="47">
        <v>51.570622006646602</v>
      </c>
      <c r="J9" s="47" t="s">
        <v>3407</v>
      </c>
      <c r="L9" s="35">
        <v>47</v>
      </c>
      <c r="N9" s="35">
        <v>13073</v>
      </c>
      <c r="O9" s="35" t="s">
        <v>19</v>
      </c>
      <c r="Q9" s="50" t="s">
        <v>498</v>
      </c>
      <c r="R9" s="35" t="s">
        <v>69</v>
      </c>
      <c r="S9" s="45" t="s">
        <v>111</v>
      </c>
      <c r="T9" s="45" t="s">
        <v>78</v>
      </c>
      <c r="U9" s="45" t="s">
        <v>155</v>
      </c>
      <c r="V9" s="45" t="str">
        <f t="shared" si="0"/>
        <v>https://www.google.co.uk/maps/search/?api=1&amp;query=51.5706220066466,-0.080251945</v>
      </c>
      <c r="X9" s="51"/>
      <c r="Y9" s="51"/>
      <c r="AA9" s="35">
        <v>4</v>
      </c>
      <c r="AB9" s="35" t="s">
        <v>644</v>
      </c>
      <c r="AE9" s="49" t="s">
        <v>499</v>
      </c>
      <c r="AF9" s="49" t="str">
        <f t="shared" si="1"/>
        <v>C42F83AB20F9411541440BF2162A4EDF6AD3C93B</v>
      </c>
      <c r="AG9" s="49">
        <f t="shared" ca="1" si="2"/>
        <v>7</v>
      </c>
      <c r="AH9" s="49"/>
      <c r="AI9" s="49"/>
    </row>
    <row r="10" spans="1:36" s="35" customFormat="1" x14ac:dyDescent="0.25">
      <c r="A10" s="35" t="s">
        <v>426</v>
      </c>
      <c r="B10" s="45" t="s">
        <v>302</v>
      </c>
      <c r="C10" s="35" t="s">
        <v>26</v>
      </c>
      <c r="D10" s="35" t="s">
        <v>303</v>
      </c>
      <c r="F10" s="46"/>
      <c r="H10" s="35" t="s">
        <v>215</v>
      </c>
      <c r="I10" s="47">
        <v>51.5344451892447</v>
      </c>
      <c r="J10" s="47" t="s">
        <v>3408</v>
      </c>
      <c r="L10" s="35">
        <v>95</v>
      </c>
      <c r="N10" s="35">
        <v>5588</v>
      </c>
      <c r="O10" s="35" t="s">
        <v>14</v>
      </c>
      <c r="Q10" s="50" t="s">
        <v>500</v>
      </c>
      <c r="R10" s="35" t="s">
        <v>69</v>
      </c>
      <c r="S10" s="45" t="s">
        <v>109</v>
      </c>
      <c r="T10" s="48">
        <v>0</v>
      </c>
      <c r="U10" s="45" t="s">
        <v>151</v>
      </c>
      <c r="V10" s="45" t="str">
        <f t="shared" si="0"/>
        <v>https://www.google.co.uk/maps/search/?api=1&amp;query=51.5344451892447,-0.08106623</v>
      </c>
      <c r="X10" s="51"/>
      <c r="Y10" s="51"/>
      <c r="AA10" s="35">
        <v>3</v>
      </c>
      <c r="AB10" s="35" t="s">
        <v>3499</v>
      </c>
      <c r="AE10" s="49" t="s">
        <v>501</v>
      </c>
      <c r="AF10" s="49" t="str">
        <f t="shared" si="1"/>
        <v>16BE38FF253F05FC859440CFE0DF59667492158E</v>
      </c>
      <c r="AG10" s="49">
        <f t="shared" ca="1" si="2"/>
        <v>8</v>
      </c>
      <c r="AH10" s="49"/>
      <c r="AI10" s="49"/>
    </row>
    <row r="11" spans="1:36" s="35" customFormat="1" x14ac:dyDescent="0.25">
      <c r="A11" s="35" t="s">
        <v>432</v>
      </c>
      <c r="B11" s="45" t="s">
        <v>314</v>
      </c>
      <c r="C11" s="35" t="s">
        <v>26</v>
      </c>
      <c r="D11" s="35" t="s">
        <v>315</v>
      </c>
      <c r="F11" s="46"/>
      <c r="H11" s="35" t="s">
        <v>3026</v>
      </c>
      <c r="I11" s="47">
        <v>51.5488792489475</v>
      </c>
      <c r="J11" s="47" t="s">
        <v>3409</v>
      </c>
      <c r="N11" s="35">
        <v>16959</v>
      </c>
      <c r="O11" s="35" t="s">
        <v>7</v>
      </c>
      <c r="Q11" s="50" t="s">
        <v>502</v>
      </c>
      <c r="R11" s="35" t="s">
        <v>69</v>
      </c>
      <c r="T11" s="48">
        <v>0</v>
      </c>
      <c r="U11" s="45" t="s">
        <v>144</v>
      </c>
      <c r="V11" s="45" t="str">
        <f t="shared" si="0"/>
        <v>https://www.google.co.uk/maps/search/?api=1&amp;query=51.5488792489475,-0.042668581</v>
      </c>
      <c r="X11" s="51"/>
      <c r="Y11" s="51"/>
      <c r="AA11" s="35">
        <v>0</v>
      </c>
      <c r="AB11" s="35" t="s">
        <v>646</v>
      </c>
      <c r="AE11" s="49"/>
      <c r="AF11" s="49" t="str">
        <f t="shared" si="1"/>
        <v>DA39A3EE5E6B4B0D3255BFEF95601890AFD80709</v>
      </c>
      <c r="AG11" s="49">
        <f t="shared" ca="1" si="2"/>
        <v>3</v>
      </c>
      <c r="AH11" s="49"/>
      <c r="AI11" s="49"/>
      <c r="AJ11" s="35" t="s">
        <v>3394</v>
      </c>
    </row>
    <row r="12" spans="1:36" s="35" customFormat="1" x14ac:dyDescent="0.25">
      <c r="A12" s="35" t="s">
        <v>411</v>
      </c>
      <c r="B12" s="45" t="s">
        <v>278</v>
      </c>
      <c r="C12" s="35" t="s">
        <v>26</v>
      </c>
      <c r="D12" s="35" t="s">
        <v>648</v>
      </c>
      <c r="F12" s="46"/>
      <c r="H12" s="35" t="s">
        <v>211</v>
      </c>
      <c r="I12" s="47">
        <v>51.548879272441603</v>
      </c>
      <c r="J12" s="47" t="s">
        <v>3410</v>
      </c>
      <c r="L12" s="35">
        <v>115</v>
      </c>
      <c r="N12" s="35" t="s">
        <v>69</v>
      </c>
      <c r="O12" s="35" t="s">
        <v>69</v>
      </c>
      <c r="R12" s="35" t="s">
        <v>69</v>
      </c>
      <c r="S12" s="35" t="s">
        <v>69</v>
      </c>
      <c r="T12" s="48" t="s">
        <v>69</v>
      </c>
      <c r="U12" s="48" t="s">
        <v>69</v>
      </c>
      <c r="V12" s="45" t="str">
        <f t="shared" si="0"/>
        <v>https://www.google.co.uk/maps/search/?api=1&amp;query=51.5488792724416,-0.042664558</v>
      </c>
      <c r="X12" s="51"/>
      <c r="Y12" s="51"/>
      <c r="AA12" s="35">
        <v>3</v>
      </c>
      <c r="AB12" s="35" t="s">
        <v>644</v>
      </c>
      <c r="AE12" s="49" t="s">
        <v>488</v>
      </c>
      <c r="AF12" s="49" t="str">
        <f t="shared" si="1"/>
        <v>BCF30BDDFA843689F55B65497F094B023BF02F37</v>
      </c>
      <c r="AG12" s="49">
        <f t="shared" ca="1" si="2"/>
        <v>1</v>
      </c>
      <c r="AH12" s="49"/>
      <c r="AI12" s="49"/>
    </row>
    <row r="13" spans="1:36" s="35" customFormat="1" x14ac:dyDescent="0.25">
      <c r="A13" s="35" t="s">
        <v>430</v>
      </c>
      <c r="B13" s="45" t="s">
        <v>310</v>
      </c>
      <c r="C13" s="35" t="s">
        <v>26</v>
      </c>
      <c r="D13" s="35" t="s">
        <v>311</v>
      </c>
      <c r="F13" s="46"/>
      <c r="H13" s="35" t="s">
        <v>218</v>
      </c>
      <c r="I13" s="47">
        <v>51.576380189797902</v>
      </c>
      <c r="J13" s="47" t="s">
        <v>3411</v>
      </c>
      <c r="L13" s="35">
        <v>95</v>
      </c>
      <c r="N13" s="35">
        <v>9666</v>
      </c>
      <c r="O13" s="35" t="s">
        <v>18</v>
      </c>
      <c r="Q13" s="50" t="s">
        <v>503</v>
      </c>
      <c r="R13" s="35" t="s">
        <v>69</v>
      </c>
      <c r="S13" s="45" t="s">
        <v>102</v>
      </c>
      <c r="T13" s="48">
        <v>0</v>
      </c>
      <c r="U13" s="45" t="s">
        <v>154</v>
      </c>
      <c r="V13" s="45" t="str">
        <f t="shared" si="0"/>
        <v>https://www.google.co.uk/maps/search/?api=1&amp;query=51.5763801897979,-0.069595203</v>
      </c>
      <c r="X13" s="51"/>
      <c r="Y13" s="51"/>
      <c r="AA13" s="35">
        <v>4</v>
      </c>
      <c r="AB13" s="35" t="s">
        <v>3500</v>
      </c>
      <c r="AE13" s="49" t="s">
        <v>504</v>
      </c>
      <c r="AF13" s="49" t="str">
        <f t="shared" si="1"/>
        <v>066CA813C08F574AE02CB9D55E24A107493524E9</v>
      </c>
      <c r="AG13" s="49">
        <f t="shared" ca="1" si="2"/>
        <v>11</v>
      </c>
      <c r="AH13" s="49"/>
      <c r="AI13" s="49"/>
    </row>
    <row r="14" spans="1:36" s="35" customFormat="1" x14ac:dyDescent="0.25">
      <c r="A14" s="35" t="s">
        <v>429</v>
      </c>
      <c r="B14" s="45" t="s">
        <v>308</v>
      </c>
      <c r="C14" s="35" t="s">
        <v>26</v>
      </c>
      <c r="D14" s="35" t="s">
        <v>309</v>
      </c>
      <c r="F14" s="46"/>
      <c r="H14" s="35" t="s">
        <v>259</v>
      </c>
      <c r="I14" s="47">
        <v>51.531650447105797</v>
      </c>
      <c r="J14" s="47" t="s">
        <v>3412</v>
      </c>
      <c r="L14" s="35">
        <v>73</v>
      </c>
      <c r="N14" s="35">
        <v>6262</v>
      </c>
      <c r="O14" s="35" t="s">
        <v>12</v>
      </c>
      <c r="R14" s="35" t="s">
        <v>69</v>
      </c>
      <c r="S14" s="45" t="s">
        <v>108</v>
      </c>
      <c r="T14" s="48">
        <v>0</v>
      </c>
      <c r="U14" s="45" t="s">
        <v>149</v>
      </c>
      <c r="V14" s="45" t="str">
        <f t="shared" si="0"/>
        <v>https://www.google.co.uk/maps/search/?api=1&amp;query=51.5316504471058,-0.073325101</v>
      </c>
      <c r="X14" s="51"/>
      <c r="Y14" s="51"/>
      <c r="AA14" s="35">
        <v>4</v>
      </c>
      <c r="AB14" s="35" t="s">
        <v>3499</v>
      </c>
      <c r="AE14" s="49" t="s">
        <v>505</v>
      </c>
      <c r="AF14" s="49" t="str">
        <f t="shared" si="1"/>
        <v>BF5739166E592AA0978B6EFD4A23FFC2042DB8A3</v>
      </c>
      <c r="AG14" s="49">
        <f t="shared" ca="1" si="2"/>
        <v>12</v>
      </c>
      <c r="AH14" s="49"/>
      <c r="AI14" s="49"/>
    </row>
    <row r="15" spans="1:36" s="35" customFormat="1" x14ac:dyDescent="0.25">
      <c r="A15" s="35" t="s">
        <v>431</v>
      </c>
      <c r="B15" s="45" t="s">
        <v>312</v>
      </c>
      <c r="C15" s="35" t="s">
        <v>26</v>
      </c>
      <c r="D15" s="35" t="s">
        <v>313</v>
      </c>
      <c r="F15" s="46"/>
      <c r="H15" s="35" t="s">
        <v>257</v>
      </c>
      <c r="I15" s="47">
        <v>51.5573988707743</v>
      </c>
      <c r="J15" s="47" t="s">
        <v>3413</v>
      </c>
      <c r="L15" s="35">
        <v>107</v>
      </c>
      <c r="N15" s="35">
        <v>12889</v>
      </c>
      <c r="O15" s="35" t="s">
        <v>1</v>
      </c>
      <c r="Q15" s="50" t="s">
        <v>506</v>
      </c>
      <c r="R15" s="35" t="s">
        <v>69</v>
      </c>
      <c r="S15" s="45" t="s">
        <v>101</v>
      </c>
      <c r="T15" s="48">
        <v>0</v>
      </c>
      <c r="U15" s="45" t="s">
        <v>138</v>
      </c>
      <c r="V15" s="45" t="str">
        <f t="shared" si="0"/>
        <v>https://www.google.co.uk/maps/search/?api=1&amp;query=51.5573988707743,-0.056414005</v>
      </c>
      <c r="X15" s="51"/>
      <c r="Y15" s="51"/>
      <c r="AA15" s="35">
        <v>4</v>
      </c>
      <c r="AB15" s="35" t="s">
        <v>3499</v>
      </c>
      <c r="AE15" s="49" t="s">
        <v>497</v>
      </c>
      <c r="AF15" s="49" t="str">
        <f t="shared" si="1"/>
        <v>5BE4B1BA7FD91FA75C466499EF9A3C939AEC20D8</v>
      </c>
      <c r="AG15" s="49">
        <f t="shared" ca="1" si="2"/>
        <v>6</v>
      </c>
      <c r="AH15" s="49"/>
      <c r="AI15" s="49"/>
    </row>
    <row r="16" spans="1:36" s="35" customFormat="1" x14ac:dyDescent="0.25">
      <c r="A16" s="35" t="s">
        <v>414</v>
      </c>
      <c r="B16" s="45" t="s">
        <v>281</v>
      </c>
      <c r="C16" s="35" t="s">
        <v>26</v>
      </c>
      <c r="D16" s="35" t="s">
        <v>282</v>
      </c>
      <c r="F16" s="46"/>
      <c r="H16" s="35" t="s">
        <v>507</v>
      </c>
      <c r="I16" s="47">
        <v>51.540439762070797</v>
      </c>
      <c r="J16" s="47" t="s">
        <v>3414</v>
      </c>
      <c r="L16" s="35">
        <v>166</v>
      </c>
      <c r="N16" s="35">
        <v>14468</v>
      </c>
      <c r="O16" s="35" t="s">
        <v>9</v>
      </c>
      <c r="Q16" s="50" t="s">
        <v>508</v>
      </c>
      <c r="R16" s="35" t="s">
        <v>69</v>
      </c>
      <c r="S16" s="45" t="s">
        <v>106</v>
      </c>
      <c r="T16" s="48">
        <v>0</v>
      </c>
      <c r="U16" s="45" t="s">
        <v>146</v>
      </c>
      <c r="V16" s="45" t="str">
        <f t="shared" si="0"/>
        <v>https://www.google.co.uk/maps/search/?api=1&amp;query=51.5404397620708,-0.046074986</v>
      </c>
      <c r="X16" s="51"/>
      <c r="Y16" s="51"/>
      <c r="AA16" s="35">
        <v>3</v>
      </c>
      <c r="AB16" s="35" t="s">
        <v>643</v>
      </c>
      <c r="AE16" s="49" t="s">
        <v>509</v>
      </c>
      <c r="AF16" s="49" t="str">
        <f t="shared" si="1"/>
        <v>914341CC797313D2E7E5FE28E749E199E08142DB</v>
      </c>
      <c r="AG16" s="49">
        <f t="shared" ca="1" si="2"/>
        <v>14</v>
      </c>
      <c r="AH16" s="49"/>
      <c r="AI16" s="49"/>
    </row>
    <row r="17" spans="1:36" s="35" customFormat="1" x14ac:dyDescent="0.25">
      <c r="A17" s="35" t="s">
        <v>428</v>
      </c>
      <c r="B17" s="45" t="s">
        <v>306</v>
      </c>
      <c r="C17" s="35" t="s">
        <v>26</v>
      </c>
      <c r="D17" s="35" t="s">
        <v>307</v>
      </c>
      <c r="F17" s="46"/>
      <c r="H17" s="35" t="s">
        <v>216</v>
      </c>
      <c r="I17" s="47">
        <v>51.530534000000003</v>
      </c>
      <c r="J17" s="47" t="s">
        <v>3415</v>
      </c>
      <c r="L17" s="35">
        <v>117</v>
      </c>
      <c r="N17" s="35">
        <v>7665</v>
      </c>
      <c r="O17" s="35" t="s">
        <v>16</v>
      </c>
      <c r="Q17" s="50" t="s">
        <v>511</v>
      </c>
      <c r="R17" s="35" t="s">
        <v>69</v>
      </c>
      <c r="S17" s="45" t="s">
        <v>109</v>
      </c>
      <c r="T17" s="45" t="s">
        <v>76</v>
      </c>
      <c r="U17" s="45" t="s">
        <v>152</v>
      </c>
      <c r="V17" s="45" t="str">
        <f t="shared" si="0"/>
        <v>https://www.google.co.uk/maps/search/?api=1&amp;query=51.530534,-0.083623584</v>
      </c>
      <c r="X17" s="51"/>
      <c r="Y17" s="51"/>
      <c r="AA17" s="35">
        <v>2</v>
      </c>
      <c r="AB17" s="35" t="s">
        <v>644</v>
      </c>
      <c r="AE17" s="49" t="s">
        <v>512</v>
      </c>
      <c r="AF17" s="49" t="str">
        <f t="shared" si="1"/>
        <v>2508066CDB631304BADA9D02B29A214203787A25</v>
      </c>
      <c r="AG17" s="49">
        <f t="shared" ca="1" si="2"/>
        <v>15</v>
      </c>
      <c r="AH17" s="49"/>
      <c r="AI17" s="49"/>
    </row>
    <row r="18" spans="1:36" s="35" customFormat="1" x14ac:dyDescent="0.25">
      <c r="A18" s="35" t="s">
        <v>424</v>
      </c>
      <c r="B18" s="45" t="s">
        <v>298</v>
      </c>
      <c r="C18" s="35" t="s">
        <v>26</v>
      </c>
      <c r="D18" s="35" t="s">
        <v>299</v>
      </c>
      <c r="F18" s="46"/>
      <c r="H18" s="35" t="s">
        <v>206</v>
      </c>
      <c r="I18" s="47">
        <v>51.565557063236199</v>
      </c>
      <c r="J18" s="47" t="s">
        <v>3416</v>
      </c>
      <c r="L18" s="35">
        <v>72</v>
      </c>
      <c r="N18" s="35">
        <v>9407</v>
      </c>
      <c r="O18" s="35" t="s">
        <v>0</v>
      </c>
      <c r="Q18" s="50" t="s">
        <v>513</v>
      </c>
      <c r="R18" s="35" t="s">
        <v>69</v>
      </c>
      <c r="T18" s="48">
        <v>0</v>
      </c>
      <c r="U18" s="45" t="s">
        <v>137</v>
      </c>
      <c r="V18" s="45" t="str">
        <f t="shared" si="0"/>
        <v>https://www.google.co.uk/maps/search/?api=1&amp;query=51.5655570632362,-0.100552489</v>
      </c>
      <c r="X18" s="51"/>
      <c r="Y18" s="51"/>
      <c r="AA18" s="35">
        <v>0</v>
      </c>
      <c r="AB18" s="35" t="s">
        <v>3499</v>
      </c>
      <c r="AE18" s="49" t="s">
        <v>514</v>
      </c>
      <c r="AF18" s="49" t="str">
        <f t="shared" si="1"/>
        <v>27C32AFC20E2AC2C8E73FC9CA97AEB21B372B495</v>
      </c>
      <c r="AG18" s="49">
        <f t="shared" ca="1" si="2"/>
        <v>16</v>
      </c>
      <c r="AH18" s="49"/>
      <c r="AI18" s="49"/>
    </row>
    <row r="19" spans="1:36" s="35" customFormat="1" x14ac:dyDescent="0.25">
      <c r="A19" s="35" t="s">
        <v>425</v>
      </c>
      <c r="B19" s="45" t="s">
        <v>300</v>
      </c>
      <c r="C19" s="35" t="s">
        <v>26</v>
      </c>
      <c r="D19" s="35" t="s">
        <v>301</v>
      </c>
      <c r="F19" s="46"/>
      <c r="H19" s="35" t="s">
        <v>217</v>
      </c>
      <c r="I19" s="47">
        <v>51.526835578514699</v>
      </c>
      <c r="J19" s="47" t="s">
        <v>3417</v>
      </c>
      <c r="L19" s="35">
        <v>72</v>
      </c>
      <c r="N19" s="35">
        <v>7484</v>
      </c>
      <c r="O19" s="35" t="s">
        <v>17</v>
      </c>
      <c r="Q19" s="50" t="s">
        <v>71</v>
      </c>
      <c r="R19" s="35" t="s">
        <v>69</v>
      </c>
      <c r="S19" s="45" t="s">
        <v>110</v>
      </c>
      <c r="T19" s="45" t="s">
        <v>77</v>
      </c>
      <c r="U19" s="45" t="s">
        <v>153</v>
      </c>
      <c r="V19" s="45" t="str">
        <f t="shared" si="0"/>
        <v>https://www.google.co.uk/maps/search/?api=1&amp;query=51.5268355785147,-0.077172518</v>
      </c>
      <c r="X19" s="51"/>
      <c r="Y19" s="51"/>
      <c r="AA19" s="35">
        <v>0</v>
      </c>
      <c r="AB19" s="35" t="s">
        <v>643</v>
      </c>
      <c r="AE19" s="49" t="s">
        <v>515</v>
      </c>
      <c r="AF19" s="49" t="str">
        <f t="shared" si="1"/>
        <v>6DE630B7CF2AE7356063AB397BFC725EB3B4BCA9</v>
      </c>
      <c r="AG19" s="49">
        <f t="shared" ca="1" si="2"/>
        <v>17</v>
      </c>
      <c r="AH19" s="49"/>
      <c r="AI19" s="49"/>
    </row>
    <row r="20" spans="1:36" s="35" customFormat="1" x14ac:dyDescent="0.25">
      <c r="A20" s="35" t="s">
        <v>410</v>
      </c>
      <c r="B20" s="45" t="s">
        <v>276</v>
      </c>
      <c r="C20" s="35" t="s">
        <v>26</v>
      </c>
      <c r="D20" s="35" t="s">
        <v>277</v>
      </c>
      <c r="F20" s="46"/>
      <c r="H20" s="35" t="s">
        <v>209</v>
      </c>
      <c r="I20" s="47">
        <v>51.549381897708898</v>
      </c>
      <c r="J20" s="47" t="s">
        <v>3418</v>
      </c>
      <c r="L20" s="35">
        <v>128</v>
      </c>
      <c r="N20" s="35">
        <v>13822</v>
      </c>
      <c r="O20" s="35" t="s">
        <v>5</v>
      </c>
      <c r="Q20" s="50" t="s">
        <v>70</v>
      </c>
      <c r="R20" s="35" t="s">
        <v>69</v>
      </c>
      <c r="S20" s="45" t="s">
        <v>103</v>
      </c>
      <c r="T20" s="48">
        <v>0</v>
      </c>
      <c r="U20" s="45" t="s">
        <v>142</v>
      </c>
      <c r="V20" s="45" t="str">
        <f t="shared" si="0"/>
        <v>https://www.google.co.uk/maps/search/?api=1&amp;query=51.5493818977089,-0.070435003</v>
      </c>
      <c r="X20" s="51"/>
      <c r="Y20" s="51"/>
      <c r="AA20" s="35">
        <v>0</v>
      </c>
      <c r="AB20" s="35" t="s">
        <v>646</v>
      </c>
      <c r="AE20" s="49" t="s">
        <v>516</v>
      </c>
      <c r="AF20" s="49" t="str">
        <f t="shared" si="1"/>
        <v>C9E96F059E58A0DFF579AE5BECCC3CC36B4E89CA</v>
      </c>
      <c r="AG20" s="49">
        <f t="shared" ca="1" si="2"/>
        <v>18</v>
      </c>
      <c r="AH20" s="49"/>
      <c r="AI20" s="49"/>
    </row>
    <row r="21" spans="1:36" s="35" customFormat="1" x14ac:dyDescent="0.25">
      <c r="A21" s="35" t="s">
        <v>415</v>
      </c>
      <c r="B21" s="45" t="s">
        <v>283</v>
      </c>
      <c r="C21" s="35" t="s">
        <v>26</v>
      </c>
      <c r="D21" s="35" t="s">
        <v>284</v>
      </c>
      <c r="F21" s="46"/>
      <c r="H21" s="35" t="s">
        <v>213</v>
      </c>
      <c r="I21" s="47">
        <v>51.545373380460497</v>
      </c>
      <c r="J21" s="47" t="s">
        <v>3419</v>
      </c>
      <c r="L21" s="35">
        <v>71</v>
      </c>
      <c r="N21" s="35">
        <v>7491</v>
      </c>
      <c r="O21" s="35" t="s">
        <v>8</v>
      </c>
      <c r="Q21" s="50" t="s">
        <v>517</v>
      </c>
      <c r="R21" s="35" t="s">
        <v>69</v>
      </c>
      <c r="S21" s="45" t="s">
        <v>105</v>
      </c>
      <c r="T21" s="48">
        <v>0</v>
      </c>
      <c r="U21" s="45" t="s">
        <v>145</v>
      </c>
      <c r="V21" s="45" t="str">
        <f t="shared" si="0"/>
        <v>https://www.google.co.uk/maps/search/?api=1&amp;query=51.5453733804605,-0.030557066</v>
      </c>
      <c r="X21" s="51"/>
      <c r="Y21" s="51"/>
      <c r="AA21" s="35">
        <v>3</v>
      </c>
      <c r="AB21" s="35" t="s">
        <v>3499</v>
      </c>
      <c r="AE21" s="49" t="s">
        <v>518</v>
      </c>
      <c r="AF21" s="49" t="str">
        <f t="shared" si="1"/>
        <v>8077BF272D004E27BFEA50B91CF4C400BF16FEC7</v>
      </c>
      <c r="AG21" s="49">
        <f t="shared" ca="1" si="2"/>
        <v>19</v>
      </c>
      <c r="AH21" s="49"/>
      <c r="AI21" s="49"/>
    </row>
    <row r="22" spans="1:36" s="35" customFormat="1" x14ac:dyDescent="0.25">
      <c r="A22" s="35" t="s">
        <v>419</v>
      </c>
      <c r="B22" s="45" t="s">
        <v>289</v>
      </c>
      <c r="C22" s="35" t="s">
        <v>26</v>
      </c>
      <c r="D22" s="35" t="s">
        <v>290</v>
      </c>
      <c r="F22" s="46"/>
      <c r="H22" s="35" t="s">
        <v>219</v>
      </c>
      <c r="I22" s="47">
        <v>51.560817679581803</v>
      </c>
      <c r="J22" s="47" t="s">
        <v>3420</v>
      </c>
      <c r="L22" s="35">
        <v>202</v>
      </c>
      <c r="N22" s="35">
        <v>13634</v>
      </c>
      <c r="O22" s="35" t="s">
        <v>20</v>
      </c>
      <c r="Q22" s="50" t="s">
        <v>519</v>
      </c>
      <c r="R22" s="35" t="s">
        <v>69</v>
      </c>
      <c r="S22" s="45" t="s">
        <v>111</v>
      </c>
      <c r="T22" s="48">
        <v>0</v>
      </c>
      <c r="U22" s="45" t="s">
        <v>156</v>
      </c>
      <c r="V22" s="45" t="str">
        <f t="shared" si="0"/>
        <v>https://www.google.co.uk/maps/search/?api=1&amp;query=51.5608176795818,-0.084449351</v>
      </c>
      <c r="X22" s="51"/>
      <c r="Y22" s="51"/>
      <c r="AA22" s="35">
        <v>0</v>
      </c>
      <c r="AB22" s="35" t="s">
        <v>646</v>
      </c>
      <c r="AE22" s="49" t="s">
        <v>520</v>
      </c>
      <c r="AF22" s="49" t="str">
        <f t="shared" si="1"/>
        <v>3E84AC63ED0A0B81CEF6C7C1078262B36EB4E4F2</v>
      </c>
      <c r="AG22" s="49">
        <f t="shared" ca="1" si="2"/>
        <v>20</v>
      </c>
      <c r="AH22" s="49"/>
      <c r="AI22" s="49"/>
    </row>
    <row r="23" spans="1:36" s="35" customFormat="1" x14ac:dyDescent="0.25">
      <c r="A23" s="35" t="s">
        <v>406</v>
      </c>
      <c r="B23" s="45" t="s">
        <v>269</v>
      </c>
      <c r="C23" s="35" t="s">
        <v>26</v>
      </c>
      <c r="D23" s="35" t="s">
        <v>270</v>
      </c>
      <c r="F23" s="46"/>
      <c r="H23" s="35" t="s">
        <v>207</v>
      </c>
      <c r="I23" s="47">
        <v>51.565328632011898</v>
      </c>
      <c r="J23" s="47" t="s">
        <v>3421</v>
      </c>
      <c r="L23" s="35">
        <v>38</v>
      </c>
      <c r="N23" s="35">
        <v>26681</v>
      </c>
      <c r="O23" s="35" t="s">
        <v>2</v>
      </c>
      <c r="Q23" s="50" t="s">
        <v>522</v>
      </c>
      <c r="R23" s="35" t="s">
        <v>69</v>
      </c>
      <c r="S23" s="45" t="s">
        <v>101</v>
      </c>
      <c r="T23" s="48">
        <v>0</v>
      </c>
      <c r="U23" s="45" t="s">
        <v>139</v>
      </c>
      <c r="V23" s="45" t="str">
        <f t="shared" si="0"/>
        <v>https://www.google.co.uk/maps/search/?api=1&amp;query=51.5653286320119,-0.054581612</v>
      </c>
      <c r="X23" s="51"/>
      <c r="Y23" s="51"/>
      <c r="AA23" s="35">
        <v>4</v>
      </c>
      <c r="AB23" s="35" t="s">
        <v>3499</v>
      </c>
      <c r="AE23" s="49" t="s">
        <v>523</v>
      </c>
      <c r="AF23" s="49" t="str">
        <f t="shared" si="1"/>
        <v>4BD1CE1A030D95EDE9D7A6129B9ACA667AE65268</v>
      </c>
      <c r="AG23" s="49">
        <f t="shared" ca="1" si="2"/>
        <v>21</v>
      </c>
      <c r="AH23" s="49"/>
      <c r="AI23" s="49"/>
    </row>
    <row r="24" spans="1:36" s="35" customFormat="1" x14ac:dyDescent="0.25">
      <c r="A24" s="35" t="s">
        <v>421</v>
      </c>
      <c r="B24" s="45" t="s">
        <v>293</v>
      </c>
      <c r="C24" s="35" t="s">
        <v>26</v>
      </c>
      <c r="D24" s="35" t="s">
        <v>294</v>
      </c>
      <c r="F24" s="46"/>
      <c r="H24" s="35" t="s">
        <v>221</v>
      </c>
      <c r="I24" s="47">
        <v>51.552504999999996</v>
      </c>
      <c r="J24" s="47" t="s">
        <v>3422</v>
      </c>
      <c r="L24" s="35">
        <v>51</v>
      </c>
      <c r="N24" s="35">
        <v>10031</v>
      </c>
      <c r="O24" s="35" t="s">
        <v>23</v>
      </c>
      <c r="Q24" s="50" t="s">
        <v>525</v>
      </c>
      <c r="R24" s="35" t="s">
        <v>69</v>
      </c>
      <c r="T24" s="45" t="s">
        <v>79</v>
      </c>
      <c r="U24" s="45" t="s">
        <v>159</v>
      </c>
      <c r="V24" s="45" t="str">
        <f t="shared" si="0"/>
        <v>https://www.google.co.uk/maps/search/?api=1&amp;query=51.552505,-0.079339421</v>
      </c>
      <c r="X24" s="51"/>
      <c r="Y24" s="51"/>
      <c r="AA24" s="35">
        <v>4</v>
      </c>
      <c r="AB24" s="35" t="s">
        <v>3499</v>
      </c>
      <c r="AE24" s="49" t="s">
        <v>526</v>
      </c>
      <c r="AF24" s="49" t="str">
        <f t="shared" si="1"/>
        <v>FEA77797881807349F70DCA2BE6D740C93F72ED4</v>
      </c>
      <c r="AG24" s="49">
        <f t="shared" ca="1" si="2"/>
        <v>22</v>
      </c>
      <c r="AH24" s="49"/>
      <c r="AI24" s="49"/>
    </row>
    <row r="25" spans="1:36" s="35" customFormat="1" x14ac:dyDescent="0.25">
      <c r="A25" s="35" t="s">
        <v>416</v>
      </c>
      <c r="B25" s="45" t="s">
        <v>285</v>
      </c>
      <c r="C25" s="35" t="s">
        <v>26</v>
      </c>
      <c r="D25" s="35" t="s">
        <v>3031</v>
      </c>
      <c r="F25" s="46"/>
      <c r="H25" s="35" t="s">
        <v>214</v>
      </c>
      <c r="I25" s="47">
        <v>51.540798584623502</v>
      </c>
      <c r="J25" s="47" t="s">
        <v>3423</v>
      </c>
      <c r="L25" s="35">
        <v>194</v>
      </c>
      <c r="N25" s="35">
        <v>12326</v>
      </c>
      <c r="O25" s="35" t="s">
        <v>10</v>
      </c>
      <c r="Q25" s="50" t="s">
        <v>527</v>
      </c>
      <c r="R25" s="35" t="s">
        <v>69</v>
      </c>
      <c r="S25" s="45" t="s">
        <v>106</v>
      </c>
      <c r="T25" s="48">
        <v>0</v>
      </c>
      <c r="U25" s="45" t="s">
        <v>147</v>
      </c>
      <c r="V25" s="45" t="str">
        <f t="shared" si="0"/>
        <v>https://www.google.co.uk/maps/search/?api=1&amp;query=51.5407985846235,-0.063923746</v>
      </c>
      <c r="X25" s="51"/>
      <c r="Y25" s="51"/>
      <c r="AA25" s="35">
        <v>0</v>
      </c>
      <c r="AB25" s="35" t="s">
        <v>3499</v>
      </c>
      <c r="AE25" s="49" t="s">
        <v>528</v>
      </c>
      <c r="AF25" s="49" t="str">
        <f t="shared" si="1"/>
        <v>BBD45458489C147F54C0E4E9109E9F75E44292F3</v>
      </c>
      <c r="AG25" s="49">
        <f t="shared" ca="1" si="2"/>
        <v>23</v>
      </c>
      <c r="AH25" s="49"/>
      <c r="AI25" s="49"/>
    </row>
    <row r="26" spans="1:36" s="35" customFormat="1" x14ac:dyDescent="0.25">
      <c r="A26" s="35" t="s">
        <v>422</v>
      </c>
      <c r="B26" s="45" t="s">
        <v>295</v>
      </c>
      <c r="C26" s="35" t="s">
        <v>26</v>
      </c>
      <c r="D26" s="35" t="s">
        <v>3032</v>
      </c>
      <c r="F26" s="46"/>
      <c r="H26" s="35" t="s">
        <v>262</v>
      </c>
      <c r="I26" s="47">
        <v>51.562533444553303</v>
      </c>
      <c r="J26" s="47" t="s">
        <v>3424</v>
      </c>
      <c r="L26" s="35">
        <v>103</v>
      </c>
      <c r="N26" s="35">
        <v>12073</v>
      </c>
      <c r="O26" s="35" t="s">
        <v>22</v>
      </c>
      <c r="R26" s="35" t="s">
        <v>69</v>
      </c>
      <c r="S26" s="45" t="s">
        <v>112</v>
      </c>
      <c r="T26" s="48">
        <v>0</v>
      </c>
      <c r="U26" s="45" t="s">
        <v>158</v>
      </c>
      <c r="V26" s="45" t="str">
        <f t="shared" si="0"/>
        <v>https://www.google.co.uk/maps/search/?api=1&amp;query=51.5625334445533,-0.066554918</v>
      </c>
      <c r="X26" s="51"/>
      <c r="Y26" s="51"/>
      <c r="AA26" s="35">
        <v>0</v>
      </c>
      <c r="AB26" s="35" t="s">
        <v>3499</v>
      </c>
      <c r="AE26" s="49" t="s">
        <v>523</v>
      </c>
      <c r="AF26" s="49" t="str">
        <f t="shared" si="1"/>
        <v>4BD1CE1A030D95EDE9D7A6129B9ACA667AE65268</v>
      </c>
      <c r="AG26" s="49">
        <f t="shared" ca="1" si="2"/>
        <v>21</v>
      </c>
      <c r="AH26" s="49"/>
      <c r="AI26" s="49"/>
    </row>
    <row r="27" spans="1:36" s="35" customFormat="1" x14ac:dyDescent="0.25">
      <c r="A27" s="35" t="s">
        <v>423</v>
      </c>
      <c r="B27" s="45" t="s">
        <v>296</v>
      </c>
      <c r="C27" s="35" t="s">
        <v>26</v>
      </c>
      <c r="D27" s="35" t="s">
        <v>297</v>
      </c>
      <c r="F27" s="46"/>
      <c r="H27" s="35" t="s">
        <v>220</v>
      </c>
      <c r="I27" s="47">
        <v>51.571211427888102</v>
      </c>
      <c r="J27" s="47" t="s">
        <v>3425</v>
      </c>
      <c r="L27" s="35">
        <v>285</v>
      </c>
      <c r="N27" s="35">
        <v>6675</v>
      </c>
      <c r="O27" s="35" t="s">
        <v>21</v>
      </c>
      <c r="Q27" s="50" t="s">
        <v>529</v>
      </c>
      <c r="R27" s="35" t="s">
        <v>69</v>
      </c>
      <c r="S27" s="45" t="s">
        <v>111</v>
      </c>
      <c r="T27" s="48">
        <v>0</v>
      </c>
      <c r="U27" s="45" t="s">
        <v>157</v>
      </c>
      <c r="V27" s="45" t="str">
        <f t="shared" si="0"/>
        <v>https://www.google.co.uk/maps/search/?api=1&amp;query=51.5712114278881,-0.093690367</v>
      </c>
      <c r="X27" s="51"/>
      <c r="Y27" s="51"/>
      <c r="AA27" s="35">
        <v>0</v>
      </c>
      <c r="AB27" s="35" t="s">
        <v>3499</v>
      </c>
      <c r="AE27" s="49" t="s">
        <v>530</v>
      </c>
      <c r="AF27" s="49" t="str">
        <f t="shared" si="1"/>
        <v>8F1A3F65DA743F6DD74ADF0DD094F4535E502DB4</v>
      </c>
      <c r="AG27" s="49">
        <f t="shared" ca="1" si="2"/>
        <v>25</v>
      </c>
      <c r="AH27" s="49"/>
      <c r="AI27" s="49"/>
    </row>
    <row r="28" spans="1:36" s="35" customFormat="1" x14ac:dyDescent="0.25">
      <c r="A28" s="35" t="s">
        <v>417</v>
      </c>
      <c r="B28" s="45" t="s">
        <v>286</v>
      </c>
      <c r="C28" s="35" t="s">
        <v>26</v>
      </c>
      <c r="D28" s="35" t="s">
        <v>649</v>
      </c>
      <c r="F28" s="46"/>
      <c r="H28" s="35" t="s">
        <v>531</v>
      </c>
      <c r="I28" s="47">
        <v>51.557048000000002</v>
      </c>
      <c r="J28" s="47" t="s">
        <v>3426</v>
      </c>
      <c r="L28" s="35">
        <v>93</v>
      </c>
      <c r="N28" s="35">
        <v>8446</v>
      </c>
      <c r="O28" s="35" t="s">
        <v>11</v>
      </c>
      <c r="Q28" s="50" t="s">
        <v>532</v>
      </c>
      <c r="R28" s="35" t="s">
        <v>69</v>
      </c>
      <c r="S28" s="45" t="s">
        <v>107</v>
      </c>
      <c r="T28" s="48">
        <v>0</v>
      </c>
      <c r="U28" s="45" t="s">
        <v>148</v>
      </c>
      <c r="V28" s="45" t="str">
        <f t="shared" si="0"/>
        <v>https://www.google.co.uk/maps/search/?api=1&amp;query=51.557048,-0.073969094</v>
      </c>
      <c r="X28" s="51"/>
      <c r="Y28" s="51"/>
      <c r="AA28" s="35">
        <v>0</v>
      </c>
      <c r="AB28" s="35" t="s">
        <v>643</v>
      </c>
      <c r="AE28" s="49" t="s">
        <v>533</v>
      </c>
      <c r="AF28" s="49" t="str">
        <f t="shared" si="1"/>
        <v>46F9398A9F61FDD74CCBBCC9D48162FD4C47795E</v>
      </c>
      <c r="AG28" s="49">
        <f t="shared" ca="1" si="2"/>
        <v>26</v>
      </c>
      <c r="AH28" s="49"/>
      <c r="AI28" s="49"/>
    </row>
    <row r="29" spans="1:36" s="35" customFormat="1" x14ac:dyDescent="0.25">
      <c r="A29" s="35" t="s">
        <v>418</v>
      </c>
      <c r="B29" s="45" t="s">
        <v>287</v>
      </c>
      <c r="C29" s="35" t="s">
        <v>26</v>
      </c>
      <c r="D29" s="35" t="s">
        <v>288</v>
      </c>
      <c r="F29" s="46"/>
      <c r="H29" s="35" t="s">
        <v>210</v>
      </c>
      <c r="I29" s="47">
        <v>51.540774999999996</v>
      </c>
      <c r="J29" s="47" t="s">
        <v>3427</v>
      </c>
      <c r="L29" s="35">
        <v>178</v>
      </c>
      <c r="N29" s="35">
        <v>8485</v>
      </c>
      <c r="O29" s="35" t="s">
        <v>6</v>
      </c>
      <c r="Q29" s="50" t="s">
        <v>535</v>
      </c>
      <c r="R29" s="35" t="s">
        <v>69</v>
      </c>
      <c r="S29" s="45" t="s">
        <v>104</v>
      </c>
      <c r="T29" s="48">
        <v>0</v>
      </c>
      <c r="U29" s="45" t="s">
        <v>143</v>
      </c>
      <c r="V29" s="45" t="str">
        <f t="shared" si="0"/>
        <v>https://www.google.co.uk/maps/search/?api=1&amp;query=51.540775,-0.080208288</v>
      </c>
      <c r="X29" s="51"/>
      <c r="Y29" s="51"/>
      <c r="AA29" s="35">
        <v>4</v>
      </c>
      <c r="AB29" s="35" t="s">
        <v>643</v>
      </c>
      <c r="AE29" s="49" t="s">
        <v>536</v>
      </c>
      <c r="AF29" s="49" t="str">
        <f t="shared" si="1"/>
        <v>7A1B4EE208D02161EAF435748DA4F5BA6EFC8398</v>
      </c>
      <c r="AG29" s="49">
        <f t="shared" ca="1" si="2"/>
        <v>27</v>
      </c>
      <c r="AH29" s="49"/>
      <c r="AI29" s="49"/>
    </row>
    <row r="30" spans="1:36" s="35" customFormat="1" x14ac:dyDescent="0.25">
      <c r="A30" s="35" t="s">
        <v>407</v>
      </c>
      <c r="B30" s="45" t="s">
        <v>271</v>
      </c>
      <c r="C30" s="35" t="s">
        <v>26</v>
      </c>
      <c r="D30" s="35" t="s">
        <v>272</v>
      </c>
      <c r="F30" s="46"/>
      <c r="H30" s="35" t="s">
        <v>208</v>
      </c>
      <c r="I30" s="47">
        <v>51.569816725565602</v>
      </c>
      <c r="J30" s="47" t="s">
        <v>3428</v>
      </c>
      <c r="L30" s="35">
        <v>80</v>
      </c>
      <c r="N30" s="35">
        <v>26681</v>
      </c>
      <c r="O30" s="35" t="s">
        <v>3</v>
      </c>
      <c r="Q30" s="50" t="s">
        <v>537</v>
      </c>
      <c r="R30" s="35" t="s">
        <v>69</v>
      </c>
      <c r="S30" s="45" t="s">
        <v>102</v>
      </c>
      <c r="T30" s="48">
        <v>0</v>
      </c>
      <c r="U30" s="45" t="s">
        <v>140</v>
      </c>
      <c r="V30" s="45" t="str">
        <f t="shared" si="0"/>
        <v>https://www.google.co.uk/maps/search/?api=1&amp;query=51.5698167255656,-0.064212307</v>
      </c>
      <c r="X30" s="51"/>
      <c r="Y30" s="51"/>
      <c r="AA30" s="35">
        <v>3</v>
      </c>
      <c r="AB30" s="35" t="s">
        <v>3499</v>
      </c>
      <c r="AE30" s="49" t="s">
        <v>538</v>
      </c>
      <c r="AF30" s="49" t="str">
        <f t="shared" si="1"/>
        <v>3668F6A908D5D17AC7AE2DD34BF76A1F93619B74</v>
      </c>
      <c r="AG30" s="49">
        <f t="shared" ca="1" si="2"/>
        <v>28</v>
      </c>
      <c r="AH30" s="49"/>
      <c r="AI30" s="49"/>
    </row>
    <row r="31" spans="1:36" s="35" customFormat="1" x14ac:dyDescent="0.25">
      <c r="A31" s="35" t="s">
        <v>3044</v>
      </c>
      <c r="B31" s="45" t="s">
        <v>322</v>
      </c>
      <c r="C31" s="35" t="s">
        <v>65</v>
      </c>
      <c r="D31" s="35" t="s">
        <v>438</v>
      </c>
      <c r="F31" s="46"/>
      <c r="H31" s="35" t="s">
        <v>664</v>
      </c>
      <c r="I31" s="47">
        <v>51.535314899906403</v>
      </c>
      <c r="J31" s="47" t="s">
        <v>3429</v>
      </c>
      <c r="L31" s="35">
        <v>21</v>
      </c>
      <c r="N31" s="35" t="s">
        <v>69</v>
      </c>
      <c r="O31" s="35" t="s">
        <v>69</v>
      </c>
      <c r="Q31" s="50" t="s">
        <v>540</v>
      </c>
      <c r="R31" s="50" t="s">
        <v>74</v>
      </c>
      <c r="S31" s="35" t="s">
        <v>69</v>
      </c>
      <c r="T31" s="48" t="s">
        <v>69</v>
      </c>
      <c r="U31" s="48" t="s">
        <v>69</v>
      </c>
      <c r="V31" s="45" t="str">
        <f t="shared" si="0"/>
        <v>https://www.google.co.uk/maps/search/?api=1&amp;query=51.5353148999064,-0.116563744</v>
      </c>
      <c r="AA31" s="35">
        <v>0</v>
      </c>
      <c r="AB31" s="35" t="s">
        <v>644</v>
      </c>
      <c r="AE31" s="49" t="s">
        <v>541</v>
      </c>
      <c r="AF31" s="49" t="str">
        <f t="shared" si="1"/>
        <v>BE135F02828641C2872A176E6972591E1E322012</v>
      </c>
      <c r="AG31" s="49">
        <f t="shared" ca="1" si="2"/>
        <v>29</v>
      </c>
      <c r="AH31" s="49"/>
      <c r="AI31" s="49" t="s">
        <v>3040</v>
      </c>
      <c r="AJ31" s="35" t="s">
        <v>656</v>
      </c>
    </row>
    <row r="32" spans="1:36" s="35" customFormat="1" x14ac:dyDescent="0.25">
      <c r="A32" s="35" t="s">
        <v>440</v>
      </c>
      <c r="B32" s="45" t="s">
        <v>326</v>
      </c>
      <c r="C32" s="35" t="s">
        <v>65</v>
      </c>
      <c r="D32" s="35" t="s">
        <v>327</v>
      </c>
      <c r="F32" s="46"/>
      <c r="H32" s="35" t="s">
        <v>229</v>
      </c>
      <c r="I32" s="47">
        <v>51.552225</v>
      </c>
      <c r="J32" s="47" t="s">
        <v>3430</v>
      </c>
      <c r="L32" s="35">
        <v>272</v>
      </c>
      <c r="N32" s="35">
        <v>9111</v>
      </c>
      <c r="O32" s="35" t="s">
        <v>53</v>
      </c>
      <c r="Q32" s="50" t="s">
        <v>542</v>
      </c>
      <c r="R32" s="35" t="s">
        <v>69</v>
      </c>
      <c r="S32" s="45" t="s">
        <v>117</v>
      </c>
      <c r="T32" s="45" t="s">
        <v>83</v>
      </c>
      <c r="U32" s="45" t="s">
        <v>165</v>
      </c>
      <c r="V32" s="45" t="str">
        <f t="shared" si="0"/>
        <v>https://www.google.co.uk/maps/search/?api=1&amp;query=51.552225,-0.09860785</v>
      </c>
      <c r="X32" s="51"/>
      <c r="Y32" s="51"/>
      <c r="AA32" s="35">
        <v>2</v>
      </c>
      <c r="AB32" s="35" t="s">
        <v>644</v>
      </c>
      <c r="AE32" s="49" t="s">
        <v>543</v>
      </c>
      <c r="AF32" s="49" t="str">
        <f t="shared" si="1"/>
        <v>4B8D8603074AC280B9EB0AD6E0171C4A82CECF15</v>
      </c>
      <c r="AG32" s="49">
        <f t="shared" ca="1" si="2"/>
        <v>30</v>
      </c>
      <c r="AH32" s="49"/>
      <c r="AI32" s="49"/>
    </row>
    <row r="33" spans="1:36" s="35" customFormat="1" x14ac:dyDescent="0.25">
      <c r="A33" s="35" t="s">
        <v>457</v>
      </c>
      <c r="B33" s="45" t="s">
        <v>356</v>
      </c>
      <c r="C33" s="35" t="s">
        <v>65</v>
      </c>
      <c r="D33" s="35" t="s">
        <v>357</v>
      </c>
      <c r="F33" s="46"/>
      <c r="H33" s="35" t="s">
        <v>238</v>
      </c>
      <c r="I33" s="47">
        <v>51.559040199711703</v>
      </c>
      <c r="J33" s="47" t="s">
        <v>3431</v>
      </c>
      <c r="N33" s="35">
        <v>25345</v>
      </c>
      <c r="O33" s="35" t="s">
        <v>63</v>
      </c>
      <c r="R33" s="45" t="s">
        <v>75</v>
      </c>
      <c r="S33" s="45" t="s">
        <v>123</v>
      </c>
      <c r="T33" s="48">
        <v>0</v>
      </c>
      <c r="U33" s="45" t="s">
        <v>175</v>
      </c>
      <c r="V33" s="45" t="str">
        <f t="shared" ref="V33:V58" si="3">IF("" = I33, "", SUBSTITUTE(SUBSTITUTE(GoogleStreetViewLinkFormat, "$lat$", I33), "$long$", J33))</f>
        <v>https://www.google.co.uk/maps/search/?api=1&amp;query=51.5590401997117,-0.114223804</v>
      </c>
      <c r="X33" s="51"/>
      <c r="Y33" s="51"/>
      <c r="AA33" s="35">
        <v>4</v>
      </c>
      <c r="AB33" s="35" t="s">
        <v>646</v>
      </c>
      <c r="AE33" s="49"/>
      <c r="AF33" s="49" t="str">
        <f t="shared" si="1"/>
        <v>DA39A3EE5E6B4B0D3255BFEF95601890AFD80709</v>
      </c>
      <c r="AG33" s="49">
        <f t="shared" ca="1" si="2"/>
        <v>3</v>
      </c>
      <c r="AH33" s="49"/>
      <c r="AI33" s="49"/>
    </row>
    <row r="34" spans="1:36" s="35" customFormat="1" x14ac:dyDescent="0.25">
      <c r="A34" s="35" t="s">
        <v>447</v>
      </c>
      <c r="B34" s="45" t="s">
        <v>339</v>
      </c>
      <c r="C34" s="35" t="s">
        <v>65</v>
      </c>
      <c r="D34" s="35" t="s">
        <v>3035</v>
      </c>
      <c r="F34" s="46"/>
      <c r="H34" s="35" t="s">
        <v>3024</v>
      </c>
      <c r="I34" s="47">
        <v>51.548383953262302</v>
      </c>
      <c r="J34" s="47" t="s">
        <v>3432</v>
      </c>
      <c r="L34" s="35">
        <v>306</v>
      </c>
      <c r="N34" s="35" t="s">
        <v>69</v>
      </c>
      <c r="O34" s="35" t="s">
        <v>69</v>
      </c>
      <c r="Q34" s="50" t="s">
        <v>545</v>
      </c>
      <c r="R34" s="35" t="s">
        <v>69</v>
      </c>
      <c r="S34" s="35" t="s">
        <v>69</v>
      </c>
      <c r="T34" s="48" t="s">
        <v>69</v>
      </c>
      <c r="U34" s="48" t="s">
        <v>69</v>
      </c>
      <c r="V34" s="45" t="str">
        <f t="shared" si="3"/>
        <v>https://www.google.co.uk/maps/search/?api=1&amp;query=51.5483839532623,-0.107893828</v>
      </c>
      <c r="X34" s="51"/>
      <c r="Y34" s="51"/>
      <c r="AA34" s="35">
        <v>2</v>
      </c>
      <c r="AB34" s="35" t="s">
        <v>644</v>
      </c>
      <c r="AE34" s="49" t="s">
        <v>546</v>
      </c>
      <c r="AF34" s="49" t="str">
        <f t="shared" si="1"/>
        <v>96E5982FCD4D2DB73697CE49D803F0D7502F1393</v>
      </c>
      <c r="AG34" s="49">
        <f t="shared" ca="1" si="2"/>
        <v>32</v>
      </c>
      <c r="AH34" s="49"/>
      <c r="AI34" s="49" t="s">
        <v>3038</v>
      </c>
      <c r="AJ34" s="35" t="s">
        <v>3393</v>
      </c>
    </row>
    <row r="35" spans="1:36" s="35" customFormat="1" x14ac:dyDescent="0.25">
      <c r="A35" s="35" t="s">
        <v>454</v>
      </c>
      <c r="B35" s="45" t="s">
        <v>350</v>
      </c>
      <c r="C35" s="35" t="s">
        <v>65</v>
      </c>
      <c r="D35" s="35" t="s">
        <v>351</v>
      </c>
      <c r="F35" s="46"/>
      <c r="H35" s="35" t="s">
        <v>399</v>
      </c>
      <c r="I35" s="47">
        <v>51.525505465136398</v>
      </c>
      <c r="J35" s="47" t="s">
        <v>3433</v>
      </c>
      <c r="L35" s="35">
        <v>90</v>
      </c>
      <c r="N35" s="35">
        <v>6856</v>
      </c>
      <c r="O35" s="35" t="s">
        <v>49</v>
      </c>
      <c r="Q35" s="50" t="s">
        <v>547</v>
      </c>
      <c r="R35" s="35" t="s">
        <v>69</v>
      </c>
      <c r="S35" s="45" t="s">
        <v>114</v>
      </c>
      <c r="T35" s="45" t="s">
        <v>80</v>
      </c>
      <c r="U35" s="45" t="s">
        <v>161</v>
      </c>
      <c r="V35" s="45" t="str">
        <f t="shared" si="3"/>
        <v>https://www.google.co.uk/maps/search/?api=1&amp;query=51.5255054651364,-0.109171693</v>
      </c>
      <c r="X35" s="51"/>
      <c r="Y35" s="51"/>
      <c r="AA35" s="35">
        <v>3</v>
      </c>
      <c r="AB35" s="35" t="s">
        <v>3500</v>
      </c>
      <c r="AE35" s="49" t="s">
        <v>548</v>
      </c>
      <c r="AF35" s="49" t="str">
        <f t="shared" si="1"/>
        <v>657C7860484914EF11E589A7939BDEC927E46730</v>
      </c>
      <c r="AG35" s="49">
        <f t="shared" ca="1" si="2"/>
        <v>33</v>
      </c>
      <c r="AH35" s="49"/>
      <c r="AI35" s="49"/>
    </row>
    <row r="36" spans="1:36" s="35" customFormat="1" x14ac:dyDescent="0.25">
      <c r="A36" s="35" t="s">
        <v>3045</v>
      </c>
      <c r="B36" s="45" t="s">
        <v>321</v>
      </c>
      <c r="C36" s="35" t="s">
        <v>65</v>
      </c>
      <c r="D36" s="35" t="s">
        <v>437</v>
      </c>
      <c r="F36" s="46"/>
      <c r="H36" s="35" t="s">
        <v>222</v>
      </c>
      <c r="I36" s="47">
        <v>51.541076389573497</v>
      </c>
      <c r="J36" s="47" t="s">
        <v>3434</v>
      </c>
      <c r="L36" s="35">
        <v>103</v>
      </c>
      <c r="N36" s="35" t="s">
        <v>69</v>
      </c>
      <c r="O36" s="35" t="s">
        <v>69</v>
      </c>
      <c r="Q36" s="50" t="s">
        <v>549</v>
      </c>
      <c r="R36" s="35" t="s">
        <v>69</v>
      </c>
      <c r="S36" s="35" t="s">
        <v>69</v>
      </c>
      <c r="T36" s="48" t="s">
        <v>69</v>
      </c>
      <c r="U36" s="48" t="s">
        <v>69</v>
      </c>
      <c r="V36" s="45" t="str">
        <f t="shared" si="3"/>
        <v>https://www.google.co.uk/maps/search/?api=1&amp;query=51.5410763895735,-0.11525676</v>
      </c>
      <c r="X36" s="51"/>
      <c r="Y36" s="51"/>
      <c r="AA36" s="35">
        <v>0</v>
      </c>
      <c r="AB36" s="35" t="s">
        <v>644</v>
      </c>
      <c r="AE36" s="49" t="s">
        <v>541</v>
      </c>
      <c r="AF36" s="49" t="str">
        <f t="shared" si="1"/>
        <v>BE135F02828641C2872A176E6972591E1E322012</v>
      </c>
      <c r="AG36" s="49">
        <f t="shared" ca="1" si="2"/>
        <v>29</v>
      </c>
      <c r="AH36" s="49"/>
      <c r="AI36" s="49" t="s">
        <v>3040</v>
      </c>
    </row>
    <row r="37" spans="1:36" s="35" customFormat="1" x14ac:dyDescent="0.25">
      <c r="A37" s="35" t="s">
        <v>436</v>
      </c>
      <c r="B37" s="45" t="s">
        <v>319</v>
      </c>
      <c r="C37" s="35" t="s">
        <v>65</v>
      </c>
      <c r="D37" s="35" t="s">
        <v>320</v>
      </c>
      <c r="F37" s="46"/>
      <c r="H37" s="35" t="s">
        <v>234</v>
      </c>
      <c r="I37" s="47">
        <v>51.569445416505502</v>
      </c>
      <c r="J37" s="47" t="s">
        <v>3435</v>
      </c>
      <c r="L37" s="35">
        <v>44</v>
      </c>
      <c r="N37" s="35">
        <v>6069</v>
      </c>
      <c r="O37" s="35" t="s">
        <v>57</v>
      </c>
      <c r="Q37" s="50" t="s">
        <v>550</v>
      </c>
      <c r="R37" s="35" t="s">
        <v>69</v>
      </c>
      <c r="T37" s="48">
        <v>0</v>
      </c>
      <c r="U37" s="45" t="s">
        <v>169</v>
      </c>
      <c r="V37" s="45" t="str">
        <f t="shared" si="3"/>
        <v>https://www.google.co.uk/maps/search/?api=1&amp;query=51.5694454165055,-0.135673216</v>
      </c>
      <c r="X37" s="51"/>
      <c r="Y37" s="51"/>
      <c r="AA37" s="35">
        <v>3</v>
      </c>
      <c r="AB37" s="35" t="s">
        <v>644</v>
      </c>
      <c r="AE37" s="49" t="s">
        <v>551</v>
      </c>
      <c r="AF37" s="49" t="str">
        <f t="shared" si="1"/>
        <v>F0DE5129FDBACB862197F3D49EC581AA307E1390</v>
      </c>
      <c r="AG37" s="49">
        <f t="shared" ca="1" si="2"/>
        <v>35</v>
      </c>
      <c r="AH37" s="49"/>
      <c r="AI37" s="49"/>
    </row>
    <row r="38" spans="1:36" s="35" customFormat="1" x14ac:dyDescent="0.25">
      <c r="A38" s="35" t="s">
        <v>439</v>
      </c>
      <c r="B38" s="45" t="s">
        <v>324</v>
      </c>
      <c r="C38" s="35" t="s">
        <v>65</v>
      </c>
      <c r="D38" s="35" t="s">
        <v>325</v>
      </c>
      <c r="F38" s="46"/>
      <c r="H38" s="35" t="s">
        <v>230</v>
      </c>
      <c r="I38" s="47">
        <v>51.565567305267699</v>
      </c>
      <c r="J38" s="47" t="s">
        <v>3436</v>
      </c>
      <c r="L38" s="35">
        <v>124</v>
      </c>
      <c r="N38" s="35">
        <v>8377</v>
      </c>
      <c r="O38" s="35" t="s">
        <v>54</v>
      </c>
      <c r="Q38" s="50" t="s">
        <v>553</v>
      </c>
      <c r="R38" s="35" t="s">
        <v>69</v>
      </c>
      <c r="S38" s="45" t="s">
        <v>118</v>
      </c>
      <c r="T38" s="48">
        <v>0</v>
      </c>
      <c r="U38" s="45" t="s">
        <v>166</v>
      </c>
      <c r="V38" s="45" t="str">
        <f t="shared" si="3"/>
        <v>https://www.google.co.uk/maps/search/?api=1&amp;query=51.5655673052677,-0.100556016</v>
      </c>
      <c r="X38" s="51"/>
      <c r="Y38" s="51"/>
      <c r="AA38" s="35">
        <v>0</v>
      </c>
      <c r="AB38" s="35" t="s">
        <v>646</v>
      </c>
      <c r="AE38" s="49" t="s">
        <v>554</v>
      </c>
      <c r="AF38" s="49" t="str">
        <f t="shared" si="1"/>
        <v>CEB8A25D2EF79FCB26AA5C3599D3082A17DD5BBB</v>
      </c>
      <c r="AG38" s="49">
        <f t="shared" ca="1" si="2"/>
        <v>36</v>
      </c>
      <c r="AH38" s="49"/>
      <c r="AI38" s="49"/>
    </row>
    <row r="39" spans="1:36" s="35" customFormat="1" x14ac:dyDescent="0.25">
      <c r="A39" s="35" t="s">
        <v>456</v>
      </c>
      <c r="B39" s="45" t="s">
        <v>354</v>
      </c>
      <c r="C39" s="35" t="s">
        <v>65</v>
      </c>
      <c r="D39" s="35" t="s">
        <v>355</v>
      </c>
      <c r="F39" s="46"/>
      <c r="H39" s="35" t="s">
        <v>227</v>
      </c>
      <c r="I39" s="47">
        <v>51.527822</v>
      </c>
      <c r="J39" s="47" t="s">
        <v>3437</v>
      </c>
      <c r="L39" s="35">
        <v>83</v>
      </c>
      <c r="N39" s="35">
        <v>6941</v>
      </c>
      <c r="O39" s="35" t="s">
        <v>51</v>
      </c>
      <c r="Q39" s="50" t="s">
        <v>555</v>
      </c>
      <c r="R39" s="35" t="s">
        <v>69</v>
      </c>
      <c r="S39" s="45" t="s">
        <v>115</v>
      </c>
      <c r="T39" s="45" t="s">
        <v>82</v>
      </c>
      <c r="U39" s="45" t="s">
        <v>163</v>
      </c>
      <c r="V39" s="45" t="str">
        <f t="shared" si="3"/>
        <v>https://www.google.co.uk/maps/search/?api=1&amp;query=51.527822,-0.097649624</v>
      </c>
      <c r="X39" s="51"/>
      <c r="Y39" s="51"/>
      <c r="AA39" s="35">
        <v>3</v>
      </c>
      <c r="AB39" s="35" t="s">
        <v>3499</v>
      </c>
      <c r="AE39" s="49" t="s">
        <v>556</v>
      </c>
      <c r="AF39" s="49" t="str">
        <f t="shared" si="1"/>
        <v>64A6B2800C2018C8D1F5C5F56D4E8EFD6DCC4D07</v>
      </c>
      <c r="AG39" s="49">
        <f t="shared" ca="1" si="2"/>
        <v>37</v>
      </c>
      <c r="AH39" s="49"/>
      <c r="AI39" s="49"/>
    </row>
    <row r="40" spans="1:36" s="35" customFormat="1" x14ac:dyDescent="0.25">
      <c r="A40" s="35" t="s">
        <v>441</v>
      </c>
      <c r="B40" s="45" t="s">
        <v>328</v>
      </c>
      <c r="C40" s="35" t="s">
        <v>65</v>
      </c>
      <c r="D40" s="35" t="s">
        <v>3033</v>
      </c>
      <c r="F40" s="46"/>
      <c r="H40" s="35" t="s">
        <v>239</v>
      </c>
      <c r="I40" s="47">
        <v>51.556881473099502</v>
      </c>
      <c r="J40" s="47" t="s">
        <v>3438</v>
      </c>
      <c r="L40" s="35">
        <v>44</v>
      </c>
      <c r="N40" s="35">
        <v>12628</v>
      </c>
      <c r="O40" s="35" t="s">
        <v>64</v>
      </c>
      <c r="Q40" s="50" t="s">
        <v>557</v>
      </c>
      <c r="R40" s="35" t="s">
        <v>69</v>
      </c>
      <c r="S40" s="45" t="s">
        <v>124</v>
      </c>
      <c r="T40" s="48">
        <v>0</v>
      </c>
      <c r="U40" s="45" t="s">
        <v>176</v>
      </c>
      <c r="V40" s="45" t="str">
        <f t="shared" si="3"/>
        <v>https://www.google.co.uk/maps/search/?api=1&amp;query=51.5568814730995,-0.126570192</v>
      </c>
      <c r="X40" s="51"/>
      <c r="Y40" s="51"/>
      <c r="AA40" s="35">
        <v>3</v>
      </c>
      <c r="AB40" s="35" t="s">
        <v>644</v>
      </c>
      <c r="AE40" s="49" t="s">
        <v>558</v>
      </c>
      <c r="AF40" s="49" t="str">
        <f t="shared" si="1"/>
        <v>6F71C3F6A1A8ED1E1FA4636BFBF918F0D6556CD1</v>
      </c>
      <c r="AG40" s="49">
        <f t="shared" ca="1" si="2"/>
        <v>38</v>
      </c>
      <c r="AH40" s="49"/>
      <c r="AI40" s="49"/>
    </row>
    <row r="41" spans="1:36" s="35" customFormat="1" x14ac:dyDescent="0.25">
      <c r="A41" s="35" t="s">
        <v>453</v>
      </c>
      <c r="B41" s="45" t="s">
        <v>349</v>
      </c>
      <c r="C41" s="35" t="s">
        <v>65</v>
      </c>
      <c r="D41" s="35" t="s">
        <v>658</v>
      </c>
      <c r="F41" s="46"/>
      <c r="H41" s="35" t="s">
        <v>225</v>
      </c>
      <c r="I41" s="47">
        <v>51.523560341322202</v>
      </c>
      <c r="J41" s="47" t="s">
        <v>3439</v>
      </c>
      <c r="L41" s="35">
        <v>162</v>
      </c>
      <c r="N41" s="35">
        <v>6856</v>
      </c>
      <c r="O41" s="35" t="s">
        <v>50</v>
      </c>
      <c r="Q41" s="50" t="s">
        <v>559</v>
      </c>
      <c r="R41" s="35" t="s">
        <v>69</v>
      </c>
      <c r="S41" s="45" t="s">
        <v>114</v>
      </c>
      <c r="T41" s="45" t="s">
        <v>81</v>
      </c>
      <c r="U41" s="45" t="s">
        <v>162</v>
      </c>
      <c r="V41" s="45" t="str">
        <f t="shared" si="3"/>
        <v>https://www.google.co.uk/maps/search/?api=1&amp;query=51.5235603413222,-0.105587866</v>
      </c>
      <c r="AA41" s="35">
        <v>0</v>
      </c>
      <c r="AB41" s="35" t="s">
        <v>644</v>
      </c>
      <c r="AE41" s="49" t="s">
        <v>560</v>
      </c>
      <c r="AF41" s="49" t="str">
        <f t="shared" si="1"/>
        <v>98028B130EE3BADE1D2EC8B97FD13CD94DE771E8</v>
      </c>
      <c r="AG41" s="49">
        <f t="shared" ca="1" si="2"/>
        <v>39</v>
      </c>
      <c r="AH41" s="49"/>
      <c r="AI41" s="49"/>
      <c r="AJ41" s="35" t="s">
        <v>659</v>
      </c>
    </row>
    <row r="42" spans="1:36" s="35" customFormat="1" x14ac:dyDescent="0.25">
      <c r="A42" s="35" t="s">
        <v>442</v>
      </c>
      <c r="B42" s="45" t="s">
        <v>329</v>
      </c>
      <c r="C42" s="35" t="s">
        <v>65</v>
      </c>
      <c r="D42" s="35" t="s">
        <v>330</v>
      </c>
      <c r="F42" s="46"/>
      <c r="H42" s="35" t="s">
        <v>254</v>
      </c>
      <c r="I42" s="47">
        <v>51.537165447157498</v>
      </c>
      <c r="J42" s="47" t="s">
        <v>3440</v>
      </c>
      <c r="L42" s="35">
        <v>109</v>
      </c>
      <c r="N42" s="35">
        <v>10339</v>
      </c>
      <c r="O42" s="35" t="s">
        <v>59</v>
      </c>
      <c r="Q42" s="50" t="s">
        <v>561</v>
      </c>
      <c r="R42" s="35" t="s">
        <v>69</v>
      </c>
      <c r="S42" s="45" t="s">
        <v>121</v>
      </c>
      <c r="T42" s="45" t="s">
        <v>84</v>
      </c>
      <c r="U42" s="45" t="s">
        <v>171</v>
      </c>
      <c r="V42" s="45" t="str">
        <f t="shared" si="3"/>
        <v>https://www.google.co.uk/maps/search/?api=1&amp;query=51.5371654471575,-0.095713958</v>
      </c>
      <c r="X42" s="51"/>
      <c r="Y42" s="51"/>
      <c r="AA42" s="35">
        <v>0</v>
      </c>
      <c r="AB42" s="35" t="s">
        <v>3499</v>
      </c>
      <c r="AE42" s="49" t="s">
        <v>562</v>
      </c>
      <c r="AF42" s="49" t="str">
        <f t="shared" si="1"/>
        <v>16CC0375893DE08A5C85F1CCA74BF17FF0009B57</v>
      </c>
      <c r="AG42" s="49">
        <f t="shared" ca="1" si="2"/>
        <v>40</v>
      </c>
      <c r="AH42" s="49"/>
      <c r="AI42" s="49"/>
    </row>
    <row r="43" spans="1:36" s="35" customFormat="1" x14ac:dyDescent="0.25">
      <c r="A43" s="35" t="s">
        <v>448</v>
      </c>
      <c r="B43" s="45" t="s">
        <v>340</v>
      </c>
      <c r="C43" s="35" t="s">
        <v>65</v>
      </c>
      <c r="D43" s="35" t="s">
        <v>3028</v>
      </c>
      <c r="F43" s="46"/>
      <c r="H43" s="35" t="s">
        <v>263</v>
      </c>
      <c r="I43" s="47">
        <v>51.565559805618904</v>
      </c>
      <c r="J43" s="47" t="s">
        <v>3441</v>
      </c>
      <c r="L43" s="35">
        <v>306</v>
      </c>
      <c r="N43" s="35">
        <v>10719</v>
      </c>
      <c r="O43" s="35" t="s">
        <v>58</v>
      </c>
      <c r="Q43" s="50" t="s">
        <v>563</v>
      </c>
      <c r="R43" s="35" t="s">
        <v>69</v>
      </c>
      <c r="S43" s="45" t="s">
        <v>120</v>
      </c>
      <c r="T43" s="48">
        <v>0</v>
      </c>
      <c r="U43" s="45" t="s">
        <v>170</v>
      </c>
      <c r="V43" s="45" t="str">
        <f t="shared" si="3"/>
        <v>https://www.google.co.uk/maps/search/?api=1&amp;query=51.5655598056189,-0.100550652</v>
      </c>
      <c r="X43" s="51"/>
      <c r="Y43" s="51"/>
      <c r="AA43" s="35">
        <v>0</v>
      </c>
      <c r="AB43" s="35" t="s">
        <v>644</v>
      </c>
      <c r="AE43" s="49" t="s">
        <v>558</v>
      </c>
      <c r="AF43" s="49" t="str">
        <f t="shared" si="1"/>
        <v>6F71C3F6A1A8ED1E1FA4636BFBF918F0D6556CD1</v>
      </c>
      <c r="AG43" s="49">
        <f t="shared" ca="1" si="2"/>
        <v>38</v>
      </c>
      <c r="AH43" s="49"/>
      <c r="AI43" s="49"/>
    </row>
    <row r="44" spans="1:36" s="35" customFormat="1" x14ac:dyDescent="0.25">
      <c r="A44" s="35" t="s">
        <v>443</v>
      </c>
      <c r="B44" s="45" t="s">
        <v>331</v>
      </c>
      <c r="C44" s="35" t="s">
        <v>65</v>
      </c>
      <c r="D44" s="35" t="s">
        <v>332</v>
      </c>
      <c r="F44" s="46"/>
      <c r="H44" s="35" t="s">
        <v>266</v>
      </c>
      <c r="I44" s="47">
        <v>51.548848733814602</v>
      </c>
      <c r="J44" s="47" t="s">
        <v>3442</v>
      </c>
      <c r="L44" s="35">
        <v>74</v>
      </c>
      <c r="N44" s="35">
        <v>14995</v>
      </c>
      <c r="O44" s="35" t="s">
        <v>61</v>
      </c>
      <c r="Q44" s="50" t="s">
        <v>565</v>
      </c>
      <c r="R44" s="35" t="s">
        <v>69</v>
      </c>
      <c r="T44" s="48">
        <v>0</v>
      </c>
      <c r="U44" s="45" t="s">
        <v>173</v>
      </c>
      <c r="V44" s="45" t="str">
        <f t="shared" si="3"/>
        <v>https://www.google.co.uk/maps/search/?api=1&amp;query=51.5488487338146,-0.080037134</v>
      </c>
      <c r="X44" s="51"/>
      <c r="Y44" s="51"/>
      <c r="AA44" s="35">
        <v>0</v>
      </c>
      <c r="AB44" s="35" t="s">
        <v>643</v>
      </c>
      <c r="AE44" s="49" t="s">
        <v>566</v>
      </c>
      <c r="AF44" s="49" t="str">
        <f t="shared" si="1"/>
        <v>F1667A292C403888534BD1A348023A1709D9FC59</v>
      </c>
      <c r="AG44" s="49">
        <f t="shared" ca="1" si="2"/>
        <v>42</v>
      </c>
      <c r="AH44" s="49"/>
      <c r="AI44" s="49"/>
    </row>
    <row r="45" spans="1:36" s="35" customFormat="1" x14ac:dyDescent="0.25">
      <c r="A45" s="35" t="s">
        <v>444</v>
      </c>
      <c r="B45" s="45" t="s">
        <v>333</v>
      </c>
      <c r="C45" s="35" t="s">
        <v>65</v>
      </c>
      <c r="D45" s="35" t="s">
        <v>334</v>
      </c>
      <c r="F45" s="46"/>
      <c r="H45" s="35" t="s">
        <v>231</v>
      </c>
      <c r="I45" s="47">
        <v>51.552510339039401</v>
      </c>
      <c r="J45" s="47" t="s">
        <v>3443</v>
      </c>
      <c r="L45" s="35">
        <v>268</v>
      </c>
      <c r="N45" s="35">
        <v>13877</v>
      </c>
      <c r="O45" s="35" t="s">
        <v>55</v>
      </c>
      <c r="Q45" s="50" t="s">
        <v>567</v>
      </c>
      <c r="R45" s="35" t="s">
        <v>69</v>
      </c>
      <c r="T45" s="48">
        <v>0</v>
      </c>
      <c r="U45" s="45" t="s">
        <v>167</v>
      </c>
      <c r="V45" s="45" t="str">
        <f t="shared" si="3"/>
        <v>https://www.google.co.uk/maps/search/?api=1&amp;query=51.5525103390394,-0.121301755</v>
      </c>
      <c r="X45" s="51"/>
      <c r="Y45" s="51"/>
      <c r="AA45" s="35">
        <v>0</v>
      </c>
      <c r="AB45" s="35" t="s">
        <v>646</v>
      </c>
      <c r="AE45" s="49" t="s">
        <v>568</v>
      </c>
      <c r="AF45" s="49" t="str">
        <f t="shared" si="1"/>
        <v>3C7F71324F37D386295D74A4061170F04A6C6793</v>
      </c>
      <c r="AG45" s="49">
        <f t="shared" ca="1" si="2"/>
        <v>43</v>
      </c>
      <c r="AH45" s="49"/>
      <c r="AI45" s="49"/>
    </row>
    <row r="46" spans="1:36" s="35" customFormat="1" x14ac:dyDescent="0.25">
      <c r="A46" s="35" t="s">
        <v>455</v>
      </c>
      <c r="B46" s="45" t="s">
        <v>352</v>
      </c>
      <c r="C46" s="35" t="s">
        <v>65</v>
      </c>
      <c r="D46" s="35" t="s">
        <v>353</v>
      </c>
      <c r="F46" s="46"/>
      <c r="H46" s="35" t="s">
        <v>226</v>
      </c>
      <c r="I46" s="47">
        <v>51.530051380484103</v>
      </c>
      <c r="J46" s="47" t="s">
        <v>3444</v>
      </c>
      <c r="L46" s="35">
        <v>72</v>
      </c>
      <c r="N46" s="35" t="s">
        <v>69</v>
      </c>
      <c r="O46" s="35" t="s">
        <v>69</v>
      </c>
      <c r="Q46" s="50" t="s">
        <v>569</v>
      </c>
      <c r="R46" s="35" t="s">
        <v>69</v>
      </c>
      <c r="S46" s="35" t="s">
        <v>69</v>
      </c>
      <c r="T46" s="48" t="s">
        <v>69</v>
      </c>
      <c r="U46" s="48" t="s">
        <v>69</v>
      </c>
      <c r="V46" s="45" t="str">
        <f t="shared" si="3"/>
        <v>https://www.google.co.uk/maps/search/?api=1&amp;query=51.5300513804841,-0.108695179</v>
      </c>
      <c r="X46" s="51"/>
      <c r="Y46" s="51"/>
      <c r="AA46" s="35">
        <v>3</v>
      </c>
      <c r="AB46" s="35" t="s">
        <v>3499</v>
      </c>
      <c r="AE46" s="49" t="s">
        <v>570</v>
      </c>
      <c r="AF46" s="49" t="str">
        <f t="shared" si="1"/>
        <v>10862624916E63B99C584DBC147F41126FDE6AE9</v>
      </c>
      <c r="AG46" s="49">
        <f t="shared" ca="1" si="2"/>
        <v>44</v>
      </c>
      <c r="AH46" s="49"/>
      <c r="AI46" s="49"/>
    </row>
    <row r="47" spans="1:36" s="35" customFormat="1" x14ac:dyDescent="0.25">
      <c r="A47" s="35" t="s">
        <v>445</v>
      </c>
      <c r="B47" s="45" t="s">
        <v>335</v>
      </c>
      <c r="C47" s="35" t="s">
        <v>65</v>
      </c>
      <c r="D47" s="35" t="s">
        <v>336</v>
      </c>
      <c r="F47" s="46"/>
      <c r="H47" s="35" t="s">
        <v>237</v>
      </c>
      <c r="I47" s="47">
        <v>51.565784000000001</v>
      </c>
      <c r="J47" s="47" t="s">
        <v>3445</v>
      </c>
      <c r="L47" s="35">
        <v>232</v>
      </c>
      <c r="N47" s="35">
        <v>25345</v>
      </c>
      <c r="O47" s="35" t="s">
        <v>63</v>
      </c>
      <c r="Q47" s="50" t="s">
        <v>571</v>
      </c>
      <c r="R47" s="45" t="s">
        <v>75</v>
      </c>
      <c r="S47" s="45" t="s">
        <v>123</v>
      </c>
      <c r="T47" s="48">
        <v>0</v>
      </c>
      <c r="U47" s="45" t="s">
        <v>175</v>
      </c>
      <c r="V47" s="45" t="str">
        <f t="shared" si="3"/>
        <v>https://www.google.co.uk/maps/search/?api=1&amp;query=51.565784,-0.11353868</v>
      </c>
      <c r="X47" s="51"/>
      <c r="Y47" s="51"/>
      <c r="AA47" s="35">
        <v>2</v>
      </c>
      <c r="AB47" s="35" t="s">
        <v>644</v>
      </c>
      <c r="AE47" s="49" t="s">
        <v>572</v>
      </c>
      <c r="AF47" s="49" t="str">
        <f t="shared" si="1"/>
        <v>89C3F26DDC490B5B87E9CE34686F44F601DE9CBF</v>
      </c>
      <c r="AG47" s="49">
        <f t="shared" ca="1" si="2"/>
        <v>45</v>
      </c>
      <c r="AH47" s="49"/>
      <c r="AI47" s="49"/>
    </row>
    <row r="48" spans="1:36" s="35" customFormat="1" x14ac:dyDescent="0.25">
      <c r="A48" s="35" t="s">
        <v>446</v>
      </c>
      <c r="B48" s="45" t="s">
        <v>337</v>
      </c>
      <c r="C48" s="35" t="s">
        <v>65</v>
      </c>
      <c r="D48" s="35" t="s">
        <v>338</v>
      </c>
      <c r="F48" s="46"/>
      <c r="H48" s="35" t="s">
        <v>233</v>
      </c>
      <c r="I48" s="47">
        <v>51.571299616046403</v>
      </c>
      <c r="J48" s="47" t="s">
        <v>3446</v>
      </c>
      <c r="L48" s="35">
        <v>81</v>
      </c>
      <c r="N48" s="35">
        <v>9307</v>
      </c>
      <c r="O48" s="35" t="s">
        <v>56</v>
      </c>
      <c r="Q48" s="50" t="s">
        <v>574</v>
      </c>
      <c r="R48" s="35" t="s">
        <v>69</v>
      </c>
      <c r="S48" s="45" t="s">
        <v>119</v>
      </c>
      <c r="T48" s="48">
        <v>0</v>
      </c>
      <c r="U48" s="45" t="s">
        <v>168</v>
      </c>
      <c r="V48" s="45" t="str">
        <f t="shared" si="3"/>
        <v>https://www.google.co.uk/maps/search/?api=1&amp;query=51.5712996160464,-0.122906883</v>
      </c>
      <c r="X48" s="51"/>
      <c r="Y48" s="51"/>
      <c r="AA48" s="35">
        <v>0</v>
      </c>
      <c r="AB48" s="35" t="s">
        <v>644</v>
      </c>
      <c r="AE48" s="49" t="s">
        <v>575</v>
      </c>
      <c r="AF48" s="49" t="str">
        <f t="shared" si="1"/>
        <v>D478CEB31D93DD28711F02BE13E6CA8877F3E322</v>
      </c>
      <c r="AG48" s="49">
        <f t="shared" ca="1" si="2"/>
        <v>46</v>
      </c>
      <c r="AH48" s="49"/>
      <c r="AI48" s="49"/>
    </row>
    <row r="49" spans="1:36" s="35" customFormat="1" x14ac:dyDescent="0.25">
      <c r="A49" s="35" t="s">
        <v>435</v>
      </c>
      <c r="B49" s="45" t="s">
        <v>317</v>
      </c>
      <c r="C49" s="35" t="s">
        <v>65</v>
      </c>
      <c r="D49" s="35" t="s">
        <v>318</v>
      </c>
      <c r="F49" s="46"/>
      <c r="H49" s="35" t="s">
        <v>235</v>
      </c>
      <c r="I49" s="47">
        <v>51.538373999999997</v>
      </c>
      <c r="J49" s="47" t="s">
        <v>3447</v>
      </c>
      <c r="L49" s="35">
        <v>207</v>
      </c>
      <c r="N49" s="35">
        <v>6128</v>
      </c>
      <c r="O49" s="35" t="s">
        <v>60</v>
      </c>
      <c r="Q49" s="50" t="s">
        <v>576</v>
      </c>
      <c r="R49" s="35" t="s">
        <v>69</v>
      </c>
      <c r="S49" s="45" t="s">
        <v>121</v>
      </c>
      <c r="T49" s="45" t="s">
        <v>85</v>
      </c>
      <c r="U49" s="45" t="s">
        <v>172</v>
      </c>
      <c r="V49" s="45" t="str">
        <f t="shared" si="3"/>
        <v>https://www.google.co.uk/maps/search/?api=1&amp;query=51.538374,-0.10180962</v>
      </c>
      <c r="X49" s="51"/>
      <c r="Y49" s="51"/>
      <c r="AA49" s="35">
        <v>3</v>
      </c>
      <c r="AB49" s="35" t="s">
        <v>644</v>
      </c>
      <c r="AE49" s="49" t="s">
        <v>577</v>
      </c>
      <c r="AF49" s="49" t="str">
        <f t="shared" si="1"/>
        <v>2F2196FF58920B2A52E2B7C469611AE2FA2441B4</v>
      </c>
      <c r="AG49" s="49">
        <f t="shared" ca="1" si="2"/>
        <v>47</v>
      </c>
      <c r="AH49" s="49"/>
      <c r="AI49" s="49"/>
    </row>
    <row r="50" spans="1:36" s="35" customFormat="1" x14ac:dyDescent="0.25">
      <c r="A50" s="35" t="s">
        <v>449</v>
      </c>
      <c r="B50" s="45" t="s">
        <v>341</v>
      </c>
      <c r="C50" s="35" t="s">
        <v>65</v>
      </c>
      <c r="D50" s="35" t="s">
        <v>342</v>
      </c>
      <c r="F50" s="46"/>
      <c r="H50" s="35" t="s">
        <v>400</v>
      </c>
      <c r="I50" s="47">
        <v>51.570076999999998</v>
      </c>
      <c r="J50" s="47" t="s">
        <v>3448</v>
      </c>
      <c r="N50" s="35">
        <v>25345</v>
      </c>
      <c r="O50" s="35" t="s">
        <v>63</v>
      </c>
      <c r="R50" s="45" t="s">
        <v>75</v>
      </c>
      <c r="S50" s="45" t="s">
        <v>123</v>
      </c>
      <c r="T50" s="48">
        <v>0</v>
      </c>
      <c r="U50" s="45" t="s">
        <v>175</v>
      </c>
      <c r="V50" s="45" t="str">
        <f t="shared" si="3"/>
        <v>https://www.google.co.uk/maps/search/?api=1&amp;query=51.570077,-0.11657886</v>
      </c>
      <c r="X50" s="51"/>
      <c r="Y50" s="51"/>
      <c r="AA50" s="35">
        <v>3</v>
      </c>
      <c r="AB50" s="35" t="s">
        <v>644</v>
      </c>
      <c r="AE50" s="49"/>
      <c r="AF50" s="49" t="str">
        <f t="shared" si="1"/>
        <v>DA39A3EE5E6B4B0D3255BFEF95601890AFD80709</v>
      </c>
      <c r="AG50" s="49">
        <f t="shared" ca="1" si="2"/>
        <v>3</v>
      </c>
      <c r="AH50" s="49"/>
      <c r="AI50" s="49"/>
    </row>
    <row r="51" spans="1:36" s="35" customFormat="1" x14ac:dyDescent="0.25">
      <c r="A51" s="35" t="s">
        <v>450</v>
      </c>
      <c r="B51" s="45" t="s">
        <v>343</v>
      </c>
      <c r="C51" s="35" t="s">
        <v>65</v>
      </c>
      <c r="D51" s="35" t="s">
        <v>344</v>
      </c>
      <c r="F51" s="46"/>
      <c r="H51" s="35" t="s">
        <v>236</v>
      </c>
      <c r="I51" s="47">
        <v>51.533426749770904</v>
      </c>
      <c r="J51" s="47" t="s">
        <v>3449</v>
      </c>
      <c r="L51" s="35">
        <v>70</v>
      </c>
      <c r="N51" s="35">
        <v>5972</v>
      </c>
      <c r="O51" s="35" t="s">
        <v>62</v>
      </c>
      <c r="Q51" s="50" t="s">
        <v>578</v>
      </c>
      <c r="R51" s="35" t="s">
        <v>69</v>
      </c>
      <c r="S51" s="45" t="s">
        <v>122</v>
      </c>
      <c r="T51" s="48">
        <v>0</v>
      </c>
      <c r="U51" s="45" t="s">
        <v>174</v>
      </c>
      <c r="V51" s="45" t="str">
        <f t="shared" si="3"/>
        <v>https://www.google.co.uk/maps/search/?api=1&amp;query=51.5334267497709,-0.112020749</v>
      </c>
      <c r="X51" s="51"/>
      <c r="Y51" s="51"/>
      <c r="AA51" s="35">
        <v>4</v>
      </c>
      <c r="AB51" s="35" t="s">
        <v>3499</v>
      </c>
      <c r="AE51" s="49" t="s">
        <v>579</v>
      </c>
      <c r="AF51" s="49" t="str">
        <f t="shared" si="1"/>
        <v>211FB36AF9E1B241F45F62219B950B98EF949728</v>
      </c>
      <c r="AG51" s="49">
        <f t="shared" ca="1" si="2"/>
        <v>49</v>
      </c>
      <c r="AH51" s="49"/>
      <c r="AI51" s="49"/>
    </row>
    <row r="52" spans="1:36" s="35" customFormat="1" x14ac:dyDescent="0.25">
      <c r="A52" s="35" t="s">
        <v>451</v>
      </c>
      <c r="B52" s="45" t="s">
        <v>345</v>
      </c>
      <c r="C52" s="35" t="s">
        <v>65</v>
      </c>
      <c r="D52" s="35" t="s">
        <v>346</v>
      </c>
      <c r="F52" s="46"/>
      <c r="H52" s="35" t="s">
        <v>224</v>
      </c>
      <c r="I52" s="47">
        <v>51.540949565646301</v>
      </c>
      <c r="J52" s="47" t="s">
        <v>3450</v>
      </c>
      <c r="L52" s="35">
        <v>136</v>
      </c>
      <c r="N52" s="35">
        <v>8039</v>
      </c>
      <c r="O52" s="35" t="s">
        <v>48</v>
      </c>
      <c r="Q52" s="50" t="s">
        <v>580</v>
      </c>
      <c r="R52" s="35" t="s">
        <v>69</v>
      </c>
      <c r="S52" s="45" t="s">
        <v>113</v>
      </c>
      <c r="T52" s="48">
        <v>0</v>
      </c>
      <c r="U52" s="45" t="s">
        <v>160</v>
      </c>
      <c r="V52" s="45" t="str">
        <f t="shared" si="3"/>
        <v>https://www.google.co.uk/maps/search/?api=1&amp;query=51.5409495656463,-0.097240249</v>
      </c>
      <c r="X52" s="51"/>
      <c r="Y52" s="51"/>
      <c r="AA52" s="35">
        <v>0</v>
      </c>
      <c r="AB52" s="35" t="s">
        <v>3499</v>
      </c>
      <c r="AE52" s="49" t="s">
        <v>581</v>
      </c>
      <c r="AF52" s="49" t="str">
        <f t="shared" si="1"/>
        <v>103D67A5BB678E56922C6A23B2D0F7DAC305EEA8</v>
      </c>
      <c r="AG52" s="49">
        <f t="shared" ca="1" si="2"/>
        <v>50</v>
      </c>
      <c r="AH52" s="49"/>
      <c r="AI52" s="49"/>
    </row>
    <row r="53" spans="1:36" s="35" customFormat="1" x14ac:dyDescent="0.25">
      <c r="A53" s="35" t="s">
        <v>452</v>
      </c>
      <c r="B53" s="45" t="s">
        <v>347</v>
      </c>
      <c r="C53" s="35" t="s">
        <v>65</v>
      </c>
      <c r="D53" s="35" t="s">
        <v>348</v>
      </c>
      <c r="F53" s="46"/>
      <c r="H53" s="35" t="s">
        <v>228</v>
      </c>
      <c r="I53" s="47">
        <v>51.559954458674099</v>
      </c>
      <c r="J53" s="47" t="s">
        <v>3451</v>
      </c>
      <c r="L53" s="35">
        <v>155</v>
      </c>
      <c r="N53" s="35">
        <v>8196</v>
      </c>
      <c r="O53" s="35" t="s">
        <v>52</v>
      </c>
      <c r="Q53" s="50" t="s">
        <v>582</v>
      </c>
      <c r="R53" s="35" t="s">
        <v>69</v>
      </c>
      <c r="S53" s="45" t="s">
        <v>116</v>
      </c>
      <c r="T53" s="48">
        <v>0</v>
      </c>
      <c r="U53" s="45" t="s">
        <v>164</v>
      </c>
      <c r="V53" s="45" t="str">
        <f t="shared" si="3"/>
        <v>https://www.google.co.uk/maps/search/?api=1&amp;query=51.5599544586741,-0.103928894</v>
      </c>
      <c r="X53" s="51"/>
      <c r="Y53" s="51"/>
      <c r="AA53" s="35">
        <v>0</v>
      </c>
      <c r="AB53" s="35" t="s">
        <v>646</v>
      </c>
      <c r="AE53" s="49" t="s">
        <v>583</v>
      </c>
      <c r="AF53" s="49" t="str">
        <f t="shared" si="1"/>
        <v>0EED966043BEC63A0B30927CEBC0442519D9CD50</v>
      </c>
      <c r="AG53" s="49">
        <f t="shared" ca="1" si="2"/>
        <v>51</v>
      </c>
      <c r="AH53" s="49"/>
      <c r="AI53" s="49"/>
    </row>
    <row r="54" spans="1:36" s="35" customFormat="1" x14ac:dyDescent="0.25">
      <c r="A54" s="35" t="s">
        <v>3046</v>
      </c>
      <c r="B54" s="45" t="s">
        <v>323</v>
      </c>
      <c r="C54" s="35" t="s">
        <v>65</v>
      </c>
      <c r="D54" s="35" t="s">
        <v>47</v>
      </c>
      <c r="F54" s="46"/>
      <c r="H54" s="35" t="s">
        <v>223</v>
      </c>
      <c r="I54" s="47">
        <v>51.535916660772003</v>
      </c>
      <c r="J54" s="47" t="s">
        <v>3452</v>
      </c>
      <c r="L54" s="35">
        <v>66</v>
      </c>
      <c r="N54" s="35" t="s">
        <v>69</v>
      </c>
      <c r="O54" s="35" t="s">
        <v>69</v>
      </c>
      <c r="Q54" s="50" t="s">
        <v>584</v>
      </c>
      <c r="R54" s="50" t="s">
        <v>74</v>
      </c>
      <c r="S54" s="35" t="s">
        <v>69</v>
      </c>
      <c r="T54" s="48" t="s">
        <v>69</v>
      </c>
      <c r="U54" s="48" t="s">
        <v>69</v>
      </c>
      <c r="V54" s="45" t="str">
        <f t="shared" si="3"/>
        <v>https://www.google.co.uk/maps/search/?api=1&amp;query=51.535916660772,-0.110737476</v>
      </c>
      <c r="X54" s="51"/>
      <c r="Y54" s="51"/>
      <c r="AA54" s="35">
        <v>0</v>
      </c>
      <c r="AB54" s="35" t="s">
        <v>644</v>
      </c>
      <c r="AE54" s="49" t="s">
        <v>541</v>
      </c>
      <c r="AF54" s="49" t="str">
        <f t="shared" si="1"/>
        <v>BE135F02828641C2872A176E6972591E1E322012</v>
      </c>
      <c r="AG54" s="49">
        <f t="shared" ca="1" si="2"/>
        <v>29</v>
      </c>
      <c r="AH54" s="49"/>
      <c r="AI54" s="49" t="s">
        <v>3040</v>
      </c>
    </row>
    <row r="55" spans="1:36" s="35" customFormat="1" x14ac:dyDescent="0.25">
      <c r="A55" s="35" t="s">
        <v>458</v>
      </c>
      <c r="B55" s="45" t="s">
        <v>358</v>
      </c>
      <c r="C55" s="35" t="s">
        <v>65</v>
      </c>
      <c r="D55" s="35" t="s">
        <v>3034</v>
      </c>
      <c r="F55" s="46"/>
      <c r="H55" s="35" t="s">
        <v>226</v>
      </c>
      <c r="I55" s="47">
        <v>51.5300671090815</v>
      </c>
      <c r="J55" s="47" t="s">
        <v>3453</v>
      </c>
      <c r="N55" s="35">
        <v>6856</v>
      </c>
      <c r="O55" s="35" t="s">
        <v>50</v>
      </c>
      <c r="Q55" s="50" t="s">
        <v>585</v>
      </c>
      <c r="R55" s="35" t="s">
        <v>69</v>
      </c>
      <c r="S55" s="45" t="s">
        <v>114</v>
      </c>
      <c r="T55" s="48">
        <v>0</v>
      </c>
      <c r="U55" s="45" t="s">
        <v>162</v>
      </c>
      <c r="V55" s="45" t="str">
        <f t="shared" si="3"/>
        <v>https://www.google.co.uk/maps/search/?api=1&amp;query=51.5300671090815,-0.108815501</v>
      </c>
      <c r="X55" s="51"/>
      <c r="Y55" s="51"/>
      <c r="AA55" s="35">
        <v>0</v>
      </c>
      <c r="AB55" s="35" t="s">
        <v>644</v>
      </c>
      <c r="AE55" s="49"/>
      <c r="AF55" s="49" t="str">
        <f t="shared" si="1"/>
        <v>DA39A3EE5E6B4B0D3255BFEF95601890AFD80709</v>
      </c>
      <c r="AG55" s="49">
        <f t="shared" ca="1" si="2"/>
        <v>3</v>
      </c>
      <c r="AH55" s="49"/>
      <c r="AI55" s="49"/>
      <c r="AJ55" s="35" t="s">
        <v>3394</v>
      </c>
    </row>
    <row r="56" spans="1:36" s="35" customFormat="1" x14ac:dyDescent="0.25">
      <c r="A56" s="35" t="s">
        <v>471</v>
      </c>
      <c r="B56" s="45" t="s">
        <v>377</v>
      </c>
      <c r="C56" s="35" t="s">
        <v>46</v>
      </c>
      <c r="D56" s="35" t="s">
        <v>378</v>
      </c>
      <c r="F56" s="46"/>
      <c r="H56" s="35" t="s">
        <v>586</v>
      </c>
      <c r="I56" s="47">
        <v>51.520519005954199</v>
      </c>
      <c r="J56" s="47" t="s">
        <v>3454</v>
      </c>
      <c r="L56" s="35">
        <v>161</v>
      </c>
      <c r="N56" s="35">
        <v>6196</v>
      </c>
      <c r="O56" s="35" t="s">
        <v>33</v>
      </c>
      <c r="Q56" s="50" t="s">
        <v>587</v>
      </c>
      <c r="R56" s="35" t="s">
        <v>69</v>
      </c>
      <c r="S56" s="45" t="s">
        <v>128</v>
      </c>
      <c r="T56" s="45" t="s">
        <v>92</v>
      </c>
      <c r="U56" s="45" t="s">
        <v>183</v>
      </c>
      <c r="V56" s="45" t="str">
        <f t="shared" si="3"/>
        <v>https://www.google.co.uk/maps/search/?api=1&amp;query=51.5205190059542,-0.020099206</v>
      </c>
      <c r="X56" s="51"/>
      <c r="Y56" s="51"/>
      <c r="AA56" s="35">
        <v>2</v>
      </c>
      <c r="AB56" s="35" t="s">
        <v>644</v>
      </c>
      <c r="AE56" s="49" t="s">
        <v>588</v>
      </c>
      <c r="AF56" s="49" t="str">
        <f t="shared" si="1"/>
        <v>00EC1C486632869722D4F92B8C77F89A7525DC6E</v>
      </c>
      <c r="AG56" s="49">
        <f t="shared" ca="1" si="2"/>
        <v>54</v>
      </c>
      <c r="AH56" s="49"/>
      <c r="AI56" s="49"/>
    </row>
    <row r="57" spans="1:36" s="35" customFormat="1" x14ac:dyDescent="0.25">
      <c r="A57" s="35" t="s">
        <v>3047</v>
      </c>
      <c r="B57" s="45" t="s">
        <v>371</v>
      </c>
      <c r="C57" s="35" t="s">
        <v>46</v>
      </c>
      <c r="D57" s="35" t="s">
        <v>466</v>
      </c>
      <c r="F57" s="46"/>
      <c r="H57" s="35" t="s">
        <v>248</v>
      </c>
      <c r="I57" s="47">
        <v>51.510534327410198</v>
      </c>
      <c r="J57" s="47" t="s">
        <v>3455</v>
      </c>
      <c r="L57" s="35">
        <v>344</v>
      </c>
      <c r="N57" s="35" t="s">
        <v>69</v>
      </c>
      <c r="O57" s="35" t="s">
        <v>69</v>
      </c>
      <c r="Q57" s="50" t="s">
        <v>589</v>
      </c>
      <c r="R57" s="35" t="s">
        <v>69</v>
      </c>
      <c r="S57" s="35" t="s">
        <v>69</v>
      </c>
      <c r="T57" s="48" t="s">
        <v>69</v>
      </c>
      <c r="U57" s="48" t="s">
        <v>69</v>
      </c>
      <c r="V57" s="45" t="str">
        <f t="shared" si="3"/>
        <v>https://www.google.co.uk/maps/search/?api=1&amp;query=51.5105343274102,-0.011635423</v>
      </c>
      <c r="X57" s="51"/>
      <c r="Y57" s="51"/>
      <c r="AA57" s="35">
        <v>0</v>
      </c>
      <c r="AB57" s="35" t="s">
        <v>646</v>
      </c>
      <c r="AE57" s="49" t="s">
        <v>590</v>
      </c>
      <c r="AF57" s="49" t="str">
        <f t="shared" si="1"/>
        <v>22FD63D7972E1EAC90B0EF999E660A05DA861BA7</v>
      </c>
      <c r="AG57" s="49">
        <f t="shared" ca="1" si="2"/>
        <v>55</v>
      </c>
      <c r="AH57" s="49"/>
      <c r="AI57" s="49" t="s">
        <v>3041</v>
      </c>
    </row>
    <row r="58" spans="1:36" s="35" customFormat="1" x14ac:dyDescent="0.25">
      <c r="A58" s="35" t="s">
        <v>468</v>
      </c>
      <c r="B58" s="45" t="s">
        <v>373</v>
      </c>
      <c r="C58" s="35" t="s">
        <v>46</v>
      </c>
      <c r="D58" s="35" t="s">
        <v>3027</v>
      </c>
      <c r="F58" s="46"/>
      <c r="H58" s="35" t="s">
        <v>244</v>
      </c>
      <c r="I58" s="47">
        <v>51.499136</v>
      </c>
      <c r="J58" s="47" t="s">
        <v>3456</v>
      </c>
      <c r="L58" s="35">
        <v>151</v>
      </c>
      <c r="N58" s="35" t="s">
        <v>69</v>
      </c>
      <c r="O58" s="35" t="s">
        <v>69</v>
      </c>
      <c r="Q58" s="50" t="s">
        <v>591</v>
      </c>
      <c r="R58" s="35" t="s">
        <v>69</v>
      </c>
      <c r="S58" s="35" t="s">
        <v>69</v>
      </c>
      <c r="T58" s="48" t="s">
        <v>69</v>
      </c>
      <c r="U58" s="48" t="s">
        <v>69</v>
      </c>
      <c r="V58" s="45" t="str">
        <f t="shared" si="3"/>
        <v>https://www.google.co.uk/maps/search/?api=1&amp;query=51.499136,-0.023736839</v>
      </c>
      <c r="X58" s="51"/>
      <c r="Y58" s="51"/>
      <c r="AA58" s="35">
        <v>0</v>
      </c>
      <c r="AB58" s="35" t="s">
        <v>646</v>
      </c>
      <c r="AE58" s="49" t="s">
        <v>592</v>
      </c>
      <c r="AF58" s="49" t="str">
        <f t="shared" si="1"/>
        <v>B13BDB5BE059FC918751011885FD738359EBF01B</v>
      </c>
      <c r="AG58" s="49">
        <f t="shared" ca="1" si="2"/>
        <v>56</v>
      </c>
      <c r="AH58" s="49"/>
      <c r="AI58" s="49"/>
    </row>
    <row r="59" spans="1:36" s="35" customFormat="1" x14ac:dyDescent="0.25">
      <c r="A59" s="35" t="s">
        <v>469</v>
      </c>
      <c r="B59" s="45" t="s">
        <v>374</v>
      </c>
      <c r="C59" s="35" t="s">
        <v>46</v>
      </c>
      <c r="D59" s="35" t="s">
        <v>375</v>
      </c>
      <c r="F59" s="46"/>
      <c r="H59" s="35" t="s">
        <v>243</v>
      </c>
      <c r="I59" s="47">
        <v>51.4890609954114</v>
      </c>
      <c r="J59" s="47" t="s">
        <v>3457</v>
      </c>
      <c r="L59" s="35">
        <v>99</v>
      </c>
      <c r="N59" s="35">
        <v>32052</v>
      </c>
      <c r="O59" s="35" t="s">
        <v>34</v>
      </c>
      <c r="Q59" s="50" t="s">
        <v>593</v>
      </c>
      <c r="R59" s="35" t="s">
        <v>69</v>
      </c>
      <c r="S59" s="45" t="s">
        <v>129</v>
      </c>
      <c r="T59" s="48">
        <v>0</v>
      </c>
      <c r="U59" s="45" t="s">
        <v>184</v>
      </c>
      <c r="V59" s="45" t="str">
        <f t="shared" ref="V59:V78" si="4">IF("" = I59, "", SUBSTITUTE(SUBSTITUTE(GoogleStreetViewLinkFormat, "$lat$", I59), "$long$", J59))</f>
        <v>https://www.google.co.uk/maps/search/?api=1&amp;query=51.4890609954114,-0.00625357</v>
      </c>
      <c r="X59" s="51"/>
      <c r="Y59" s="51"/>
      <c r="AA59" s="35">
        <v>3</v>
      </c>
      <c r="AB59" s="35" t="s">
        <v>3499</v>
      </c>
      <c r="AE59" s="49" t="s">
        <v>592</v>
      </c>
      <c r="AF59" s="49" t="str">
        <f t="shared" si="1"/>
        <v>B13BDB5BE059FC918751011885FD738359EBF01B</v>
      </c>
      <c r="AG59" s="49">
        <f t="shared" ca="1" si="2"/>
        <v>56</v>
      </c>
      <c r="AH59" s="49"/>
      <c r="AI59" s="49"/>
    </row>
    <row r="60" spans="1:36" s="35" customFormat="1" x14ac:dyDescent="0.25">
      <c r="A60" s="35" t="s">
        <v>482</v>
      </c>
      <c r="B60" s="45" t="s">
        <v>396</v>
      </c>
      <c r="C60" s="35" t="s">
        <v>46</v>
      </c>
      <c r="D60" s="35" t="s">
        <v>397</v>
      </c>
      <c r="F60" s="46"/>
      <c r="H60" s="35" t="s">
        <v>251</v>
      </c>
      <c r="I60" s="47">
        <v>51.519075999999998</v>
      </c>
      <c r="J60" s="47" t="s">
        <v>3458</v>
      </c>
      <c r="L60" s="35">
        <v>207</v>
      </c>
      <c r="N60" s="35">
        <v>12526</v>
      </c>
      <c r="O60" s="35" t="s">
        <v>40</v>
      </c>
      <c r="Q60" s="50" t="s">
        <v>594</v>
      </c>
      <c r="R60" s="35" t="s">
        <v>69</v>
      </c>
      <c r="S60" s="45" t="s">
        <v>134</v>
      </c>
      <c r="T60" s="45" t="s">
        <v>97</v>
      </c>
      <c r="U60" s="45" t="s">
        <v>189</v>
      </c>
      <c r="V60" s="45" t="str">
        <f t="shared" si="4"/>
        <v>https://www.google.co.uk/maps/search/?api=1&amp;query=51.519076,-0.073683263</v>
      </c>
      <c r="X60" s="51"/>
      <c r="Y60" s="51"/>
      <c r="AA60" s="35">
        <v>1</v>
      </c>
      <c r="AB60" s="35" t="s">
        <v>644</v>
      </c>
      <c r="AE60" s="49" t="s">
        <v>595</v>
      </c>
      <c r="AF60" s="49" t="str">
        <f t="shared" si="1"/>
        <v>0CC84DEFC6417ECBDAAF363EB6299CC20EDCDC27</v>
      </c>
      <c r="AG60" s="49">
        <f t="shared" ca="1" si="2"/>
        <v>58</v>
      </c>
      <c r="AH60" s="49"/>
      <c r="AI60" s="49"/>
    </row>
    <row r="61" spans="1:36" s="35" customFormat="1" x14ac:dyDescent="0.25">
      <c r="A61" s="35" t="s">
        <v>465</v>
      </c>
      <c r="B61" s="45" t="s">
        <v>369</v>
      </c>
      <c r="C61" s="35" t="s">
        <v>46</v>
      </c>
      <c r="D61" s="35" t="s">
        <v>370</v>
      </c>
      <c r="F61" s="46"/>
      <c r="H61" s="35" t="s">
        <v>248</v>
      </c>
      <c r="I61" s="47">
        <v>51.510557353971699</v>
      </c>
      <c r="J61" s="47" t="s">
        <v>3459</v>
      </c>
      <c r="N61" s="35" t="s">
        <v>69</v>
      </c>
      <c r="O61" s="35" t="s">
        <v>69</v>
      </c>
      <c r="R61" s="35" t="s">
        <v>69</v>
      </c>
      <c r="S61" s="35" t="s">
        <v>69</v>
      </c>
      <c r="T61" s="48" t="s">
        <v>69</v>
      </c>
      <c r="U61" s="48" t="s">
        <v>69</v>
      </c>
      <c r="V61" s="45" t="str">
        <f t="shared" si="4"/>
        <v>https://www.google.co.uk/maps/search/?api=1&amp;query=51.5105573539717,-0.011638682</v>
      </c>
      <c r="X61" s="51"/>
      <c r="Y61" s="51"/>
      <c r="AA61" s="35">
        <v>3</v>
      </c>
      <c r="AB61" s="35" t="s">
        <v>3499</v>
      </c>
      <c r="AE61" s="49"/>
      <c r="AF61" s="49" t="str">
        <f t="shared" si="1"/>
        <v>DA39A3EE5E6B4B0D3255BFEF95601890AFD80709</v>
      </c>
      <c r="AG61" s="49">
        <f t="shared" ca="1" si="2"/>
        <v>3</v>
      </c>
      <c r="AH61" s="49"/>
      <c r="AI61" s="49"/>
      <c r="AJ61" s="35" t="s">
        <v>3394</v>
      </c>
    </row>
    <row r="62" spans="1:36" s="35" customFormat="1" x14ac:dyDescent="0.25">
      <c r="A62" s="35" t="s">
        <v>474</v>
      </c>
      <c r="B62" s="45" t="s">
        <v>382</v>
      </c>
      <c r="C62" s="35" t="s">
        <v>46</v>
      </c>
      <c r="D62" s="35" t="s">
        <v>383</v>
      </c>
      <c r="F62" s="46" t="s">
        <v>655</v>
      </c>
      <c r="H62" s="35" t="s">
        <v>245</v>
      </c>
      <c r="I62" s="47">
        <v>51.51144</v>
      </c>
      <c r="J62" s="47" t="s">
        <v>3460</v>
      </c>
      <c r="L62" s="35">
        <v>109</v>
      </c>
      <c r="N62" s="35" t="s">
        <v>69</v>
      </c>
      <c r="O62" s="35" t="s">
        <v>69</v>
      </c>
      <c r="Q62" s="50" t="s">
        <v>596</v>
      </c>
      <c r="R62" s="35" t="s">
        <v>69</v>
      </c>
      <c r="S62" s="35" t="s">
        <v>69</v>
      </c>
      <c r="T62" s="48" t="s">
        <v>69</v>
      </c>
      <c r="U62" s="48" t="s">
        <v>69</v>
      </c>
      <c r="V62" s="45" t="str">
        <f t="shared" si="4"/>
        <v>https://www.google.co.uk/maps/search/?api=1&amp;query=51.51144,-0.028652011</v>
      </c>
      <c r="X62" s="51"/>
      <c r="Y62" s="51"/>
      <c r="AA62" s="35">
        <v>2</v>
      </c>
      <c r="AB62" s="35" t="s">
        <v>644</v>
      </c>
      <c r="AE62" s="49" t="s">
        <v>597</v>
      </c>
      <c r="AF62" s="49" t="str">
        <f t="shared" si="1"/>
        <v>C1635EF2C95CAEDFD625FC3E9734DB0A18E1275C</v>
      </c>
      <c r="AG62" s="49">
        <f t="shared" ca="1" si="2"/>
        <v>60</v>
      </c>
      <c r="AH62" s="49"/>
      <c r="AI62" s="49"/>
    </row>
    <row r="63" spans="1:36" s="35" customFormat="1" x14ac:dyDescent="0.25">
      <c r="A63" s="35" t="s">
        <v>475</v>
      </c>
      <c r="B63" s="45" t="s">
        <v>384</v>
      </c>
      <c r="C63" s="35" t="s">
        <v>46</v>
      </c>
      <c r="D63" s="35" t="s">
        <v>36</v>
      </c>
      <c r="F63" s="46"/>
      <c r="H63" s="35" t="s">
        <v>598</v>
      </c>
      <c r="I63" s="47">
        <v>51.511521000000002</v>
      </c>
      <c r="J63" s="47" t="s">
        <v>3461</v>
      </c>
      <c r="N63" s="35">
        <v>13115</v>
      </c>
      <c r="O63" s="35" t="s">
        <v>35</v>
      </c>
      <c r="R63" s="35" t="s">
        <v>69</v>
      </c>
      <c r="S63" s="45" t="s">
        <v>130</v>
      </c>
      <c r="T63" s="45" t="s">
        <v>93</v>
      </c>
      <c r="U63" s="45" t="s">
        <v>185</v>
      </c>
      <c r="V63" s="45" t="str">
        <f t="shared" si="4"/>
        <v>https://www.google.co.uk/maps/search/?api=1&amp;query=51.511521,-0.031357896</v>
      </c>
      <c r="X63" s="51"/>
      <c r="Y63" s="51"/>
      <c r="AA63" s="35">
        <v>0</v>
      </c>
      <c r="AB63" s="35" t="s">
        <v>644</v>
      </c>
      <c r="AE63" s="49"/>
      <c r="AF63" s="49" t="str">
        <f t="shared" si="1"/>
        <v>DA39A3EE5E6B4B0D3255BFEF95601890AFD80709</v>
      </c>
      <c r="AG63" s="49">
        <f t="shared" ca="1" si="2"/>
        <v>3</v>
      </c>
      <c r="AH63" s="49"/>
      <c r="AI63" s="49"/>
    </row>
    <row r="64" spans="1:36" s="35" customFormat="1" x14ac:dyDescent="0.25">
      <c r="A64" s="35" t="s">
        <v>461</v>
      </c>
      <c r="B64" s="45" t="s">
        <v>362</v>
      </c>
      <c r="C64" s="35" t="s">
        <v>46</v>
      </c>
      <c r="D64" s="35" t="s">
        <v>363</v>
      </c>
      <c r="F64" s="46"/>
      <c r="H64" s="35" t="s">
        <v>255</v>
      </c>
      <c r="I64" s="47">
        <v>51.531114268152002</v>
      </c>
      <c r="J64" s="47" t="s">
        <v>3462</v>
      </c>
      <c r="L64" s="35">
        <v>104</v>
      </c>
      <c r="N64" s="35">
        <v>3649</v>
      </c>
      <c r="O64" s="35" t="s">
        <v>27</v>
      </c>
      <c r="Q64" s="50" t="s">
        <v>599</v>
      </c>
      <c r="R64" s="35" t="s">
        <v>69</v>
      </c>
      <c r="S64" s="45" t="s">
        <v>125</v>
      </c>
      <c r="T64" s="45" t="s">
        <v>86</v>
      </c>
      <c r="U64" s="45" t="s">
        <v>177</v>
      </c>
      <c r="V64" s="45" t="str">
        <f t="shared" si="4"/>
        <v>https://www.google.co.uk/maps/search/?api=1&amp;query=51.531114268152,-0.039985031</v>
      </c>
      <c r="X64" s="51"/>
      <c r="Y64" s="51"/>
      <c r="AA64" s="35">
        <v>4</v>
      </c>
      <c r="AB64" s="35" t="s">
        <v>3499</v>
      </c>
      <c r="AE64" s="49" t="s">
        <v>600</v>
      </c>
      <c r="AF64" s="49" t="str">
        <f t="shared" si="1"/>
        <v>5436D2C2117460A195D83EDFB41855838B180D81</v>
      </c>
      <c r="AG64" s="49">
        <f t="shared" ca="1" si="2"/>
        <v>62</v>
      </c>
      <c r="AH64" s="49"/>
      <c r="AI64" s="49"/>
    </row>
    <row r="65" spans="1:36" s="35" customFormat="1" x14ac:dyDescent="0.25">
      <c r="A65" s="35" t="s">
        <v>480</v>
      </c>
      <c r="B65" s="45" t="s">
        <v>393</v>
      </c>
      <c r="C65" s="35" t="s">
        <v>46</v>
      </c>
      <c r="D65" s="35" t="s">
        <v>3025</v>
      </c>
      <c r="F65" s="46"/>
      <c r="H65" s="35" t="s">
        <v>253</v>
      </c>
      <c r="I65" s="47">
        <v>51.516883</v>
      </c>
      <c r="J65" s="47" t="s">
        <v>3463</v>
      </c>
      <c r="L65" s="35">
        <v>107</v>
      </c>
      <c r="N65" s="35">
        <v>28415</v>
      </c>
      <c r="O65" s="35" t="s">
        <v>45</v>
      </c>
      <c r="Q65" s="50" t="s">
        <v>601</v>
      </c>
      <c r="R65" s="35" t="s">
        <v>69</v>
      </c>
      <c r="S65" s="45" t="s">
        <v>136</v>
      </c>
      <c r="T65" s="48">
        <v>0</v>
      </c>
      <c r="U65" s="45" t="s">
        <v>193</v>
      </c>
      <c r="V65" s="45" t="str">
        <f t="shared" si="4"/>
        <v>https://www.google.co.uk/maps/search/?api=1&amp;query=51.516883,-0.041691714</v>
      </c>
      <c r="X65" s="51"/>
      <c r="Y65" s="51"/>
      <c r="AA65" s="35">
        <v>4</v>
      </c>
      <c r="AB65" s="35" t="s">
        <v>3499</v>
      </c>
      <c r="AE65" s="49" t="s">
        <v>602</v>
      </c>
      <c r="AF65" s="49" t="str">
        <f t="shared" si="1"/>
        <v>2E290BBA79FDCBDA814E02851F40A43D14927BBE</v>
      </c>
      <c r="AG65" s="49">
        <f t="shared" ca="1" si="2"/>
        <v>63</v>
      </c>
      <c r="AH65" s="49"/>
      <c r="AI65" s="49"/>
    </row>
    <row r="66" spans="1:36" s="35" customFormat="1" x14ac:dyDescent="0.25">
      <c r="A66" s="35" t="s">
        <v>476</v>
      </c>
      <c r="B66" s="45" t="s">
        <v>385</v>
      </c>
      <c r="C66" s="35" t="s">
        <v>46</v>
      </c>
      <c r="D66" s="35" t="s">
        <v>386</v>
      </c>
      <c r="F66" s="46"/>
      <c r="H66" s="35" t="s">
        <v>603</v>
      </c>
      <c r="I66" s="47">
        <v>51.510041200987303</v>
      </c>
      <c r="J66" s="47" t="s">
        <v>3464</v>
      </c>
      <c r="L66" s="35">
        <v>51</v>
      </c>
      <c r="N66" s="35">
        <v>12241</v>
      </c>
      <c r="O66" s="35" t="s">
        <v>42</v>
      </c>
      <c r="Q66" s="50" t="s">
        <v>604</v>
      </c>
      <c r="R66" s="35" t="s">
        <v>69</v>
      </c>
      <c r="T66" s="45" t="s">
        <v>98</v>
      </c>
      <c r="U66" s="45" t="s">
        <v>191</v>
      </c>
      <c r="V66" s="45" t="str">
        <f t="shared" si="4"/>
        <v>https://www.google.co.uk/maps/search/?api=1&amp;query=51.5100412009873,-0.059716702</v>
      </c>
      <c r="X66" s="51"/>
      <c r="Y66" s="51"/>
      <c r="AA66" s="35">
        <v>2</v>
      </c>
      <c r="AB66" s="35" t="s">
        <v>3499</v>
      </c>
      <c r="AC66" s="35" t="s">
        <v>647</v>
      </c>
      <c r="AE66" s="49" t="s">
        <v>605</v>
      </c>
      <c r="AF66" s="49" t="str">
        <f t="shared" si="1"/>
        <v>1210E66A119BF8EBA0A3B5B1C2E69E218F0F591C</v>
      </c>
      <c r="AG66" s="49">
        <f t="shared" ca="1" si="2"/>
        <v>64</v>
      </c>
      <c r="AH66" s="49"/>
      <c r="AI66" s="49"/>
    </row>
    <row r="67" spans="1:36" s="35" customFormat="1" x14ac:dyDescent="0.25">
      <c r="A67" s="35" t="s">
        <v>462</v>
      </c>
      <c r="B67" s="45" t="s">
        <v>364</v>
      </c>
      <c r="C67" s="35" t="s">
        <v>46</v>
      </c>
      <c r="D67" s="35" t="s">
        <v>365</v>
      </c>
      <c r="F67" s="46"/>
      <c r="H67" s="35" t="s">
        <v>240</v>
      </c>
      <c r="I67" s="47">
        <v>51.531837036825003</v>
      </c>
      <c r="J67" s="47" t="s">
        <v>3465</v>
      </c>
      <c r="L67" s="35">
        <v>42</v>
      </c>
      <c r="N67" s="35">
        <v>5641</v>
      </c>
      <c r="O67" s="35" t="s">
        <v>28</v>
      </c>
      <c r="Q67" s="50" t="s">
        <v>606</v>
      </c>
      <c r="R67" s="35" t="s">
        <v>69</v>
      </c>
      <c r="S67" s="45" t="s">
        <v>125</v>
      </c>
      <c r="T67" s="45" t="s">
        <v>87</v>
      </c>
      <c r="U67" s="45" t="s">
        <v>178</v>
      </c>
      <c r="V67" s="45" t="str">
        <f t="shared" si="4"/>
        <v>https://www.google.co.uk/maps/search/?api=1&amp;query=51.531837036825,-0.047868043</v>
      </c>
      <c r="X67" s="51"/>
      <c r="Y67" s="51"/>
      <c r="AA67" s="35">
        <v>4</v>
      </c>
      <c r="AB67" s="35" t="s">
        <v>643</v>
      </c>
      <c r="AE67" s="49" t="s">
        <v>607</v>
      </c>
      <c r="AF67" s="49" t="str">
        <f t="shared" ref="AF67:AF80" si="5">CalcSha(AE67)</f>
        <v>D5A1D9ECB7398246846D077C5DF50E50324FEC97</v>
      </c>
      <c r="AG67" s="49">
        <f t="shared" ca="1" si="2"/>
        <v>65</v>
      </c>
      <c r="AH67" s="49"/>
      <c r="AI67" s="49"/>
    </row>
    <row r="68" spans="1:36" s="35" customFormat="1" x14ac:dyDescent="0.25">
      <c r="A68" s="35" t="s">
        <v>463</v>
      </c>
      <c r="B68" s="45" t="s">
        <v>366</v>
      </c>
      <c r="C68" s="35" t="s">
        <v>46</v>
      </c>
      <c r="D68" s="35" t="s">
        <v>44</v>
      </c>
      <c r="F68" s="46"/>
      <c r="H68" s="35" t="s">
        <v>265</v>
      </c>
      <c r="I68" s="47">
        <v>51.5275758467278</v>
      </c>
      <c r="J68" s="47" t="s">
        <v>3466</v>
      </c>
      <c r="L68" s="35">
        <v>92</v>
      </c>
      <c r="N68" s="35">
        <v>21869</v>
      </c>
      <c r="O68" s="35" t="s">
        <v>43</v>
      </c>
      <c r="Q68" s="50" t="s">
        <v>608</v>
      </c>
      <c r="R68" s="35" t="s">
        <v>69</v>
      </c>
      <c r="S68" s="45" t="s">
        <v>99</v>
      </c>
      <c r="T68" s="45" t="s">
        <v>99</v>
      </c>
      <c r="U68" s="45" t="s">
        <v>192</v>
      </c>
      <c r="V68" s="45" t="str">
        <f t="shared" si="4"/>
        <v>https://www.google.co.uk/maps/search/?api=1&amp;query=51.5275758467278,-0.05490616</v>
      </c>
      <c r="X68" s="51"/>
      <c r="Y68" s="51"/>
      <c r="AA68" s="35">
        <v>0</v>
      </c>
      <c r="AB68" s="35" t="s">
        <v>3499</v>
      </c>
      <c r="AE68" s="49" t="s">
        <v>609</v>
      </c>
      <c r="AF68" s="49" t="str">
        <f t="shared" si="5"/>
        <v>C83B541EA381F6E3BE2F4EE35B323FF365A3C6B8</v>
      </c>
      <c r="AG68" s="49">
        <f t="shared" ref="AG68:AG80" ca="1" si="6">MATCH2(AE68,AE:AE) - 2</f>
        <v>66</v>
      </c>
      <c r="AH68" s="49"/>
      <c r="AI68" s="49"/>
    </row>
    <row r="69" spans="1:36" s="35" customFormat="1" x14ac:dyDescent="0.25">
      <c r="A69" s="35" t="s">
        <v>470</v>
      </c>
      <c r="B69" s="45" t="s">
        <v>376</v>
      </c>
      <c r="C69" s="35" t="s">
        <v>46</v>
      </c>
      <c r="D69" s="35" t="s">
        <v>665</v>
      </c>
      <c r="F69" s="46"/>
      <c r="H69" s="35" t="s">
        <v>244</v>
      </c>
      <c r="I69" s="47">
        <v>51.499764567856403</v>
      </c>
      <c r="J69" s="47" t="s">
        <v>3467</v>
      </c>
      <c r="L69" s="35">
        <v>40</v>
      </c>
      <c r="N69" s="35">
        <v>32052</v>
      </c>
      <c r="O69" s="35" t="s">
        <v>34</v>
      </c>
      <c r="Q69" s="50" t="s">
        <v>73</v>
      </c>
      <c r="R69" s="35" t="s">
        <v>69</v>
      </c>
      <c r="S69" s="45" t="s">
        <v>129</v>
      </c>
      <c r="T69" s="48">
        <v>0</v>
      </c>
      <c r="U69" s="45" t="s">
        <v>184</v>
      </c>
      <c r="V69" s="45" t="str">
        <f t="shared" si="4"/>
        <v>https://www.google.co.uk/maps/search/?api=1&amp;query=51.4997645678564,-0.023431991</v>
      </c>
      <c r="AA69" s="35">
        <v>3</v>
      </c>
      <c r="AB69" s="35" t="s">
        <v>644</v>
      </c>
      <c r="AE69" s="49" t="s">
        <v>592</v>
      </c>
      <c r="AF69" s="49" t="str">
        <f t="shared" si="5"/>
        <v>B13BDB5BE059FC918751011885FD738359EBF01B</v>
      </c>
      <c r="AG69" s="49">
        <f t="shared" ca="1" si="6"/>
        <v>56</v>
      </c>
      <c r="AH69" s="49"/>
      <c r="AI69" s="49"/>
      <c r="AJ69" s="35" t="s">
        <v>663</v>
      </c>
    </row>
    <row r="70" spans="1:36" s="35" customFormat="1" x14ac:dyDescent="0.25">
      <c r="A70" s="35" t="s">
        <v>472</v>
      </c>
      <c r="B70" s="45" t="s">
        <v>379</v>
      </c>
      <c r="C70" s="35" t="s">
        <v>46</v>
      </c>
      <c r="D70" s="35" t="s">
        <v>3029</v>
      </c>
      <c r="F70" s="46"/>
      <c r="H70" s="35" t="s">
        <v>264</v>
      </c>
      <c r="I70" s="47">
        <v>51.528793808418399</v>
      </c>
      <c r="J70" s="47" t="s">
        <v>3468</v>
      </c>
      <c r="L70" s="35">
        <v>90</v>
      </c>
      <c r="N70" s="35">
        <v>23145</v>
      </c>
      <c r="O70" s="35" t="s">
        <v>31</v>
      </c>
      <c r="Q70" s="50" t="s">
        <v>610</v>
      </c>
      <c r="R70" s="35" t="s">
        <v>69</v>
      </c>
      <c r="S70" s="45" t="s">
        <v>126</v>
      </c>
      <c r="T70" s="45" t="s">
        <v>90</v>
      </c>
      <c r="U70" s="45" t="s">
        <v>181</v>
      </c>
      <c r="V70" s="45" t="str">
        <f t="shared" si="4"/>
        <v>https://www.google.co.uk/maps/search/?api=1&amp;query=51.5287938084184,-0.016676859</v>
      </c>
      <c r="X70" s="51"/>
      <c r="Y70" s="51"/>
      <c r="AA70" s="35">
        <v>3</v>
      </c>
      <c r="AB70" s="35" t="s">
        <v>644</v>
      </c>
      <c r="AE70" s="49" t="s">
        <v>611</v>
      </c>
      <c r="AF70" s="49" t="str">
        <f t="shared" si="5"/>
        <v>FF70A4365C18B62A2B080842067256F94965C26E</v>
      </c>
      <c r="AG70" s="49">
        <f t="shared" ca="1" si="6"/>
        <v>68</v>
      </c>
      <c r="AH70" s="49"/>
      <c r="AI70" s="49"/>
    </row>
    <row r="71" spans="1:36" s="35" customFormat="1" x14ac:dyDescent="0.25">
      <c r="A71" s="35" t="s">
        <v>477</v>
      </c>
      <c r="B71" s="45" t="s">
        <v>387</v>
      </c>
      <c r="C71" s="35" t="s">
        <v>46</v>
      </c>
      <c r="D71" s="35" t="s">
        <v>388</v>
      </c>
      <c r="F71" s="46"/>
      <c r="H71" s="35" t="s">
        <v>252</v>
      </c>
      <c r="I71" s="47">
        <v>51.511239326369399</v>
      </c>
      <c r="J71" s="47" t="s">
        <v>3469</v>
      </c>
      <c r="L71" s="35">
        <v>60</v>
      </c>
      <c r="N71" s="35">
        <v>5686</v>
      </c>
      <c r="O71" s="35" t="s">
        <v>41</v>
      </c>
      <c r="Q71" s="50" t="s">
        <v>612</v>
      </c>
      <c r="R71" s="35" t="s">
        <v>69</v>
      </c>
      <c r="S71" s="45" t="s">
        <v>135</v>
      </c>
      <c r="T71" s="48">
        <v>0</v>
      </c>
      <c r="U71" s="45" t="s">
        <v>190</v>
      </c>
      <c r="V71" s="45" t="str">
        <f t="shared" si="4"/>
        <v>https://www.google.co.uk/maps/search/?api=1&amp;query=51.5112393263694,-0.050697428</v>
      </c>
      <c r="X71" s="51"/>
      <c r="Y71" s="51"/>
      <c r="AA71" s="35">
        <v>4</v>
      </c>
      <c r="AB71" s="35" t="s">
        <v>3499</v>
      </c>
      <c r="AE71" s="49" t="s">
        <v>613</v>
      </c>
      <c r="AF71" s="49" t="str">
        <f t="shared" si="5"/>
        <v>2F65C2868D8D72A93934150A31E1A65D69C0AF6B</v>
      </c>
      <c r="AG71" s="49">
        <f t="shared" ca="1" si="6"/>
        <v>69</v>
      </c>
      <c r="AH71" s="49"/>
      <c r="AI71" s="49"/>
    </row>
    <row r="72" spans="1:36" s="35" customFormat="1" x14ac:dyDescent="0.25">
      <c r="A72" s="35" t="s">
        <v>460</v>
      </c>
      <c r="B72" s="45" t="s">
        <v>360</v>
      </c>
      <c r="C72" s="35" t="s">
        <v>46</v>
      </c>
      <c r="D72" s="35" t="s">
        <v>361</v>
      </c>
      <c r="F72" s="46"/>
      <c r="H72" s="35" t="s">
        <v>256</v>
      </c>
      <c r="I72" s="47">
        <v>51.525150034037502</v>
      </c>
      <c r="J72" s="47" t="s">
        <v>3470</v>
      </c>
      <c r="L72" s="35">
        <v>63</v>
      </c>
      <c r="N72" s="35">
        <v>12272</v>
      </c>
      <c r="O72" s="35" t="s">
        <v>29</v>
      </c>
      <c r="Q72" s="50" t="s">
        <v>72</v>
      </c>
      <c r="R72" s="35" t="s">
        <v>69</v>
      </c>
      <c r="S72" s="45" t="s">
        <v>125</v>
      </c>
      <c r="T72" s="45" t="s">
        <v>88</v>
      </c>
      <c r="U72" s="45" t="s">
        <v>179</v>
      </c>
      <c r="V72" s="45" t="str">
        <f t="shared" si="4"/>
        <v>https://www.google.co.uk/maps/search/?api=1&amp;query=51.5251500340375,-0.06716849</v>
      </c>
      <c r="X72" s="51"/>
      <c r="Y72" s="51"/>
      <c r="AA72" s="35">
        <v>3</v>
      </c>
      <c r="AB72" s="35" t="s">
        <v>3499</v>
      </c>
      <c r="AE72" s="49" t="s">
        <v>614</v>
      </c>
      <c r="AF72" s="49" t="str">
        <f t="shared" si="5"/>
        <v>5F5E669169233BA4BA279E17A78D0100A00033B7</v>
      </c>
      <c r="AG72" s="49">
        <f t="shared" ca="1" si="6"/>
        <v>70</v>
      </c>
      <c r="AH72" s="49"/>
      <c r="AI72" s="49"/>
    </row>
    <row r="73" spans="1:36" s="35" customFormat="1" x14ac:dyDescent="0.25">
      <c r="A73" s="35" t="s">
        <v>3048</v>
      </c>
      <c r="B73" s="45" t="s">
        <v>372</v>
      </c>
      <c r="C73" s="35" t="s">
        <v>46</v>
      </c>
      <c r="D73" s="35" t="s">
        <v>467</v>
      </c>
      <c r="F73" s="46"/>
      <c r="H73" s="35" t="s">
        <v>249</v>
      </c>
      <c r="I73" s="47">
        <v>51.514217405491202</v>
      </c>
      <c r="J73" s="47" t="s">
        <v>3471</v>
      </c>
      <c r="L73" s="35">
        <v>344</v>
      </c>
      <c r="N73" s="35" t="s">
        <v>69</v>
      </c>
      <c r="O73" s="35" t="s">
        <v>69</v>
      </c>
      <c r="Q73" s="50" t="s">
        <v>615</v>
      </c>
      <c r="R73" s="35" t="s">
        <v>69</v>
      </c>
      <c r="S73" s="35" t="s">
        <v>69</v>
      </c>
      <c r="T73" s="48" t="s">
        <v>69</v>
      </c>
      <c r="U73" s="48" t="s">
        <v>69</v>
      </c>
      <c r="V73" s="45" t="str">
        <f t="shared" si="4"/>
        <v>https://www.google.co.uk/maps/search/?api=1&amp;query=51.5142174054912,-0.005611181</v>
      </c>
      <c r="X73" s="51"/>
      <c r="Y73" s="51"/>
      <c r="AA73" s="35">
        <v>0</v>
      </c>
      <c r="AB73" s="35" t="s">
        <v>3499</v>
      </c>
      <c r="AE73" s="49"/>
      <c r="AF73" s="49" t="str">
        <f t="shared" si="5"/>
        <v>DA39A3EE5E6B4B0D3255BFEF95601890AFD80709</v>
      </c>
      <c r="AG73" s="49">
        <f t="shared" ca="1" si="6"/>
        <v>3</v>
      </c>
      <c r="AH73" s="49"/>
      <c r="AI73" s="49" t="s">
        <v>3041</v>
      </c>
    </row>
    <row r="74" spans="1:36" s="35" customFormat="1" x14ac:dyDescent="0.25">
      <c r="A74" s="35" t="s">
        <v>473</v>
      </c>
      <c r="B74" s="45" t="s">
        <v>380</v>
      </c>
      <c r="C74" s="35" t="s">
        <v>46</v>
      </c>
      <c r="D74" s="35" t="s">
        <v>381</v>
      </c>
      <c r="F74" s="46"/>
      <c r="H74" s="35" t="s">
        <v>247</v>
      </c>
      <c r="I74" s="47">
        <v>51.533165339799098</v>
      </c>
      <c r="J74" s="47" t="s">
        <v>3472</v>
      </c>
      <c r="L74" s="35">
        <v>129</v>
      </c>
      <c r="N74" s="35">
        <v>15551</v>
      </c>
      <c r="O74" s="35" t="s">
        <v>38</v>
      </c>
      <c r="Q74" s="50" t="s">
        <v>616</v>
      </c>
      <c r="R74" s="35" t="s">
        <v>69</v>
      </c>
      <c r="S74" s="45" t="s">
        <v>132</v>
      </c>
      <c r="T74" s="45" t="s">
        <v>95</v>
      </c>
      <c r="U74" s="45" t="s">
        <v>187</v>
      </c>
      <c r="V74" s="45" t="str">
        <f t="shared" si="4"/>
        <v>https://www.google.co.uk/maps/search/?api=1&amp;query=51.5331653397991,-0.0323461</v>
      </c>
      <c r="AA74" s="35">
        <v>2</v>
      </c>
      <c r="AB74" s="35" t="s">
        <v>643</v>
      </c>
      <c r="AE74" s="49" t="s">
        <v>617</v>
      </c>
      <c r="AF74" s="49" t="str">
        <f t="shared" si="5"/>
        <v>3B8FDD171FBBD22360DCC386FA5B30B15E034C5E</v>
      </c>
      <c r="AG74" s="49">
        <f t="shared" ca="1" si="6"/>
        <v>72</v>
      </c>
      <c r="AH74" s="49"/>
      <c r="AI74" s="49"/>
      <c r="AJ74" s="35" t="s">
        <v>3393</v>
      </c>
    </row>
    <row r="75" spans="1:36" s="35" customFormat="1" x14ac:dyDescent="0.25">
      <c r="A75" s="35" t="s">
        <v>481</v>
      </c>
      <c r="B75" s="45" t="s">
        <v>394</v>
      </c>
      <c r="C75" s="35" t="s">
        <v>46</v>
      </c>
      <c r="D75" s="35" t="s">
        <v>395</v>
      </c>
      <c r="F75" s="46"/>
      <c r="H75" s="35" t="s">
        <v>242</v>
      </c>
      <c r="I75" s="47">
        <v>51.517570669620198</v>
      </c>
      <c r="J75" s="47" t="s">
        <v>3473</v>
      </c>
      <c r="L75" s="35">
        <v>79</v>
      </c>
      <c r="N75" s="35">
        <v>6912</v>
      </c>
      <c r="O75" s="35" t="s">
        <v>32</v>
      </c>
      <c r="Q75" s="50" t="s">
        <v>618</v>
      </c>
      <c r="R75" s="35" t="s">
        <v>69</v>
      </c>
      <c r="S75" s="45" t="s">
        <v>127</v>
      </c>
      <c r="T75" s="45" t="s">
        <v>91</v>
      </c>
      <c r="U75" s="45" t="s">
        <v>182</v>
      </c>
      <c r="V75" s="45" t="str">
        <f t="shared" si="4"/>
        <v>https://www.google.co.uk/maps/search/?api=1&amp;query=51.5175706696202,-0.029391646</v>
      </c>
      <c r="X75" s="51"/>
      <c r="Y75" s="51"/>
      <c r="AA75" s="35">
        <v>4</v>
      </c>
      <c r="AB75" s="35" t="s">
        <v>3499</v>
      </c>
      <c r="AE75" s="49" t="s">
        <v>619</v>
      </c>
      <c r="AF75" s="49" t="str">
        <f t="shared" si="5"/>
        <v>8388390C4D27C6E6E8599C72D5D0101D81863E86</v>
      </c>
      <c r="AG75" s="49">
        <f t="shared" ca="1" si="6"/>
        <v>73</v>
      </c>
      <c r="AH75" s="49"/>
      <c r="AI75" s="49"/>
    </row>
    <row r="76" spans="1:36" s="35" customFormat="1" x14ac:dyDescent="0.25">
      <c r="A76" s="35" t="s">
        <v>479</v>
      </c>
      <c r="B76" s="45" t="s">
        <v>391</v>
      </c>
      <c r="C76" s="35" t="s">
        <v>46</v>
      </c>
      <c r="D76" s="35" t="s">
        <v>392</v>
      </c>
      <c r="F76" s="46"/>
      <c r="H76" s="35" t="s">
        <v>250</v>
      </c>
      <c r="I76" s="47">
        <v>51.509417577712</v>
      </c>
      <c r="J76" s="47" t="s">
        <v>3474</v>
      </c>
      <c r="L76" s="35">
        <v>244</v>
      </c>
      <c r="N76" s="35">
        <v>6088</v>
      </c>
      <c r="O76" s="35" t="s">
        <v>39</v>
      </c>
      <c r="Q76" s="50" t="s">
        <v>620</v>
      </c>
      <c r="R76" s="35" t="s">
        <v>69</v>
      </c>
      <c r="S76" s="45" t="s">
        <v>133</v>
      </c>
      <c r="T76" s="45" t="s">
        <v>96</v>
      </c>
      <c r="U76" s="45" t="s">
        <v>188</v>
      </c>
      <c r="V76" s="45" t="str">
        <f t="shared" si="4"/>
        <v>https://www.google.co.uk/maps/search/?api=1&amp;query=51.509417577712,-0.052039265</v>
      </c>
      <c r="X76" s="51"/>
      <c r="Y76" s="51"/>
      <c r="AA76" s="35">
        <v>1</v>
      </c>
      <c r="AB76" s="35" t="s">
        <v>644</v>
      </c>
      <c r="AE76" s="49" t="s">
        <v>621</v>
      </c>
      <c r="AF76" s="49" t="str">
        <f t="shared" si="5"/>
        <v>FA567A795EED71B081ED24E6975E36D86E07D78F</v>
      </c>
      <c r="AG76" s="49">
        <f t="shared" ca="1" si="6"/>
        <v>74</v>
      </c>
      <c r="AH76" s="49"/>
      <c r="AI76" s="49"/>
    </row>
    <row r="77" spans="1:36" s="35" customFormat="1" x14ac:dyDescent="0.25">
      <c r="A77" s="35" t="s">
        <v>464</v>
      </c>
      <c r="B77" s="45" t="s">
        <v>367</v>
      </c>
      <c r="C77" s="35" t="s">
        <v>46</v>
      </c>
      <c r="D77" s="35" t="s">
        <v>368</v>
      </c>
      <c r="F77" s="46"/>
      <c r="H77" s="35" t="s">
        <v>241</v>
      </c>
      <c r="I77" s="47">
        <v>51.530219022745698</v>
      </c>
      <c r="J77" s="47" t="s">
        <v>3475</v>
      </c>
      <c r="L77" s="35">
        <v>119</v>
      </c>
      <c r="N77" s="35">
        <v>9069</v>
      </c>
      <c r="O77" s="35" t="s">
        <v>30</v>
      </c>
      <c r="Q77" s="50" t="s">
        <v>623</v>
      </c>
      <c r="R77" s="35" t="s">
        <v>69</v>
      </c>
      <c r="S77" s="45" t="s">
        <v>125</v>
      </c>
      <c r="T77" s="45" t="s">
        <v>89</v>
      </c>
      <c r="U77" s="45" t="s">
        <v>180</v>
      </c>
      <c r="V77" s="45" t="str">
        <f t="shared" si="4"/>
        <v>https://www.google.co.uk/maps/search/?api=1&amp;query=51.5302190227457,-0.064495057</v>
      </c>
      <c r="X77" s="51"/>
      <c r="Y77" s="51"/>
      <c r="AA77" s="35">
        <v>4</v>
      </c>
      <c r="AB77" s="35" t="s">
        <v>644</v>
      </c>
      <c r="AE77" s="49" t="s">
        <v>624</v>
      </c>
      <c r="AF77" s="49" t="str">
        <f t="shared" si="5"/>
        <v>884DE58263A4DCE4CE79155D7D0A6CA586640074</v>
      </c>
      <c r="AG77" s="49">
        <f t="shared" ca="1" si="6"/>
        <v>75</v>
      </c>
      <c r="AH77" s="49"/>
      <c r="AI77" s="49"/>
    </row>
    <row r="78" spans="1:36" s="35" customFormat="1" x14ac:dyDescent="0.25">
      <c r="A78" s="35" t="s">
        <v>478</v>
      </c>
      <c r="B78" s="45" t="s">
        <v>389</v>
      </c>
      <c r="C78" s="35" t="s">
        <v>46</v>
      </c>
      <c r="D78" s="35" t="s">
        <v>390</v>
      </c>
      <c r="F78" s="46"/>
      <c r="H78" s="35" t="s">
        <v>246</v>
      </c>
      <c r="I78" s="47">
        <v>51.506199445269402</v>
      </c>
      <c r="J78" s="47" t="s">
        <v>3476</v>
      </c>
      <c r="L78" s="35">
        <v>104</v>
      </c>
      <c r="N78" s="35">
        <v>8933</v>
      </c>
      <c r="O78" s="35" t="s">
        <v>37</v>
      </c>
      <c r="Q78" s="50" t="s">
        <v>625</v>
      </c>
      <c r="R78" s="35" t="s">
        <v>69</v>
      </c>
      <c r="S78" s="45" t="s">
        <v>131</v>
      </c>
      <c r="T78" s="45" t="s">
        <v>94</v>
      </c>
      <c r="U78" s="45" t="s">
        <v>186</v>
      </c>
      <c r="V78" s="45" t="str">
        <f t="shared" si="4"/>
        <v>https://www.google.co.uk/maps/search/?api=1&amp;query=51.5061994452694,-0.058042992</v>
      </c>
      <c r="X78" s="51"/>
      <c r="Y78" s="51"/>
      <c r="AA78" s="35">
        <v>4</v>
      </c>
      <c r="AB78" s="35" t="s">
        <v>3500</v>
      </c>
      <c r="AE78" s="49" t="s">
        <v>626</v>
      </c>
      <c r="AF78" s="49" t="str">
        <f t="shared" si="5"/>
        <v>84537A474034A29199BFFFA56D334F16998239FF</v>
      </c>
      <c r="AG78" s="49">
        <f t="shared" ca="1" si="6"/>
        <v>76</v>
      </c>
      <c r="AH78" s="49"/>
      <c r="AI78" s="49"/>
    </row>
    <row r="79" spans="1:36" s="35" customFormat="1" x14ac:dyDescent="0.25">
      <c r="A79" s="35" t="s">
        <v>483</v>
      </c>
      <c r="B79" s="45" t="s">
        <v>398</v>
      </c>
      <c r="C79" s="35" t="s">
        <v>46</v>
      </c>
      <c r="D79" s="35" t="s">
        <v>401</v>
      </c>
      <c r="F79" s="46"/>
      <c r="H79" s="35" t="s">
        <v>645</v>
      </c>
      <c r="I79" s="47">
        <v>51.507039350226897</v>
      </c>
      <c r="J79" s="47" t="s">
        <v>3477</v>
      </c>
      <c r="N79" s="35">
        <v>13115</v>
      </c>
      <c r="O79" s="35" t="s">
        <v>35</v>
      </c>
      <c r="Q79" s="50" t="s">
        <v>627</v>
      </c>
      <c r="R79" s="35" t="s">
        <v>69</v>
      </c>
      <c r="S79" s="45" t="s">
        <v>130</v>
      </c>
      <c r="T79" s="48">
        <v>0</v>
      </c>
      <c r="U79" s="45" t="s">
        <v>185</v>
      </c>
      <c r="V79" s="45" t="str">
        <f>IF("" = I79, "", SUBSTITUTE(SUBSTITUTE(GoogleStreetViewLinkFormat, "$lat$", I79), "$long$", J79))</f>
        <v>https://www.google.co.uk/maps/search/?api=1&amp;query=51.5070393502269,-0.023901581</v>
      </c>
      <c r="X79" s="51"/>
      <c r="Y79" s="51"/>
      <c r="AA79" s="35">
        <v>0</v>
      </c>
      <c r="AB79" s="35" t="s">
        <v>644</v>
      </c>
      <c r="AE79" s="49"/>
      <c r="AF79" s="49" t="str">
        <f t="shared" si="5"/>
        <v>DA39A3EE5E6B4B0D3255BFEF95601890AFD80709</v>
      </c>
      <c r="AG79" s="49">
        <f t="shared" ca="1" si="6"/>
        <v>3</v>
      </c>
      <c r="AH79" s="49"/>
      <c r="AI79" s="49"/>
      <c r="AJ79" s="35" t="s">
        <v>3394</v>
      </c>
    </row>
    <row r="80" spans="1:36" s="35" customFormat="1" x14ac:dyDescent="0.25">
      <c r="A80" s="52" t="s">
        <v>653</v>
      </c>
      <c r="B80" s="53"/>
      <c r="C80" s="52" t="s">
        <v>65</v>
      </c>
      <c r="D80" s="52" t="s">
        <v>651</v>
      </c>
      <c r="E80" s="52"/>
      <c r="F80" s="54"/>
      <c r="G80" s="52"/>
      <c r="H80" s="35" t="s">
        <v>661</v>
      </c>
      <c r="I80" s="47">
        <v>51.530901378264602</v>
      </c>
      <c r="J80" s="47" t="s">
        <v>3478</v>
      </c>
      <c r="K80" s="52"/>
      <c r="L80" s="55"/>
      <c r="M80" s="52"/>
      <c r="N80" s="52"/>
      <c r="O80" s="52"/>
      <c r="P80" s="52"/>
      <c r="Q80" s="56" t="s">
        <v>660</v>
      </c>
      <c r="R80" s="53"/>
      <c r="S80" s="53"/>
      <c r="T80" s="53"/>
      <c r="U80" s="53"/>
      <c r="V80" s="45" t="str">
        <f>IF("" = I80, "", SUBSTITUTE(SUBSTITUTE(GoogleStreetViewLinkFormat, "$lat$", I80), "$long$", J80))</f>
        <v>https://www.google.co.uk/maps/search/?api=1&amp;query=51.5309013782646,-0.118424456</v>
      </c>
      <c r="W80" s="52"/>
      <c r="Z80" s="52"/>
      <c r="AA80" s="52">
        <v>0</v>
      </c>
      <c r="AB80" s="52" t="s">
        <v>644</v>
      </c>
      <c r="AC80" s="52"/>
      <c r="AD80" s="52"/>
      <c r="AE80" s="57"/>
      <c r="AF80" s="49" t="str">
        <f t="shared" si="5"/>
        <v>DA39A3EE5E6B4B0D3255BFEF95601890AFD80709</v>
      </c>
      <c r="AG80" s="49">
        <f t="shared" ca="1" si="6"/>
        <v>3</v>
      </c>
      <c r="AH80" s="57"/>
      <c r="AI80" s="57" t="s">
        <v>3498</v>
      </c>
      <c r="AJ80" s="35" t="s">
        <v>662</v>
      </c>
    </row>
  </sheetData>
  <autoFilter ref="A1:AJ80"/>
  <conditionalFormatting sqref="A2:XFD91">
    <cfRule type="expression" dxfId="7" priority="6">
      <formula>_xlfn.ISFORMULA(A2)</formula>
    </cfRule>
  </conditionalFormatting>
  <conditionalFormatting sqref="A1:AJ1">
    <cfRule type="expression" dxfId="6" priority="1">
      <formula>AND("" &lt;&gt; A$1, OR(NOT(ISERROR(SEARCH("$" &amp; A$1 &amp; "$", PopupDetailsChurches))), NOT(ISERROR(SEARCH(A$1, AdditionalFieldsChurches))), NOT(ISERROR(SEARCH(A$1, LinkDetails)))))</formula>
    </cfRule>
  </conditionalFormatting>
  <dataValidations count="1">
    <dataValidation type="list" showInputMessage="1" showErrorMessage="1" sqref="AB2:AB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R47" r:id="rId78" display="=IFERROR(VLOOKUP($C50, DataFromWikipedia!A:T, 17, FALSE), &quot;&quot;)"/>
    <hyperlink ref="R50" r:id="rId79" display="=IFERROR(VLOOKUP($C54, DataFromWikipedia!A:T, 17, FALSE), &quot;&quot;)"/>
    <hyperlink ref="S5" r:id="rId80"/>
    <hyperlink ref="S6" r:id="rId81"/>
    <hyperlink ref="S7" r:id="rId82"/>
    <hyperlink ref="S9" r:id="rId83"/>
    <hyperlink ref="S10" r:id="rId84"/>
    <hyperlink ref="S13" r:id="rId85"/>
    <hyperlink ref="S14" r:id="rId86"/>
    <hyperlink ref="S15" r:id="rId87"/>
    <hyperlink ref="S16" r:id="rId88"/>
    <hyperlink ref="S17" r:id="rId89"/>
    <hyperlink ref="S19" r:id="rId90"/>
    <hyperlink ref="S20" r:id="rId91"/>
    <hyperlink ref="S21" r:id="rId92"/>
    <hyperlink ref="S22" r:id="rId93"/>
    <hyperlink ref="S23" r:id="rId94"/>
    <hyperlink ref="S25" r:id="rId95"/>
    <hyperlink ref="S26" r:id="rId96"/>
    <hyperlink ref="S27" r:id="rId97"/>
    <hyperlink ref="S28" r:id="rId98"/>
    <hyperlink ref="S29" r:id="rId99"/>
    <hyperlink ref="S30" r:id="rId100"/>
    <hyperlink ref="S32" r:id="rId101"/>
    <hyperlink ref="S33" r:id="rId102"/>
    <hyperlink ref="S35" r:id="rId103"/>
    <hyperlink ref="S38" r:id="rId104"/>
    <hyperlink ref="S39" r:id="rId105"/>
    <hyperlink ref="S40" r:id="rId106"/>
    <hyperlink ref="S41" r:id="rId107"/>
    <hyperlink ref="S42" r:id="rId108"/>
    <hyperlink ref="S43" r:id="rId109"/>
    <hyperlink ref="S47" r:id="rId110"/>
    <hyperlink ref="S48" r:id="rId111"/>
    <hyperlink ref="S49" r:id="rId112"/>
    <hyperlink ref="S50" r:id="rId113"/>
    <hyperlink ref="S51" r:id="rId114"/>
    <hyperlink ref="S52" r:id="rId115"/>
    <hyperlink ref="S53" r:id="rId116"/>
    <hyperlink ref="S55" r:id="rId117"/>
    <hyperlink ref="S56" r:id="rId118"/>
    <hyperlink ref="S59" r:id="rId119"/>
    <hyperlink ref="S60" r:id="rId120"/>
    <hyperlink ref="S63" r:id="rId121"/>
    <hyperlink ref="S64" r:id="rId122"/>
    <hyperlink ref="S65" r:id="rId123"/>
    <hyperlink ref="S67" r:id="rId124"/>
    <hyperlink ref="S68" r:id="rId125"/>
    <hyperlink ref="S69" r:id="rId126"/>
    <hyperlink ref="S70" r:id="rId127"/>
    <hyperlink ref="S71" r:id="rId128"/>
    <hyperlink ref="S72" r:id="rId129"/>
    <hyperlink ref="S74" r:id="rId130"/>
    <hyperlink ref="S75" r:id="rId131"/>
    <hyperlink ref="S76" r:id="rId132"/>
    <hyperlink ref="S77" r:id="rId133"/>
    <hyperlink ref="S78" r:id="rId134"/>
    <hyperlink ref="T9" r:id="rId135"/>
    <hyperlink ref="T17" r:id="rId136"/>
    <hyperlink ref="T19" r:id="rId137"/>
    <hyperlink ref="T24" r:id="rId138"/>
    <hyperlink ref="T32" r:id="rId139"/>
    <hyperlink ref="T35" r:id="rId140"/>
    <hyperlink ref="T39" r:id="rId141"/>
    <hyperlink ref="T41" r:id="rId142"/>
    <hyperlink ref="T42" r:id="rId143"/>
    <hyperlink ref="T49" r:id="rId144"/>
    <hyperlink ref="T56" r:id="rId145"/>
    <hyperlink ref="T60" r:id="rId146"/>
    <hyperlink ref="T63" r:id="rId147"/>
    <hyperlink ref="T64" r:id="rId148"/>
    <hyperlink ref="T66" r:id="rId149"/>
    <hyperlink ref="T67" r:id="rId150"/>
    <hyperlink ref="T68" r:id="rId151"/>
    <hyperlink ref="T70" r:id="rId152"/>
    <hyperlink ref="T72" r:id="rId153"/>
    <hyperlink ref="T74" r:id="rId154"/>
    <hyperlink ref="T75" r:id="rId155"/>
    <hyperlink ref="T76" r:id="rId156"/>
    <hyperlink ref="T77" r:id="rId157"/>
    <hyperlink ref="T78" r:id="rId158"/>
    <hyperlink ref="U5" r:id="rId159"/>
    <hyperlink ref="U6" r:id="rId160"/>
    <hyperlink ref="U7" r:id="rId161"/>
    <hyperlink ref="U9" r:id="rId162"/>
    <hyperlink ref="U10" r:id="rId163"/>
    <hyperlink ref="U11" r:id="rId164"/>
    <hyperlink ref="U13" r:id="rId165"/>
    <hyperlink ref="U14" r:id="rId166"/>
    <hyperlink ref="U15" r:id="rId167"/>
    <hyperlink ref="U16" r:id="rId168"/>
    <hyperlink ref="U17" r:id="rId169"/>
    <hyperlink ref="U18" r:id="rId170"/>
    <hyperlink ref="U19" r:id="rId171"/>
    <hyperlink ref="U20" r:id="rId172"/>
    <hyperlink ref="U21" r:id="rId173"/>
    <hyperlink ref="U22" r:id="rId174"/>
    <hyperlink ref="U23" r:id="rId175"/>
    <hyperlink ref="U24" r:id="rId176"/>
    <hyperlink ref="U25" r:id="rId177"/>
    <hyperlink ref="U26" r:id="rId178"/>
    <hyperlink ref="U27" r:id="rId179"/>
    <hyperlink ref="U28" r:id="rId180"/>
    <hyperlink ref="U29" r:id="rId181"/>
    <hyperlink ref="U30" r:id="rId182"/>
    <hyperlink ref="U32" r:id="rId183"/>
    <hyperlink ref="U33" r:id="rId184"/>
    <hyperlink ref="U35" r:id="rId185"/>
    <hyperlink ref="U37" r:id="rId186"/>
    <hyperlink ref="U38" r:id="rId187"/>
    <hyperlink ref="U39" r:id="rId188"/>
    <hyperlink ref="U40" r:id="rId189"/>
    <hyperlink ref="U41" r:id="rId190"/>
    <hyperlink ref="U42" r:id="rId191"/>
    <hyperlink ref="U43" r:id="rId192"/>
    <hyperlink ref="U44" r:id="rId193"/>
    <hyperlink ref="U45" r:id="rId194"/>
    <hyperlink ref="U47" r:id="rId195"/>
    <hyperlink ref="U48" r:id="rId196"/>
    <hyperlink ref="U49" r:id="rId197"/>
    <hyperlink ref="U50" r:id="rId198"/>
    <hyperlink ref="U51" r:id="rId199"/>
    <hyperlink ref="U52" r:id="rId200"/>
    <hyperlink ref="U53" r:id="rId201"/>
    <hyperlink ref="U55" r:id="rId202"/>
    <hyperlink ref="U56" r:id="rId203"/>
    <hyperlink ref="U59" r:id="rId204"/>
    <hyperlink ref="U60" r:id="rId205"/>
    <hyperlink ref="U63" r:id="rId206"/>
    <hyperlink ref="U64" r:id="rId207"/>
    <hyperlink ref="U65" r:id="rId208"/>
    <hyperlink ref="U66" r:id="rId209"/>
    <hyperlink ref="U67" r:id="rId210"/>
    <hyperlink ref="U68" r:id="rId211"/>
    <hyperlink ref="U69" r:id="rId212"/>
    <hyperlink ref="U70" r:id="rId213"/>
    <hyperlink ref="U71" r:id="rId214"/>
    <hyperlink ref="U72" r:id="rId215"/>
    <hyperlink ref="U74" r:id="rId216"/>
    <hyperlink ref="U75" r:id="rId217"/>
    <hyperlink ref="U76" r:id="rId218"/>
    <hyperlink ref="U77" r:id="rId219"/>
    <hyperlink ref="U78" r:id="rId220"/>
    <hyperlink ref="R31" r:id="rId221"/>
    <hyperlink ref="R54" r:id="rId222"/>
    <hyperlink ref="R33" r:id="rId223" display="=IFERROR(VLOOKUP($C50, DataFromWikipedia!A:T, 17, FALSE), &quot;&quot;)"/>
    <hyperlink ref="V2" r:id="rId224" display="https://www.google.co.uk/maps/search/?api=1&amp;query=51.539088,-0.073342"/>
    <hyperlink ref="V3" r:id="rId225" display="https://www.google.co.uk/maps/search/?api=1&amp;query=51.556048,-0.04167"/>
    <hyperlink ref="V4" r:id="rId226" display="https://www.google.co.uk/maps/search/?api=1&amp;query=51.504806,0.112953"/>
    <hyperlink ref="V5" r:id="rId227" display="https://www.google.co.uk/maps/search/?api=1&amp;query=51.533785,-0.082290279"/>
    <hyperlink ref="V6" r:id="rId228" display="https://www.google.co.uk/maps/search/?api=1&amp;query=51.544907,-0.073299"/>
    <hyperlink ref="V7" r:id="rId229" display="https://www.google.co.uk/maps/search/?api=1&amp;query=51.531055,-0.091797"/>
    <hyperlink ref="V8" r:id="rId230" display="https://www.google.co.uk/maps/search/?api=1&amp;query=51.549724,-0.061133"/>
    <hyperlink ref="V9" r:id="rId231" display="https://www.google.co.uk/maps/search/?api=1&amp;query=51.570606,-0.080285"/>
    <hyperlink ref="V10" r:id="rId232" display="https://www.google.co.uk/maps/search/?api=1&amp;query=51.534498,-0.081228"/>
    <hyperlink ref="V11" r:id="rId233" display="https://www.google.co.uk/maps/search/?api=1&amp;query=51.548629,-0.043458629"/>
    <hyperlink ref="V12" r:id="rId234" display="https://www.google.co.uk/maps/search/?api=1&amp;query=51.548829,-0.042604"/>
    <hyperlink ref="V13" r:id="rId235" display="https://www.google.co.uk/maps/search/?api=1&amp;query=51.576473,-0.06956"/>
    <hyperlink ref="V14" r:id="rId236" display="https://www.google.co.uk/maps/search/?api=1&amp;query=51.531642,-0.073274"/>
    <hyperlink ref="V15" r:id="rId237" display="https://www.google.co.uk/maps/search/?api=1&amp;query=51.549911,-0.061197"/>
    <hyperlink ref="V16" r:id="rId238" display="https://www.google.co.uk/maps/search/?api=1&amp;query=51.540365,-0.046082"/>
    <hyperlink ref="V17" r:id="rId239" display="https://www.google.co.uk/maps/search/?api=1&amp;query=51.53046,-0.083416"/>
    <hyperlink ref="V18" r:id="rId240" display="https://www.google.co.uk/maps/search/?api=1&amp;query=51.565583,-0.10072"/>
    <hyperlink ref="V19" r:id="rId241" display="https://www.google.co.uk/maps/search/?api=1&amp;query=51.526761,-0.077228"/>
    <hyperlink ref="V20" r:id="rId242" display="https://www.google.co.uk/maps/search/?api=1&amp;query=51.549436,-0.070424"/>
    <hyperlink ref="V21" r:id="rId243" display="https://www.google.co.uk/maps/search/?api=1&amp;query=51.545324,-0.030726"/>
    <hyperlink ref="V22" r:id="rId244" display="https://www.google.co.uk/maps/search/?api=1&amp;query=51.560782,-0.08445"/>
    <hyperlink ref="V23" r:id="rId245" display="https://www.google.co.uk/maps/search/?api=1&amp;query=51.563403,-0.058989"/>
    <hyperlink ref="V24" r:id="rId246" display="https://www.google.co.uk/maps/search/?api=1&amp;query=51.55266,-0.079265"/>
    <hyperlink ref="V25" r:id="rId247" display="https://www.google.co.uk/maps/search/?api=1&amp;query=51.540672,-0.064067"/>
    <hyperlink ref="V26" r:id="rId248" display="https://www.google.co.uk/maps/search/?api=1&amp;query=51.562711,-0.066117"/>
    <hyperlink ref="V27" r:id="rId249" display="https://www.google.co.uk/maps/search/?api=1&amp;query=51.571391,-0.092576"/>
    <hyperlink ref="V28" r:id="rId250" display="https://www.google.co.uk/maps/search/?api=1&amp;query=51.556929,-0.074008"/>
    <hyperlink ref="V29" r:id="rId251" display="https://www.google.co.uk/maps/search/?api=1&amp;query=51.54085,-0.080358"/>
    <hyperlink ref="V30" r:id="rId252" display="https://www.google.co.uk/maps/search/?api=1&amp;query=51.569841,-0.064587"/>
    <hyperlink ref="V31" r:id="rId253" display="https://www.google.co.uk/maps/search/?api=1&amp;query=51.535258,-0.116601"/>
    <hyperlink ref="V32" r:id="rId254" display="https://www.google.co.uk/maps/search/?api=1&amp;query=51.552526,-0.098727"/>
    <hyperlink ref="V34" r:id="rId255" display="https://www.google.co.uk/maps/search/?api=1&amp;query=51.54787,-0.10632"/>
    <hyperlink ref="V35" r:id="rId256" display="https://www.google.co.uk/maps/search/?api=1&amp;query=51.525483,-0.109214"/>
    <hyperlink ref="V36" r:id="rId257" display="https://www.google.co.uk/maps/search/?api=1&amp;query=51.541003,-0.115216"/>
    <hyperlink ref="V37" r:id="rId258" display="https://www.google.co.uk/maps/search/?api=1&amp;query=51.569478,-0.135682"/>
    <hyperlink ref="V38" r:id="rId259" display="https://www.google.co.uk/maps/search/?api=1&amp;query=51.554687,-0.092225"/>
    <hyperlink ref="V39" r:id="rId260" display="https://www.google.co.uk/maps/search/?api=1&amp;query=51.527725,-0.097732"/>
    <hyperlink ref="V40" r:id="rId261" display="https://www.google.co.uk/maps/search/?api=1&amp;query=51.556822,-0.126171"/>
    <hyperlink ref="V41" r:id="rId262" display="https://www.google.co.uk/maps/search/?api=1&amp;query=51.523574,-0.105679"/>
    <hyperlink ref="V42" r:id="rId263" display="https://www.google.co.uk/maps/search/?api=1&amp;query=51.536527,-0.096514"/>
    <hyperlink ref="V43" r:id="rId264" display="https://www.google.co.uk/maps/search/?api=1&amp;query=51.561657,-0.131321"/>
    <hyperlink ref="V44" r:id="rId265" display="https://www.google.co.uk/maps/search/?api=1&amp;query=51.549097,-0.080931"/>
    <hyperlink ref="V45" r:id="rId266" display="https://www.google.co.uk/maps/search/?api=1&amp;query=51.552457,-0.121323"/>
    <hyperlink ref="V46" r:id="rId267" display="https://www.google.co.uk/maps/search/?api=1&amp;query=51.530047,-0.108996"/>
    <hyperlink ref="V47" r:id="rId268" display="https://www.google.co.uk/maps/search/?api=1&amp;query=51.565186,-0.115699"/>
    <hyperlink ref="V48" r:id="rId269" display="https://www.google.co.uk/maps/search/?api=1&amp;query=51.571335,-0.122738"/>
    <hyperlink ref="V49" r:id="rId270" display="https://www.google.co.uk/maps/search/?api=1&amp;query=51.538358,-0.101831"/>
    <hyperlink ref="V51" r:id="rId271" display="https://www.google.co.uk/maps/search/?api=1&amp;query=51.533362,-0.111962"/>
    <hyperlink ref="V52" r:id="rId272" display="https://www.google.co.uk/maps/search/?api=1&amp;query=51.540907,-0.097067"/>
    <hyperlink ref="V53" r:id="rId273" display="https://www.google.co.uk/maps/search/?api=1&amp;query=51.559874,-0.103849"/>
    <hyperlink ref="V54" r:id="rId274" display="https://www.google.co.uk/maps/search/?api=1&amp;query=51.535938,-0.110871"/>
    <hyperlink ref="V55" r:id="rId275" display="https://www.google.co.uk/maps/search/?api=1&amp;query=51.530245,-0.10960161"/>
    <hyperlink ref="V56" r:id="rId276" display="https://www.google.co.uk/maps/search/?api=1&amp;query=51.520814,-0.020428"/>
    <hyperlink ref="V57" r:id="rId277" display="https://www.google.co.uk/maps/search/?api=1&amp;query=51.510539,-0.011906"/>
    <hyperlink ref="V58" r:id="rId278" display="https://www.google.co.uk/maps/search/?api=1&amp;query=51.489075,-0.006311"/>
    <hyperlink ref="V59" r:id="rId279" display="https://www.google.co.uk/maps/search/?api=1&amp;query=51.489075,-0.006311"/>
    <hyperlink ref="V60" r:id="rId280" display="https://www.google.co.uk/maps/search/?api=1&amp;query=51.519104,-0.074071"/>
    <hyperlink ref="V62" r:id="rId281" display="https://www.google.co.uk/maps/search/?api=1&amp;query=51.512027,-0.031135"/>
    <hyperlink ref="V64" r:id="rId282" display="https://www.google.co.uk/maps/search/?api=1&amp;query=51.531134,-0.039997"/>
    <hyperlink ref="V65" r:id="rId283" display="https://www.google.co.uk/maps/search/?api=1&amp;query=51.516798,-0.041729"/>
    <hyperlink ref="V66" r:id="rId284" display="https://www.google.co.uk/maps/search/?api=1&amp;query=51.509994,-0.059872"/>
    <hyperlink ref="V67" r:id="rId285" display="https://www.google.co.uk/maps/search/?api=1&amp;query=51.531754,-0.048054"/>
    <hyperlink ref="V68" r:id="rId286" display="https://www.google.co.uk/maps/search/?api=1&amp;query=51.527596,-0.055146"/>
    <hyperlink ref="V69" r:id="rId287" display="https://www.google.co.uk/maps/search/?api=1&amp;query=51.499704,-0.023281"/>
    <hyperlink ref="V70" r:id="rId288" display="https://www.google.co.uk/maps/search/?api=1&amp;query=51.52861,-0.017306"/>
    <hyperlink ref="V71" r:id="rId289" display="https://www.google.co.uk/maps/search/?api=1&amp;query=51.511173,-0.05064"/>
    <hyperlink ref="V72" r:id="rId290" display="https://www.google.co.uk/maps/search/?api=1&amp;query=51.525101,-0.067163"/>
    <hyperlink ref="V74" r:id="rId291" display="https://www.google.co.uk/maps/search/?api=1&amp;query=51.53262,-0.03081"/>
    <hyperlink ref="V75" r:id="rId292" display="https://www.google.co.uk/maps/search/?api=1&amp;query=51.517783,-0.029182"/>
    <hyperlink ref="V76" r:id="rId293" display="https://www.google.co.uk/maps/search/?api=1&amp;query=51.509422,-0.052067"/>
    <hyperlink ref="V77" r:id="rId294" display="https://www.google.co.uk/maps/search/?api=1&amp;query=51.530373,-0.064759"/>
    <hyperlink ref="V78" r:id="rId295" display="https://www.google.co.uk/maps/search/?api=1&amp;query=51.506167,-0.058075"/>
    <hyperlink ref="B79" r:id="rId296"/>
    <hyperlink ref="S79" r:id="rId297"/>
    <hyperlink ref="U79" r:id="rId298"/>
    <hyperlink ref="V79" r:id="rId299" display="https://www.google.co.uk/maps/search/?api=1&amp;query=51.507645,-0.023844205"/>
    <hyperlink ref="Q3" r:id="rId300" display="https://http/www.hackneymarshteam.org.uk"/>
    <hyperlink ref="Q4" r:id="rId301" display="http://www.hackneymarshteam.org.uk/"/>
    <hyperlink ref="Q5" r:id="rId302" display="https://www.gracechurchhackney.org.uk/"/>
    <hyperlink ref="Q8" r:id="rId303" display="https://hackney.church/"/>
    <hyperlink ref="Q9" r:id="rId304" display="http://www.standrewsn16.org/"/>
    <hyperlink ref="Q10" r:id="rId305" display="http://www.hoxtonchurch.org.uk/"/>
    <hyperlink ref="Q11" r:id="rId306" display="https://saintbarnabasdalston.org.uk/"/>
    <hyperlink ref="Q13" r:id="rId307" display="https://www.holybart.com/"/>
    <hyperlink ref="Q15" r:id="rId308" display="https://www.stjamesclapton.co.uk/"/>
    <hyperlink ref="Q16" r:id="rId309" display="http://www.sjoj.co.uk/"/>
    <hyperlink ref="Q17" r:id="rId310" display="https://www.stjohnshoxton.org.uk/"/>
    <hyperlink ref="Q18" r:id="rId311" display="https://www.sjebp.com/"/>
    <hyperlink ref="Q19" r:id="rId312"/>
    <hyperlink ref="Q20" r:id="rId313"/>
    <hyperlink ref="Q21" r:id="rId314" display="http://www.stmaryofeton.org.uk/"/>
    <hyperlink ref="Q22" r:id="rId315" display="https://www.stmaryn16.org/"/>
    <hyperlink ref="Q23" r:id="rId316"/>
    <hyperlink ref="Q24" r:id="rId317" display="https://www.stmchurch.co.uk/"/>
    <hyperlink ref="Q25" r:id="rId318" display="https://www.stmichaelslondonfields.org.uk/"/>
    <hyperlink ref="Q27" r:id="rId319" display="http://www.stolaveschurch.co.uk/"/>
    <hyperlink ref="Q28" r:id="rId320" display="http://stpaulswesthackney.org/"/>
    <hyperlink ref="Q29" r:id="rId321" display="http://www.stpeterdebeauvoir.org.uk/"/>
    <hyperlink ref="Q30" r:id="rId322" display="https://www.saintthomasclapton.org/"/>
    <hyperlink ref="Q31" r:id="rId323" display="http://www.allsaintsislington.org/"/>
    <hyperlink ref="Q32" r:id="rId324" display="http://www.christchurchhighbury.com/"/>
    <hyperlink ref="Q34" r:id="rId325" display="http://www.hopechurchislington.org/"/>
    <hyperlink ref="Q35" r:id="rId326" display="http://www.holyredeemerclerkenwell.com/"/>
    <hyperlink ref="Q36" r:id="rId327" display="https://www.standrewsislington.com/"/>
    <hyperlink ref="Q37" r:id="rId328" display="http://www.standrewsn19.org/"/>
    <hyperlink ref="Q38" r:id="rId329" display="http://www.staugustine.org.uk/"/>
    <hyperlink ref="Q39" r:id="rId330" display="https://www.stclementfinsbury.org/"/>
    <hyperlink ref="Q40" r:id="rId331" display="http://www.stgeorgestufnellpark.org/"/>
    <hyperlink ref="Q41" r:id="rId332"/>
    <hyperlink ref="Q42" r:id="rId333" display="https://www.stjamesislington.org/"/>
    <hyperlink ref="Q43" r:id="rId334" display="http://www.stjohnsupperholloway.church/"/>
    <hyperlink ref="Q44" r:id="rId335" display="http://www.sjsp.org.uk/"/>
    <hyperlink ref="Q45" r:id="rId336" display="http://www.saintlukeschurch.org.uk/"/>
    <hyperlink ref="Q46" r:id="rId337" display="https://www.stmarks-clerkenwell.co.uk/"/>
    <hyperlink ref="Q47" r:id="rId338" display="https://www.tollingtonparish.org.uk/"/>
    <hyperlink ref="Q48" r:id="rId339" display="http://www.stmaryshornseyrise.org.uk/"/>
    <hyperlink ref="Q49" r:id="rId340" display="https://www.stmaryislington.org/"/>
    <hyperlink ref="Q51" r:id="rId341" display="https://www.saint-silas.org.uk/"/>
    <hyperlink ref="Q52" r:id="rId342" display="http://www.ststephenscanonbury.org.uk/"/>
    <hyperlink ref="Q53" r:id="rId343" display="https://www.stthomaschurch.co.uk/"/>
    <hyperlink ref="Q54" r:id="rId344" display="http://www.churchonthecorner.org.uk/"/>
    <hyperlink ref="Q55" r:id="rId345" display="https://www.trinityislington.org/"/>
    <hyperlink ref="Q56" r:id="rId346" display="http://www.allhallowsbow.org.uk/"/>
    <hyperlink ref="Q57" r:id="rId347" display="http://www.parishofpoplar.org/"/>
    <hyperlink ref="Q58" r:id="rId348" display="http://www.parishiod.org.uk/"/>
    <hyperlink ref="Q59" r:id="rId349" display="https://www.parishiod.org.uk/"/>
    <hyperlink ref="Q60" r:id="rId350" display="http://www.ccspits.org/"/>
    <hyperlink ref="Q62" r:id="rId351" display="http://www.stanneslimehouse.org/"/>
    <hyperlink ref="Q64" r:id="rId352" display="http://www.stbarnabasbethnalgreen.org/"/>
    <hyperlink ref="Q65" r:id="rId353" display="http://www.stdunstanstepney.com/"/>
    <hyperlink ref="Q66" r:id="rId354" display="http://www.stgeorgeintheeast.org/"/>
    <hyperlink ref="Q67" r:id="rId355" display="http://stjamesthelessbg.org.uk/"/>
    <hyperlink ref="Q68" r:id="rId356" display="https://www.stjohnonbethnalgreen.org/"/>
    <hyperlink ref="Q69" r:id="rId357"/>
    <hyperlink ref="Q70" r:id="rId358"/>
    <hyperlink ref="Q71" r:id="rId359" display="http://stmaryscablest.blogspot.com/"/>
    <hyperlink ref="Q72" r:id="rId360"/>
    <hyperlink ref="Q73" r:id="rId361" display="http://stnicholaspoplar.org/"/>
    <hyperlink ref="Q74" r:id="rId362" display="http://www.stpauloldford.com/"/>
    <hyperlink ref="Q75" r:id="rId363" display="http://www.stpaulsbowcommon.org.uk/"/>
    <hyperlink ref="Q76" r:id="rId364" display="http://sps.church/"/>
    <hyperlink ref="Q77" r:id="rId365" display="https://www.stpetersbethnalgreen.org/"/>
    <hyperlink ref="Q78" r:id="rId366" display="http://www.stpeterslondondocks.org.uk/"/>
    <hyperlink ref="Q79" r:id="rId367" display="https://www.stpetersbarge.org/"/>
    <hyperlink ref="S2" r:id="rId368"/>
    <hyperlink ref="U2" r:id="rId369"/>
    <hyperlink ref="Q80" r:id="rId370"/>
    <hyperlink ref="V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AA29"/>
  <sheetViews>
    <sheetView tabSelected="1" workbookViewId="0">
      <pane xSplit="3" ySplit="1" topLeftCell="D2" activePane="bottomRight" state="frozen"/>
      <selection pane="topRight" activeCell="D1" sqref="D1"/>
      <selection pane="bottomLeft" activeCell="A2" sqref="A2"/>
      <selection pane="bottomRight" activeCell="AA1" sqref="AA1:AA1048576"/>
    </sheetView>
  </sheetViews>
  <sheetFormatPr defaultRowHeight="15" x14ac:dyDescent="0.25"/>
  <cols>
    <col min="1" max="1" width="14.42578125" style="39" bestFit="1" customWidth="1"/>
    <col min="2" max="2" width="13.5703125" style="39" bestFit="1" customWidth="1"/>
    <col min="3" max="3" width="55.140625" style="39" bestFit="1" customWidth="1"/>
    <col min="4" max="4" width="33.7109375" style="39" customWidth="1"/>
    <col min="5" max="5" width="12.140625" style="39" bestFit="1" customWidth="1"/>
    <col min="6" max="6" width="68.28515625" style="39" bestFit="1" customWidth="1"/>
    <col min="7" max="7" width="18.85546875" style="39" bestFit="1" customWidth="1"/>
    <col min="8" max="8" width="21.7109375" style="39" bestFit="1" customWidth="1"/>
    <col min="9" max="9" width="16.42578125" style="39" bestFit="1" customWidth="1"/>
    <col min="10" max="10" width="13.5703125" style="39" bestFit="1" customWidth="1"/>
    <col min="11" max="11" width="13.42578125" style="39" bestFit="1" customWidth="1"/>
    <col min="12" max="12" width="15" style="39" bestFit="1" customWidth="1"/>
    <col min="13" max="13" width="79.7109375" style="39" bestFit="1" customWidth="1"/>
    <col min="14" max="14" width="11.42578125" style="39" bestFit="1" customWidth="1"/>
    <col min="15" max="15" width="12.85546875" style="39" bestFit="1" customWidth="1"/>
    <col min="16" max="16" width="6.28515625" style="39" bestFit="1" customWidth="1"/>
    <col min="17" max="17" width="44.7109375" style="39" bestFit="1" customWidth="1"/>
    <col min="18" max="18" width="49.5703125" style="39" bestFit="1" customWidth="1"/>
    <col min="19" max="19" width="18.7109375" style="39" bestFit="1" customWidth="1"/>
    <col min="20" max="20" width="121.5703125" style="39" bestFit="1" customWidth="1"/>
    <col min="21" max="21" width="121.5703125" style="42" customWidth="1"/>
    <col min="22" max="22" width="52.5703125" style="39" bestFit="1" customWidth="1"/>
    <col min="23" max="23" width="37.28515625" style="42" bestFit="1" customWidth="1"/>
    <col min="24" max="24" width="39" style="42" bestFit="1" customWidth="1"/>
    <col min="25" max="25" width="29.42578125" style="39" bestFit="1" customWidth="1"/>
    <col min="26" max="26" width="31.140625" style="39" bestFit="1" customWidth="1"/>
    <col min="27" max="27" width="40.85546875" style="39" bestFit="1" customWidth="1"/>
    <col min="28" max="16384" width="9.140625" style="39"/>
  </cols>
  <sheetData>
    <row r="1" spans="1:27" x14ac:dyDescent="0.25">
      <c r="A1" s="16" t="s">
        <v>205</v>
      </c>
      <c r="B1" s="16" t="s">
        <v>402</v>
      </c>
      <c r="C1" s="16" t="s">
        <v>668</v>
      </c>
      <c r="D1" s="16" t="s">
        <v>654</v>
      </c>
      <c r="E1" s="16" t="s">
        <v>3120</v>
      </c>
      <c r="F1" s="16" t="s">
        <v>3121</v>
      </c>
      <c r="G1" s="16" t="s">
        <v>194</v>
      </c>
      <c r="H1" s="16" t="s">
        <v>195</v>
      </c>
      <c r="I1" s="16" t="s">
        <v>3122</v>
      </c>
      <c r="J1" s="16" t="s">
        <v>670</v>
      </c>
      <c r="K1" s="16" t="s">
        <v>3123</v>
      </c>
      <c r="L1" s="16" t="s">
        <v>3124</v>
      </c>
      <c r="M1" s="16" t="s">
        <v>3125</v>
      </c>
      <c r="N1" s="16" t="s">
        <v>196</v>
      </c>
      <c r="O1" s="16" t="s">
        <v>3126</v>
      </c>
      <c r="P1" s="16" t="s">
        <v>3127</v>
      </c>
      <c r="Q1" s="16" t="s">
        <v>3128</v>
      </c>
      <c r="R1" s="16" t="s">
        <v>3386</v>
      </c>
      <c r="S1" s="16" t="s">
        <v>3130</v>
      </c>
      <c r="T1" s="16" t="s">
        <v>3129</v>
      </c>
      <c r="U1" s="43" t="s">
        <v>638</v>
      </c>
      <c r="V1" s="16" t="s">
        <v>3037</v>
      </c>
      <c r="W1" s="16" t="s">
        <v>3589</v>
      </c>
      <c r="X1" s="16" t="s">
        <v>3590</v>
      </c>
      <c r="Y1" s="16" t="s">
        <v>3531</v>
      </c>
      <c r="Z1" s="16" t="s">
        <v>3532</v>
      </c>
      <c r="AA1" s="16" t="s">
        <v>3591</v>
      </c>
    </row>
    <row r="2" spans="1:27" x14ac:dyDescent="0.25">
      <c r="A2" s="39" t="s">
        <v>26</v>
      </c>
      <c r="B2" s="39" t="s">
        <v>3049</v>
      </c>
      <c r="C2" s="39" t="s">
        <v>3103</v>
      </c>
      <c r="D2" s="39" t="s">
        <v>3502</v>
      </c>
      <c r="E2" s="39" t="s">
        <v>3115</v>
      </c>
      <c r="F2" s="40" t="s">
        <v>3050</v>
      </c>
      <c r="G2" s="39" t="s">
        <v>3533</v>
      </c>
      <c r="H2" s="39" t="s">
        <v>3534</v>
      </c>
      <c r="I2" s="39" t="s">
        <v>3131</v>
      </c>
      <c r="J2" s="39" t="s">
        <v>3132</v>
      </c>
      <c r="K2" s="39" t="s">
        <v>3133</v>
      </c>
      <c r="L2" s="39" t="s">
        <v>3134</v>
      </c>
      <c r="M2" s="39" t="s">
        <v>3135</v>
      </c>
      <c r="N2" s="39" t="s">
        <v>493</v>
      </c>
      <c r="O2" s="39" t="s">
        <v>3136</v>
      </c>
      <c r="P2" s="39" t="s">
        <v>69</v>
      </c>
      <c r="Q2" s="39" t="s">
        <v>3137</v>
      </c>
      <c r="R2" s="40" t="s">
        <v>3138</v>
      </c>
      <c r="S2" s="39" t="s">
        <v>3139</v>
      </c>
      <c r="T2" s="39" t="s">
        <v>3140</v>
      </c>
      <c r="U2" s="42" t="str">
        <f t="shared" ref="U2:U29" si="0">IF("" = G2, "", SUBSTITUTE(SUBSTITUTE(GoogleStreetViewLinkFormat, "$lat$", G2), "$long$",H2))</f>
        <v>https://www.google.co.uk/maps/search/?api=1&amp;query=51.5444843519803,-0.07374511932286225</v>
      </c>
      <c r="W2" s="42" t="s">
        <v>3533</v>
      </c>
      <c r="X2" s="42" t="s">
        <v>3534</v>
      </c>
      <c r="Y2" s="39" t="s">
        <v>3318</v>
      </c>
      <c r="Z2" s="39" t="s">
        <v>3319</v>
      </c>
      <c r="AA2" s="39" t="s">
        <v>3502</v>
      </c>
    </row>
    <row r="3" spans="1:27" x14ac:dyDescent="0.25">
      <c r="A3" s="39" t="s">
        <v>26</v>
      </c>
      <c r="B3" s="39" t="s">
        <v>3051</v>
      </c>
      <c r="C3" s="39" t="s">
        <v>3104</v>
      </c>
      <c r="D3" s="39" t="s">
        <v>3503</v>
      </c>
      <c r="E3" s="39" t="s">
        <v>3115</v>
      </c>
      <c r="F3" s="40" t="s">
        <v>3052</v>
      </c>
      <c r="G3" s="39" t="s">
        <v>3535</v>
      </c>
      <c r="H3" s="39" t="s">
        <v>3536</v>
      </c>
      <c r="I3" s="39" t="s">
        <v>26</v>
      </c>
      <c r="J3" s="39" t="s">
        <v>3132</v>
      </c>
      <c r="K3" s="39" t="s">
        <v>3133</v>
      </c>
      <c r="L3" s="39" t="s">
        <v>3134</v>
      </c>
      <c r="M3" s="39" t="s">
        <v>3141</v>
      </c>
      <c r="N3" s="39" t="s">
        <v>3142</v>
      </c>
      <c r="O3" s="39" t="s">
        <v>3143</v>
      </c>
      <c r="P3" s="39" t="s">
        <v>69</v>
      </c>
      <c r="Q3" s="39" t="s">
        <v>3144</v>
      </c>
      <c r="R3" s="40" t="s">
        <v>3145</v>
      </c>
      <c r="S3" s="39" t="s">
        <v>3146</v>
      </c>
      <c r="T3" s="39" t="s">
        <v>3147</v>
      </c>
      <c r="U3" s="42" t="str">
        <f t="shared" si="0"/>
        <v>https://www.google.co.uk/maps/search/?api=1&amp;query=51.548161264580706,-0.05106893097946974</v>
      </c>
      <c r="W3" s="42" t="s">
        <v>3535</v>
      </c>
      <c r="X3" s="42" t="s">
        <v>3536</v>
      </c>
      <c r="Y3" s="39" t="s">
        <v>3320</v>
      </c>
      <c r="Z3" s="39" t="s">
        <v>3321</v>
      </c>
      <c r="AA3" s="39" t="s">
        <v>3503</v>
      </c>
    </row>
    <row r="4" spans="1:27" x14ac:dyDescent="0.25">
      <c r="A4" s="39" t="s">
        <v>26</v>
      </c>
      <c r="B4" s="39" t="s">
        <v>3053</v>
      </c>
      <c r="C4" s="39" t="s">
        <v>3488</v>
      </c>
      <c r="D4" s="39" t="s">
        <v>3504</v>
      </c>
      <c r="E4" s="39" t="s">
        <v>3115</v>
      </c>
      <c r="F4" s="40" t="s">
        <v>3054</v>
      </c>
      <c r="G4" s="39" t="s">
        <v>3537</v>
      </c>
      <c r="H4" s="39" t="s">
        <v>3538</v>
      </c>
      <c r="I4" s="39" t="s">
        <v>3148</v>
      </c>
      <c r="J4" s="39" t="s">
        <v>3132</v>
      </c>
      <c r="K4" s="39" t="s">
        <v>3133</v>
      </c>
      <c r="L4" s="39" t="s">
        <v>3134</v>
      </c>
      <c r="M4" s="39" t="s">
        <v>3149</v>
      </c>
      <c r="N4" s="39" t="s">
        <v>3150</v>
      </c>
      <c r="O4" s="39" t="s">
        <v>3151</v>
      </c>
      <c r="P4" s="39" t="s">
        <v>69</v>
      </c>
      <c r="Q4" s="39" t="s">
        <v>3152</v>
      </c>
      <c r="R4" s="40" t="s">
        <v>534</v>
      </c>
      <c r="S4" s="39" t="s">
        <v>3153</v>
      </c>
      <c r="T4" s="39" t="s">
        <v>3154</v>
      </c>
      <c r="U4" s="42" t="str">
        <f t="shared" si="0"/>
        <v>https://www.google.co.uk/maps/search/?api=1&amp;query=51.53745804798396,-0.06539388374090264</v>
      </c>
      <c r="W4" s="42" t="s">
        <v>3537</v>
      </c>
      <c r="X4" s="42" t="s">
        <v>3538</v>
      </c>
      <c r="Y4" s="39" t="s">
        <v>3322</v>
      </c>
      <c r="Z4" s="39" t="s">
        <v>3323</v>
      </c>
      <c r="AA4" s="39" t="s">
        <v>3504</v>
      </c>
    </row>
    <row r="5" spans="1:27" x14ac:dyDescent="0.25">
      <c r="A5" s="39" t="s">
        <v>26</v>
      </c>
      <c r="B5" s="39" t="s">
        <v>3055</v>
      </c>
      <c r="C5" s="39" t="s">
        <v>3105</v>
      </c>
      <c r="D5" s="39" t="s">
        <v>3509</v>
      </c>
      <c r="E5" s="39" t="s">
        <v>3115</v>
      </c>
      <c r="F5" s="40" t="s">
        <v>3056</v>
      </c>
      <c r="G5" s="39" t="s">
        <v>3539</v>
      </c>
      <c r="H5" s="39" t="s">
        <v>3540</v>
      </c>
      <c r="I5" s="39" t="s">
        <v>3155</v>
      </c>
      <c r="J5" s="39" t="s">
        <v>3132</v>
      </c>
      <c r="K5" s="39" t="s">
        <v>3133</v>
      </c>
      <c r="L5" s="39" t="s">
        <v>3134</v>
      </c>
      <c r="M5" s="39" t="s">
        <v>3156</v>
      </c>
      <c r="N5" s="39" t="s">
        <v>3157</v>
      </c>
      <c r="O5" s="39" t="s">
        <v>3158</v>
      </c>
      <c r="P5" s="39" t="s">
        <v>69</v>
      </c>
      <c r="Q5" s="39" t="s">
        <v>3159</v>
      </c>
      <c r="R5" s="40" t="s">
        <v>510</v>
      </c>
      <c r="S5" s="39" t="s">
        <v>3160</v>
      </c>
      <c r="T5" s="39" t="s">
        <v>3161</v>
      </c>
      <c r="U5" s="42" t="str">
        <f t="shared" si="0"/>
        <v>https://www.google.co.uk/maps/search/?api=1&amp;query=51.5308389022248,-0.08396808433969312</v>
      </c>
      <c r="V5" s="39" t="s">
        <v>3510</v>
      </c>
      <c r="W5" s="42" t="s">
        <v>3539</v>
      </c>
      <c r="X5" s="42" t="s">
        <v>3540</v>
      </c>
      <c r="Y5" s="39" t="s">
        <v>3324</v>
      </c>
      <c r="Z5" s="39" t="s">
        <v>3325</v>
      </c>
      <c r="AA5" s="39" t="s">
        <v>3509</v>
      </c>
    </row>
    <row r="6" spans="1:27" x14ac:dyDescent="0.25">
      <c r="A6" s="39" t="s">
        <v>26</v>
      </c>
      <c r="B6" s="39" t="s">
        <v>3057</v>
      </c>
      <c r="C6" s="39" t="s">
        <v>434</v>
      </c>
      <c r="D6" s="39" t="s">
        <v>3505</v>
      </c>
      <c r="E6" s="39" t="s">
        <v>3115</v>
      </c>
      <c r="F6" s="40" t="s">
        <v>3058</v>
      </c>
      <c r="G6" s="39" t="s">
        <v>3541</v>
      </c>
      <c r="H6" s="39" t="s">
        <v>3542</v>
      </c>
      <c r="I6" s="39" t="s">
        <v>3162</v>
      </c>
      <c r="J6" s="39" t="s">
        <v>3132</v>
      </c>
      <c r="K6" s="39" t="s">
        <v>3133</v>
      </c>
      <c r="L6" s="39" t="s">
        <v>3134</v>
      </c>
      <c r="M6" s="39" t="s">
        <v>3163</v>
      </c>
      <c r="N6" s="39" t="s">
        <v>3164</v>
      </c>
      <c r="O6" s="39" t="s">
        <v>3165</v>
      </c>
      <c r="P6" s="39" t="s">
        <v>69</v>
      </c>
      <c r="Q6" s="39" t="s">
        <v>3166</v>
      </c>
      <c r="R6" s="40" t="s">
        <v>3167</v>
      </c>
      <c r="S6" s="39" t="s">
        <v>3168</v>
      </c>
      <c r="T6" s="39" t="s">
        <v>69</v>
      </c>
      <c r="U6" s="42" t="str">
        <f t="shared" si="0"/>
        <v>https://www.google.co.uk/maps/search/?api=1&amp;query=51.539671684424555,-0.04998668374086306</v>
      </c>
      <c r="W6" s="42" t="s">
        <v>3541</v>
      </c>
      <c r="X6" s="42" t="s">
        <v>3542</v>
      </c>
      <c r="Y6" s="39" t="s">
        <v>3326</v>
      </c>
      <c r="Z6" s="39" t="s">
        <v>3327</v>
      </c>
      <c r="AA6" s="39" t="s">
        <v>3505</v>
      </c>
    </row>
    <row r="7" spans="1:27" x14ac:dyDescent="0.25">
      <c r="A7" s="39" t="s">
        <v>26</v>
      </c>
      <c r="B7" s="39" t="s">
        <v>3059</v>
      </c>
      <c r="C7" s="39" t="s">
        <v>3106</v>
      </c>
      <c r="D7" s="39" t="s">
        <v>3506</v>
      </c>
      <c r="E7" s="39" t="s">
        <v>3115</v>
      </c>
      <c r="F7" s="40" t="s">
        <v>3060</v>
      </c>
      <c r="G7" s="39" t="s">
        <v>3543</v>
      </c>
      <c r="H7" s="39" t="s">
        <v>3544</v>
      </c>
      <c r="I7" s="39" t="s">
        <v>3169</v>
      </c>
      <c r="J7" s="39" t="s">
        <v>3132</v>
      </c>
      <c r="K7" s="39" t="s">
        <v>3133</v>
      </c>
      <c r="L7" s="39" t="s">
        <v>3134</v>
      </c>
      <c r="M7" s="39" t="s">
        <v>3170</v>
      </c>
      <c r="N7" s="39" t="s">
        <v>221</v>
      </c>
      <c r="O7" s="39" t="s">
        <v>3171</v>
      </c>
      <c r="P7" s="39" t="s">
        <v>69</v>
      </c>
      <c r="Q7" s="39" t="s">
        <v>3172</v>
      </c>
      <c r="R7" s="40" t="s">
        <v>3173</v>
      </c>
      <c r="S7" s="39" t="s">
        <v>3174</v>
      </c>
      <c r="T7" s="39" t="s">
        <v>3175</v>
      </c>
      <c r="U7" s="42" t="str">
        <f t="shared" si="0"/>
        <v>https://www.google.co.uk/maps/search/?api=1&amp;query=51.552822449091074,-0.08012430153157515</v>
      </c>
      <c r="W7" s="42" t="s">
        <v>3543</v>
      </c>
      <c r="X7" s="42" t="s">
        <v>3544</v>
      </c>
      <c r="Y7" s="39" t="s">
        <v>3328</v>
      </c>
      <c r="Z7" s="39" t="s">
        <v>3329</v>
      </c>
      <c r="AA7" s="39" t="s">
        <v>3506</v>
      </c>
    </row>
    <row r="8" spans="1:27" x14ac:dyDescent="0.25">
      <c r="A8" s="39" t="s">
        <v>26</v>
      </c>
      <c r="B8" s="39" t="s">
        <v>3061</v>
      </c>
      <c r="C8" s="39" t="s">
        <v>3489</v>
      </c>
      <c r="D8" s="39" t="s">
        <v>3507</v>
      </c>
      <c r="E8" s="39" t="s">
        <v>3115</v>
      </c>
      <c r="F8" s="40" t="s">
        <v>3062</v>
      </c>
      <c r="G8" s="39" t="s">
        <v>3545</v>
      </c>
      <c r="H8" s="39" t="s">
        <v>3546</v>
      </c>
      <c r="I8" s="39" t="s">
        <v>3169</v>
      </c>
      <c r="J8" s="39" t="s">
        <v>3132</v>
      </c>
      <c r="K8" s="39" t="s">
        <v>3133</v>
      </c>
      <c r="L8" s="39" t="s">
        <v>3134</v>
      </c>
      <c r="M8" s="39" t="s">
        <v>3176</v>
      </c>
      <c r="N8" s="39" t="s">
        <v>3177</v>
      </c>
      <c r="O8" s="39" t="s">
        <v>3178</v>
      </c>
      <c r="P8" s="39" t="s">
        <v>69</v>
      </c>
      <c r="Q8" s="39" t="s">
        <v>3179</v>
      </c>
      <c r="R8" s="40" t="s">
        <v>3180</v>
      </c>
      <c r="S8" s="39" t="s">
        <v>3181</v>
      </c>
      <c r="T8" s="39" t="s">
        <v>3182</v>
      </c>
      <c r="U8" s="42" t="str">
        <f t="shared" si="0"/>
        <v>https://www.google.co.uk/maps/search/?api=1&amp;query=51.56173813023959,-0.08161004264059782</v>
      </c>
      <c r="W8" s="42" t="s">
        <v>3545</v>
      </c>
      <c r="X8" s="42" t="s">
        <v>3546</v>
      </c>
      <c r="Y8" s="39" t="s">
        <v>3330</v>
      </c>
      <c r="Z8" s="39" t="s">
        <v>3331</v>
      </c>
      <c r="AA8" s="39" t="s">
        <v>3507</v>
      </c>
    </row>
    <row r="9" spans="1:27" x14ac:dyDescent="0.25">
      <c r="A9" s="39" t="s">
        <v>26</v>
      </c>
      <c r="B9" s="39" t="s">
        <v>3063</v>
      </c>
      <c r="C9" s="39" t="s">
        <v>3107</v>
      </c>
      <c r="D9" s="39" t="s">
        <v>3501</v>
      </c>
      <c r="E9" s="39" t="s">
        <v>3116</v>
      </c>
      <c r="F9" s="40" t="s">
        <v>3316</v>
      </c>
      <c r="G9" s="39" t="s">
        <v>3547</v>
      </c>
      <c r="H9" s="39" t="s">
        <v>3548</v>
      </c>
      <c r="I9" s="39" t="s">
        <v>26</v>
      </c>
      <c r="J9" s="39" t="s">
        <v>3308</v>
      </c>
      <c r="M9" s="39" t="s">
        <v>3334</v>
      </c>
      <c r="N9" s="39" t="s">
        <v>3335</v>
      </c>
      <c r="O9" s="39" t="s">
        <v>3336</v>
      </c>
      <c r="P9" s="39" t="s">
        <v>69</v>
      </c>
      <c r="Q9" s="39" t="s">
        <v>3337</v>
      </c>
      <c r="R9" s="40" t="s">
        <v>539</v>
      </c>
      <c r="S9" s="39" t="s">
        <v>3338</v>
      </c>
      <c r="T9" s="39" t="s">
        <v>3339</v>
      </c>
      <c r="U9" s="42" t="str">
        <f t="shared" si="0"/>
        <v>https://www.google.co.uk/maps/search/?api=1&amp;query=51.544732647312806,-0.05186010153178001</v>
      </c>
      <c r="W9" s="42" t="s">
        <v>3547</v>
      </c>
      <c r="X9" s="42" t="s">
        <v>3548</v>
      </c>
      <c r="Y9" s="39" t="s">
        <v>3332</v>
      </c>
      <c r="Z9" s="39" t="s">
        <v>3333</v>
      </c>
      <c r="AA9" s="39" t="s">
        <v>3501</v>
      </c>
    </row>
    <row r="10" spans="1:27" x14ac:dyDescent="0.25">
      <c r="A10" s="39" t="s">
        <v>65</v>
      </c>
      <c r="B10" s="39" t="s">
        <v>3064</v>
      </c>
      <c r="C10" s="39" t="s">
        <v>3490</v>
      </c>
      <c r="D10" s="39" t="s">
        <v>3508</v>
      </c>
      <c r="E10" s="39" t="s">
        <v>3117</v>
      </c>
      <c r="F10" s="40" t="s">
        <v>3065</v>
      </c>
      <c r="G10" s="39" t="s">
        <v>3549</v>
      </c>
      <c r="H10" s="39" t="s">
        <v>3550</v>
      </c>
      <c r="I10" s="39" t="s">
        <v>3183</v>
      </c>
      <c r="J10" s="39" t="s">
        <v>3132</v>
      </c>
      <c r="K10" s="39" t="s">
        <v>3134</v>
      </c>
      <c r="L10" s="39" t="s">
        <v>3134</v>
      </c>
      <c r="M10" s="39" t="s">
        <v>3184</v>
      </c>
      <c r="N10" s="39" t="s">
        <v>3185</v>
      </c>
      <c r="O10" s="39" t="s">
        <v>3186</v>
      </c>
      <c r="P10" s="39" t="s">
        <v>69</v>
      </c>
      <c r="Q10" s="39" t="s">
        <v>3187</v>
      </c>
      <c r="R10" s="40" t="s">
        <v>552</v>
      </c>
      <c r="S10" s="39" t="s">
        <v>3188</v>
      </c>
      <c r="T10" s="39" t="s">
        <v>3189</v>
      </c>
      <c r="U10" s="42" t="str">
        <f t="shared" si="0"/>
        <v>https://www.google.co.uk/maps/search/?api=1&amp;query=51.53809757964239,-0.11445520153195497</v>
      </c>
      <c r="W10" s="42" t="s">
        <v>3549</v>
      </c>
      <c r="X10" s="42" t="s">
        <v>3550</v>
      </c>
      <c r="Y10" s="39" t="s">
        <v>3340</v>
      </c>
      <c r="Z10" s="39" t="s">
        <v>3341</v>
      </c>
      <c r="AA10" s="39" t="s">
        <v>3508</v>
      </c>
    </row>
    <row r="11" spans="1:27" x14ac:dyDescent="0.25">
      <c r="A11" s="39" t="s">
        <v>65</v>
      </c>
      <c r="B11" s="39" t="s">
        <v>3066</v>
      </c>
      <c r="C11" s="39" t="s">
        <v>3108</v>
      </c>
      <c r="D11" s="39" t="s">
        <v>3511</v>
      </c>
      <c r="E11" s="39" t="s">
        <v>3117</v>
      </c>
      <c r="F11" s="40" t="s">
        <v>3067</v>
      </c>
      <c r="G11" s="39" t="s">
        <v>3551</v>
      </c>
      <c r="H11" s="39" t="s">
        <v>3552</v>
      </c>
      <c r="I11" s="39" t="s">
        <v>3190</v>
      </c>
      <c r="J11" s="39" t="s">
        <v>3132</v>
      </c>
      <c r="K11" s="39" t="s">
        <v>3134</v>
      </c>
      <c r="L11" s="39" t="s">
        <v>3134</v>
      </c>
      <c r="M11" s="39" t="s">
        <v>3191</v>
      </c>
      <c r="N11" s="39" t="s">
        <v>3192</v>
      </c>
      <c r="O11" s="39" t="s">
        <v>3193</v>
      </c>
      <c r="P11" s="39" t="s">
        <v>69</v>
      </c>
      <c r="Q11" s="39" t="s">
        <v>3194</v>
      </c>
      <c r="R11" s="40" t="s">
        <v>544</v>
      </c>
      <c r="S11" s="39" t="s">
        <v>3195</v>
      </c>
      <c r="T11" s="39" t="s">
        <v>69</v>
      </c>
      <c r="U11" s="42" t="str">
        <f t="shared" si="0"/>
        <v>https://www.google.co.uk/maps/search/?api=1&amp;query=51.528326416993615,-0.11083908374113473</v>
      </c>
      <c r="W11" s="42" t="s">
        <v>3551</v>
      </c>
      <c r="X11" s="42" t="s">
        <v>3552</v>
      </c>
      <c r="Y11" s="39" t="s">
        <v>3342</v>
      </c>
      <c r="Z11" s="39" t="s">
        <v>3343</v>
      </c>
      <c r="AA11" s="39" t="s">
        <v>3511</v>
      </c>
    </row>
    <row r="12" spans="1:27" x14ac:dyDescent="0.25">
      <c r="A12" s="39" t="s">
        <v>65</v>
      </c>
      <c r="B12" s="39" t="s">
        <v>3068</v>
      </c>
      <c r="C12" s="39" t="s">
        <v>3491</v>
      </c>
      <c r="D12" s="39" t="s">
        <v>3512</v>
      </c>
      <c r="E12" s="39" t="s">
        <v>3117</v>
      </c>
      <c r="F12" s="40" t="s">
        <v>3069</v>
      </c>
      <c r="G12" s="39" t="s">
        <v>3553</v>
      </c>
      <c r="H12" s="39" t="s">
        <v>3554</v>
      </c>
      <c r="I12" s="39" t="s">
        <v>3196</v>
      </c>
      <c r="J12" s="39" t="s">
        <v>3132</v>
      </c>
      <c r="K12" s="39" t="s">
        <v>3134</v>
      </c>
      <c r="L12" s="39" t="s">
        <v>3134</v>
      </c>
      <c r="M12" s="39" t="s">
        <v>3197</v>
      </c>
      <c r="N12" s="39" t="s">
        <v>3198</v>
      </c>
      <c r="O12" s="39" t="s">
        <v>3199</v>
      </c>
      <c r="P12" s="39" t="s">
        <v>69</v>
      </c>
      <c r="Q12" s="39" t="s">
        <v>3200</v>
      </c>
      <c r="R12" s="40" t="s">
        <v>3201</v>
      </c>
      <c r="S12" s="39" t="s">
        <v>3202</v>
      </c>
      <c r="T12" s="39" t="s">
        <v>3203</v>
      </c>
      <c r="U12" s="42" t="str">
        <f t="shared" si="0"/>
        <v>https://www.google.co.uk/maps/search/?api=1&amp;query=51.5582804823808,-0.1001902837403715</v>
      </c>
      <c r="W12" s="42" t="s">
        <v>3553</v>
      </c>
      <c r="X12" s="42" t="s">
        <v>3554</v>
      </c>
      <c r="Y12" s="39" t="s">
        <v>3344</v>
      </c>
      <c r="Z12" s="39" t="s">
        <v>3345</v>
      </c>
      <c r="AA12" s="39" t="s">
        <v>3512</v>
      </c>
    </row>
    <row r="13" spans="1:27" x14ac:dyDescent="0.25">
      <c r="A13" s="39" t="s">
        <v>65</v>
      </c>
      <c r="B13" s="39" t="s">
        <v>3070</v>
      </c>
      <c r="C13" s="39" t="s">
        <v>3489</v>
      </c>
      <c r="D13" s="39" t="s">
        <v>3530</v>
      </c>
      <c r="E13" s="39" t="s">
        <v>3117</v>
      </c>
      <c r="F13" s="40" t="s">
        <v>3071</v>
      </c>
      <c r="G13" s="39" t="s">
        <v>3555</v>
      </c>
      <c r="H13" s="39" t="s">
        <v>3556</v>
      </c>
      <c r="I13" s="39" t="s">
        <v>65</v>
      </c>
      <c r="J13" s="39" t="s">
        <v>3132</v>
      </c>
      <c r="K13" s="39" t="s">
        <v>3134</v>
      </c>
      <c r="L13" s="39" t="s">
        <v>3134</v>
      </c>
      <c r="M13" s="39" t="s">
        <v>3204</v>
      </c>
      <c r="N13" s="39" t="s">
        <v>3205</v>
      </c>
      <c r="O13" s="39" t="s">
        <v>3206</v>
      </c>
      <c r="P13" s="39" t="s">
        <v>69</v>
      </c>
      <c r="Q13" s="39" t="s">
        <v>3207</v>
      </c>
      <c r="R13" s="40" t="s">
        <v>521</v>
      </c>
      <c r="S13" s="39" t="s">
        <v>3208</v>
      </c>
      <c r="T13" s="39" t="s">
        <v>3209</v>
      </c>
      <c r="U13" s="42" t="str">
        <f t="shared" si="0"/>
        <v>https://www.google.co.uk/maps/search/?api=1&amp;query=51.5395693342681,-0.10049336448223155</v>
      </c>
      <c r="W13" s="42" t="s">
        <v>3555</v>
      </c>
      <c r="X13" s="42" t="s">
        <v>3556</v>
      </c>
      <c r="Y13" s="39" t="s">
        <v>3346</v>
      </c>
      <c r="Z13" s="39" t="s">
        <v>3347</v>
      </c>
      <c r="AA13" s="39" t="s">
        <v>3530</v>
      </c>
    </row>
    <row r="14" spans="1:27" x14ac:dyDescent="0.25">
      <c r="A14" s="39" t="s">
        <v>65</v>
      </c>
      <c r="B14" s="39" t="s">
        <v>3072</v>
      </c>
      <c r="C14" s="39" t="s">
        <v>3492</v>
      </c>
      <c r="D14" s="39" t="s">
        <v>3513</v>
      </c>
      <c r="E14" s="39" t="s">
        <v>3115</v>
      </c>
      <c r="F14" s="40" t="s">
        <v>3073</v>
      </c>
      <c r="G14" s="39" t="s">
        <v>3557</v>
      </c>
      <c r="H14" s="39" t="s">
        <v>3558</v>
      </c>
      <c r="I14" s="39" t="s">
        <v>3210</v>
      </c>
      <c r="J14" s="39" t="s">
        <v>3132</v>
      </c>
      <c r="K14" s="39" t="s">
        <v>3133</v>
      </c>
      <c r="L14" s="39" t="s">
        <v>3134</v>
      </c>
      <c r="M14" s="39" t="s">
        <v>3211</v>
      </c>
      <c r="N14" s="39" t="s">
        <v>3212</v>
      </c>
      <c r="O14" s="39" t="s">
        <v>3213</v>
      </c>
      <c r="P14" s="39" t="s">
        <v>69</v>
      </c>
      <c r="Q14" s="39" t="s">
        <v>3214</v>
      </c>
      <c r="R14" s="40" t="s">
        <v>3215</v>
      </c>
      <c r="U14" s="42" t="str">
        <f t="shared" si="0"/>
        <v>https://www.google.co.uk/maps/search/?api=1&amp;query=51.52655681712294,-0.09186088374119222</v>
      </c>
      <c r="W14" s="42" t="s">
        <v>3557</v>
      </c>
      <c r="X14" s="42" t="s">
        <v>3558</v>
      </c>
      <c r="Y14" s="39" t="s">
        <v>3348</v>
      </c>
      <c r="Z14" s="39" t="s">
        <v>3349</v>
      </c>
      <c r="AA14" s="39" t="s">
        <v>3513</v>
      </c>
    </row>
    <row r="15" spans="1:27" x14ac:dyDescent="0.25">
      <c r="A15" s="39" t="s">
        <v>65</v>
      </c>
      <c r="B15" s="39" t="s">
        <v>3074</v>
      </c>
      <c r="C15" s="39" t="s">
        <v>3480</v>
      </c>
      <c r="D15" s="39" t="s">
        <v>3514</v>
      </c>
      <c r="E15" s="39" t="s">
        <v>3117</v>
      </c>
      <c r="F15" s="40" t="s">
        <v>3075</v>
      </c>
      <c r="G15" s="39" t="s">
        <v>3559</v>
      </c>
      <c r="H15" s="39" t="s">
        <v>3560</v>
      </c>
      <c r="I15" s="39" t="s">
        <v>3216</v>
      </c>
      <c r="J15" s="39" t="s">
        <v>3132</v>
      </c>
      <c r="K15" s="39" t="s">
        <v>3134</v>
      </c>
      <c r="L15" s="39" t="s">
        <v>3134</v>
      </c>
      <c r="M15" s="39" t="s">
        <v>3217</v>
      </c>
      <c r="N15" s="39" t="s">
        <v>3218</v>
      </c>
      <c r="O15" s="39" t="s">
        <v>3219</v>
      </c>
      <c r="P15" s="39" t="s">
        <v>69</v>
      </c>
      <c r="Q15" s="39" t="s">
        <v>3220</v>
      </c>
      <c r="R15" s="40" t="s">
        <v>3221</v>
      </c>
      <c r="S15" s="39" t="s">
        <v>3222</v>
      </c>
      <c r="T15" s="39" t="s">
        <v>3223</v>
      </c>
      <c r="U15" s="42" t="str">
        <f t="shared" si="0"/>
        <v>https://www.google.co.uk/maps/search/?api=1&amp;query=51.54810881554651,-0.07904310153169619</v>
      </c>
      <c r="W15" s="42" t="s">
        <v>3559</v>
      </c>
      <c r="X15" s="42" t="s">
        <v>3560</v>
      </c>
      <c r="Y15" s="39" t="s">
        <v>3350</v>
      </c>
      <c r="Z15" s="39" t="s">
        <v>3351</v>
      </c>
      <c r="AA15" s="39" t="s">
        <v>3514</v>
      </c>
    </row>
    <row r="16" spans="1:27" x14ac:dyDescent="0.25">
      <c r="A16" s="39" t="s">
        <v>65</v>
      </c>
      <c r="B16" s="39" t="s">
        <v>3076</v>
      </c>
      <c r="C16" s="39" t="s">
        <v>3481</v>
      </c>
      <c r="D16" s="39" t="s">
        <v>3515</v>
      </c>
      <c r="E16" s="39" t="s">
        <v>3117</v>
      </c>
      <c r="F16" s="40" t="s">
        <v>3077</v>
      </c>
      <c r="G16" s="39" t="s">
        <v>3561</v>
      </c>
      <c r="H16" s="39" t="s">
        <v>3562</v>
      </c>
      <c r="I16" s="39" t="s">
        <v>3224</v>
      </c>
      <c r="J16" s="39" t="s">
        <v>3132</v>
      </c>
      <c r="K16" s="39" t="s">
        <v>3134</v>
      </c>
      <c r="L16" s="39" t="s">
        <v>3134</v>
      </c>
      <c r="M16" s="39" t="s">
        <v>3225</v>
      </c>
      <c r="N16" s="39" t="s">
        <v>3226</v>
      </c>
      <c r="O16" s="39" t="s">
        <v>3227</v>
      </c>
      <c r="P16" s="39" t="s">
        <v>69</v>
      </c>
      <c r="Q16" s="39" t="s">
        <v>3228</v>
      </c>
      <c r="R16" s="40" t="s">
        <v>573</v>
      </c>
      <c r="S16" s="39" t="s">
        <v>3229</v>
      </c>
      <c r="T16" s="39" t="s">
        <v>3230</v>
      </c>
      <c r="U16" s="42" t="str">
        <f t="shared" si="0"/>
        <v>https://www.google.co.uk/maps/search/?api=1&amp;query=51.563413347036715,-0.1194777015312686</v>
      </c>
      <c r="W16" s="42" t="s">
        <v>3561</v>
      </c>
      <c r="X16" s="42" t="s">
        <v>3562</v>
      </c>
      <c r="Y16" s="39" t="s">
        <v>3352</v>
      </c>
      <c r="Z16" s="39" t="s">
        <v>3353</v>
      </c>
      <c r="AA16" s="39" t="s">
        <v>3515</v>
      </c>
    </row>
    <row r="17" spans="1:27" x14ac:dyDescent="0.25">
      <c r="A17" s="39" t="s">
        <v>65</v>
      </c>
      <c r="B17" s="39" t="s">
        <v>3078</v>
      </c>
      <c r="C17" s="39" t="s">
        <v>3482</v>
      </c>
      <c r="D17" s="39" t="s">
        <v>3516</v>
      </c>
      <c r="E17" s="39" t="s">
        <v>3115</v>
      </c>
      <c r="F17" s="40" t="s">
        <v>3079</v>
      </c>
      <c r="G17" s="39" t="s">
        <v>3563</v>
      </c>
      <c r="H17" s="39" t="s">
        <v>3564</v>
      </c>
      <c r="I17" s="39" t="s">
        <v>3231</v>
      </c>
      <c r="J17" s="39" t="s">
        <v>3132</v>
      </c>
      <c r="K17" s="39" t="s">
        <v>3133</v>
      </c>
      <c r="L17" s="39" t="s">
        <v>3134</v>
      </c>
      <c r="M17" s="39" t="s">
        <v>3232</v>
      </c>
      <c r="N17" s="39" t="s">
        <v>263</v>
      </c>
      <c r="O17" s="39" t="s">
        <v>3233</v>
      </c>
      <c r="P17" s="39" t="s">
        <v>69</v>
      </c>
      <c r="Q17" s="39" t="s">
        <v>3234</v>
      </c>
      <c r="R17" s="40" t="s">
        <v>3235</v>
      </c>
      <c r="S17" s="39" t="s">
        <v>3168</v>
      </c>
      <c r="T17" s="39" t="s">
        <v>69</v>
      </c>
      <c r="U17" s="42" t="str">
        <f t="shared" si="0"/>
        <v>https://www.google.co.uk/maps/search/?api=1&amp;query=51.56259874706648,-0.13293334263573012</v>
      </c>
      <c r="W17" s="42" t="s">
        <v>3563</v>
      </c>
      <c r="X17" s="42" t="s">
        <v>3564</v>
      </c>
      <c r="Y17" s="39" t="s">
        <v>3354</v>
      </c>
      <c r="Z17" s="39" t="s">
        <v>3355</v>
      </c>
      <c r="AA17" s="39" t="s">
        <v>3516</v>
      </c>
    </row>
    <row r="18" spans="1:27" x14ac:dyDescent="0.25">
      <c r="A18" s="39" t="s">
        <v>65</v>
      </c>
      <c r="B18" s="39" t="s">
        <v>3080</v>
      </c>
      <c r="C18" s="39" t="s">
        <v>359</v>
      </c>
      <c r="D18" s="39" t="s">
        <v>3517</v>
      </c>
      <c r="E18" s="39" t="s">
        <v>3118</v>
      </c>
      <c r="F18" s="40" t="s">
        <v>3081</v>
      </c>
      <c r="G18" s="39" t="s">
        <v>3565</v>
      </c>
      <c r="H18" s="39" t="s">
        <v>3566</v>
      </c>
      <c r="I18" s="39" t="s">
        <v>65</v>
      </c>
      <c r="J18" s="39" t="s">
        <v>3132</v>
      </c>
      <c r="K18" s="39" t="s">
        <v>3134</v>
      </c>
      <c r="L18" s="39" t="s">
        <v>3134</v>
      </c>
      <c r="M18" s="39" t="s">
        <v>3236</v>
      </c>
      <c r="N18" s="39" t="s">
        <v>3237</v>
      </c>
      <c r="O18" s="39" t="s">
        <v>3238</v>
      </c>
      <c r="P18" s="39" t="s">
        <v>69</v>
      </c>
      <c r="Q18" s="39" t="s">
        <v>3239</v>
      </c>
      <c r="R18" s="40" t="s">
        <v>3240</v>
      </c>
      <c r="S18" s="39" t="s">
        <v>3241</v>
      </c>
      <c r="T18" s="39" t="s">
        <v>3242</v>
      </c>
      <c r="U18" s="42" t="str">
        <f t="shared" si="0"/>
        <v>https://www.google.co.uk/maps/search/?api=1&amp;query=51.54693597964393,-0.11048830153170613</v>
      </c>
      <c r="W18" s="42" t="s">
        <v>3565</v>
      </c>
      <c r="X18" s="42" t="s">
        <v>3566</v>
      </c>
      <c r="Y18" s="39" t="s">
        <v>3356</v>
      </c>
      <c r="Z18" s="39" t="s">
        <v>3357</v>
      </c>
      <c r="AA18" s="39" t="s">
        <v>3517</v>
      </c>
    </row>
    <row r="19" spans="1:27" x14ac:dyDescent="0.25">
      <c r="A19" s="39" t="s">
        <v>65</v>
      </c>
      <c r="B19" s="39" t="s">
        <v>3082</v>
      </c>
      <c r="C19" s="39" t="s">
        <v>3109</v>
      </c>
      <c r="D19" s="39" t="s">
        <v>3528</v>
      </c>
      <c r="E19" s="39" t="s">
        <v>3110</v>
      </c>
      <c r="F19" s="40" t="s">
        <v>3317</v>
      </c>
      <c r="G19" s="39" t="s">
        <v>3567</v>
      </c>
      <c r="H19" s="39" t="s">
        <v>3568</v>
      </c>
      <c r="I19" s="39" t="s">
        <v>65</v>
      </c>
      <c r="J19" s="39" t="s">
        <v>3360</v>
      </c>
      <c r="M19" s="39" t="s">
        <v>3361</v>
      </c>
      <c r="N19" s="39" t="s">
        <v>3024</v>
      </c>
      <c r="O19" s="39" t="s">
        <v>3362</v>
      </c>
      <c r="P19" s="39" t="s">
        <v>69</v>
      </c>
      <c r="Q19" s="39" t="s">
        <v>3363</v>
      </c>
      <c r="R19" s="40" t="s">
        <v>3364</v>
      </c>
      <c r="U19" s="42" t="str">
        <f t="shared" si="0"/>
        <v>https://www.google.co.uk/maps/search/?api=1&amp;query=51.547986869770995,-0.10709901779958195</v>
      </c>
      <c r="V19" s="39" t="s">
        <v>3529</v>
      </c>
      <c r="W19" s="42" t="s">
        <v>3567</v>
      </c>
      <c r="X19" s="42" t="s">
        <v>3568</v>
      </c>
      <c r="Y19" s="39" t="s">
        <v>3358</v>
      </c>
      <c r="Z19" s="39" t="s">
        <v>3359</v>
      </c>
      <c r="AA19" s="39" t="s">
        <v>3528</v>
      </c>
    </row>
    <row r="20" spans="1:27" x14ac:dyDescent="0.25">
      <c r="A20" s="39" t="s">
        <v>46</v>
      </c>
      <c r="B20" s="39" t="s">
        <v>3083</v>
      </c>
      <c r="C20" s="39" t="s">
        <v>3483</v>
      </c>
      <c r="D20" s="39" t="s">
        <v>3527</v>
      </c>
      <c r="E20" s="39" t="s">
        <v>3115</v>
      </c>
      <c r="F20" s="40" t="s">
        <v>3084</v>
      </c>
      <c r="G20" s="39" t="s">
        <v>3569</v>
      </c>
      <c r="H20" s="39" t="s">
        <v>3570</v>
      </c>
      <c r="I20" s="39" t="s">
        <v>3243</v>
      </c>
      <c r="J20" s="39" t="s">
        <v>3132</v>
      </c>
      <c r="K20" s="39" t="s">
        <v>3133</v>
      </c>
      <c r="L20" s="39" t="s">
        <v>3134</v>
      </c>
      <c r="M20" s="39" t="s">
        <v>3244</v>
      </c>
      <c r="N20" s="39" t="s">
        <v>3245</v>
      </c>
      <c r="O20" s="39" t="s">
        <v>3246</v>
      </c>
      <c r="P20" s="39" t="s">
        <v>69</v>
      </c>
      <c r="Q20" s="39" t="s">
        <v>3247</v>
      </c>
      <c r="R20" s="40" t="s">
        <v>564</v>
      </c>
      <c r="S20" s="39" t="s">
        <v>3248</v>
      </c>
      <c r="T20" s="39" t="s">
        <v>3249</v>
      </c>
      <c r="U20" s="42" t="str">
        <f t="shared" si="0"/>
        <v>https://www.google.co.uk/maps/search/?api=1&amp;query=51.530037696794516,-0.05434810153215951</v>
      </c>
      <c r="W20" s="42" t="s">
        <v>3569</v>
      </c>
      <c r="X20" s="42" t="s">
        <v>3570</v>
      </c>
      <c r="Y20" s="39" t="s">
        <v>3365</v>
      </c>
      <c r="Z20" s="39" t="s">
        <v>3366</v>
      </c>
      <c r="AA20" s="39" t="s">
        <v>3527</v>
      </c>
    </row>
    <row r="21" spans="1:27" x14ac:dyDescent="0.25">
      <c r="A21" s="39" t="s">
        <v>46</v>
      </c>
      <c r="B21" s="39" t="s">
        <v>3085</v>
      </c>
      <c r="C21" s="39" t="s">
        <v>3111</v>
      </c>
      <c r="D21" s="39" t="s">
        <v>3526</v>
      </c>
      <c r="E21" s="39" t="s">
        <v>3115</v>
      </c>
      <c r="F21" s="40" t="s">
        <v>3086</v>
      </c>
      <c r="G21" s="39" t="s">
        <v>3571</v>
      </c>
      <c r="H21" s="39" t="s">
        <v>3572</v>
      </c>
      <c r="I21" s="39" t="s">
        <v>3243</v>
      </c>
      <c r="J21" s="39" t="s">
        <v>3132</v>
      </c>
      <c r="K21" s="39" t="s">
        <v>3133</v>
      </c>
      <c r="L21" s="39" t="s">
        <v>3134</v>
      </c>
      <c r="M21" s="39" t="s">
        <v>3250</v>
      </c>
      <c r="N21" s="39" t="s">
        <v>3251</v>
      </c>
      <c r="O21" s="39" t="s">
        <v>3252</v>
      </c>
      <c r="P21" s="39" t="s">
        <v>69</v>
      </c>
      <c r="Q21" s="39" t="s">
        <v>3253</v>
      </c>
      <c r="R21" s="40" t="s">
        <v>524</v>
      </c>
      <c r="S21" s="39" t="s">
        <v>3254</v>
      </c>
      <c r="T21" s="39" t="s">
        <v>3255</v>
      </c>
      <c r="U21" s="42" t="str">
        <f t="shared" si="0"/>
        <v>https://www.google.co.uk/maps/search/?api=1&amp;query=51.524302554935964,-0.07084586595018924</v>
      </c>
      <c r="W21" s="42" t="s">
        <v>3571</v>
      </c>
      <c r="X21" s="42" t="s">
        <v>3572</v>
      </c>
      <c r="Y21" s="39" t="s">
        <v>3367</v>
      </c>
      <c r="Z21" s="39" t="s">
        <v>3368</v>
      </c>
      <c r="AA21" s="39" t="s">
        <v>3526</v>
      </c>
    </row>
    <row r="22" spans="1:27" x14ac:dyDescent="0.25">
      <c r="A22" s="39" t="s">
        <v>46</v>
      </c>
      <c r="B22" s="39" t="s">
        <v>3087</v>
      </c>
      <c r="C22" s="39" t="s">
        <v>3112</v>
      </c>
      <c r="D22" s="39" t="s">
        <v>3525</v>
      </c>
      <c r="E22" s="39" t="s">
        <v>3119</v>
      </c>
      <c r="F22" s="40" t="s">
        <v>3088</v>
      </c>
      <c r="G22" s="39" t="s">
        <v>3573</v>
      </c>
      <c r="H22" s="39" t="s">
        <v>3574</v>
      </c>
      <c r="I22" s="39" t="s">
        <v>3256</v>
      </c>
      <c r="J22" s="39" t="s">
        <v>3132</v>
      </c>
      <c r="K22" s="39" t="s">
        <v>3133</v>
      </c>
      <c r="L22" s="39" t="s">
        <v>3134</v>
      </c>
      <c r="M22" s="39" t="s">
        <v>3257</v>
      </c>
      <c r="N22" s="39" t="s">
        <v>3258</v>
      </c>
      <c r="O22" s="39" t="s">
        <v>3259</v>
      </c>
      <c r="P22" s="39" t="s">
        <v>69</v>
      </c>
      <c r="Q22" s="39" t="s">
        <v>3260</v>
      </c>
      <c r="R22" s="40" t="s">
        <v>622</v>
      </c>
      <c r="S22" s="39" t="s">
        <v>3261</v>
      </c>
      <c r="T22" s="39" t="s">
        <v>3262</v>
      </c>
      <c r="U22" s="42" t="str">
        <f t="shared" si="0"/>
        <v>https://www.google.co.uk/maps/search/?api=1&amp;query=51.51807261774358,-0.02855298374142542</v>
      </c>
      <c r="W22" s="42" t="s">
        <v>3573</v>
      </c>
      <c r="X22" s="42" t="s">
        <v>3574</v>
      </c>
      <c r="Y22" s="39" t="s">
        <v>3369</v>
      </c>
      <c r="Z22" s="39" t="s">
        <v>3370</v>
      </c>
      <c r="AA22" s="39" t="s">
        <v>3525</v>
      </c>
    </row>
    <row r="23" spans="1:27" x14ac:dyDescent="0.25">
      <c r="A23" s="39" t="s">
        <v>46</v>
      </c>
      <c r="B23" s="39" t="s">
        <v>3089</v>
      </c>
      <c r="C23" s="39" t="s">
        <v>3484</v>
      </c>
      <c r="D23" s="39" t="s">
        <v>3524</v>
      </c>
      <c r="E23" s="39" t="s">
        <v>3115</v>
      </c>
      <c r="F23" s="40" t="s">
        <v>3090</v>
      </c>
      <c r="G23" s="39" t="s">
        <v>3575</v>
      </c>
      <c r="H23" s="39" t="s">
        <v>3576</v>
      </c>
      <c r="I23" s="39" t="s">
        <v>3263</v>
      </c>
      <c r="J23" s="39" t="s">
        <v>3132</v>
      </c>
      <c r="K23" s="39" t="s">
        <v>3133</v>
      </c>
      <c r="L23" s="39" t="s">
        <v>3134</v>
      </c>
      <c r="M23" s="39" t="s">
        <v>3264</v>
      </c>
      <c r="N23" s="39" t="s">
        <v>3265</v>
      </c>
      <c r="O23" s="39" t="s">
        <v>3266</v>
      </c>
      <c r="P23" s="39" t="s">
        <v>69</v>
      </c>
      <c r="Q23" s="39" t="s">
        <v>3267</v>
      </c>
      <c r="R23" s="40" t="s">
        <v>3268</v>
      </c>
      <c r="S23" s="39" t="s">
        <v>3269</v>
      </c>
      <c r="T23" s="39" t="s">
        <v>3270</v>
      </c>
      <c r="U23" s="42" t="str">
        <f t="shared" si="0"/>
        <v>https://www.google.co.uk/maps/search/?api=1&amp;query=51.48991077963449,-0.005571537115378107</v>
      </c>
      <c r="W23" s="42" t="s">
        <v>3575</v>
      </c>
      <c r="X23" s="42" t="s">
        <v>3576</v>
      </c>
      <c r="Y23" s="39" t="s">
        <v>3371</v>
      </c>
      <c r="Z23" s="39" t="s">
        <v>3372</v>
      </c>
      <c r="AA23" s="39" t="s">
        <v>3524</v>
      </c>
    </row>
    <row r="24" spans="1:27" x14ac:dyDescent="0.25">
      <c r="A24" s="39" t="s">
        <v>46</v>
      </c>
      <c r="B24" s="39" t="s">
        <v>3091</v>
      </c>
      <c r="C24" s="39" t="s">
        <v>3485</v>
      </c>
      <c r="D24" s="39" t="s">
        <v>3523</v>
      </c>
      <c r="E24" s="39" t="s">
        <v>3115</v>
      </c>
      <c r="F24" s="40" t="s">
        <v>3092</v>
      </c>
      <c r="G24" s="39" t="s">
        <v>3577</v>
      </c>
      <c r="H24" s="39" t="s">
        <v>3578</v>
      </c>
      <c r="I24" s="39" t="s">
        <v>3271</v>
      </c>
      <c r="J24" s="39" t="s">
        <v>3132</v>
      </c>
      <c r="K24" s="39" t="s">
        <v>3133</v>
      </c>
      <c r="L24" s="39" t="s">
        <v>3134</v>
      </c>
      <c r="M24" s="39" t="s">
        <v>3272</v>
      </c>
      <c r="N24" s="39" t="s">
        <v>3273</v>
      </c>
      <c r="O24" s="39" t="s">
        <v>3274</v>
      </c>
      <c r="P24" s="39" t="s">
        <v>69</v>
      </c>
      <c r="Q24" s="39" t="s">
        <v>3275</v>
      </c>
      <c r="R24" s="40" t="s">
        <v>3276</v>
      </c>
      <c r="S24" s="39" t="s">
        <v>3277</v>
      </c>
      <c r="T24" s="39" t="s">
        <v>3278</v>
      </c>
      <c r="U24" s="42" t="str">
        <f t="shared" si="0"/>
        <v>https://www.google.co.uk/maps/search/?api=1&amp;query=51.516402144789836,-0.01714034434000053</v>
      </c>
      <c r="W24" s="42" t="s">
        <v>3577</v>
      </c>
      <c r="X24" s="42" t="s">
        <v>3578</v>
      </c>
      <c r="Y24" s="39" t="s">
        <v>3373</v>
      </c>
      <c r="Z24" s="39" t="s">
        <v>3374</v>
      </c>
      <c r="AA24" s="39" t="s">
        <v>3523</v>
      </c>
    </row>
    <row r="25" spans="1:27" x14ac:dyDescent="0.25">
      <c r="A25" s="39" t="s">
        <v>46</v>
      </c>
      <c r="B25" s="39" t="s">
        <v>3093</v>
      </c>
      <c r="C25" s="39" t="s">
        <v>3113</v>
      </c>
      <c r="D25" s="39" t="s">
        <v>3522</v>
      </c>
      <c r="E25" s="39" t="s">
        <v>3115</v>
      </c>
      <c r="F25" s="40" t="s">
        <v>3094</v>
      </c>
      <c r="G25" s="39" t="s">
        <v>3579</v>
      </c>
      <c r="H25" s="39" t="s">
        <v>3580</v>
      </c>
      <c r="I25" s="39" t="s">
        <v>3279</v>
      </c>
      <c r="J25" s="39" t="s">
        <v>3132</v>
      </c>
      <c r="K25" s="39" t="s">
        <v>3133</v>
      </c>
      <c r="L25" s="39" t="s">
        <v>3134</v>
      </c>
      <c r="M25" s="39" t="s">
        <v>3280</v>
      </c>
      <c r="N25" s="39" t="s">
        <v>3281</v>
      </c>
      <c r="O25" s="39" t="s">
        <v>3282</v>
      </c>
      <c r="P25" s="39" t="s">
        <v>69</v>
      </c>
      <c r="Q25" s="39" t="s">
        <v>3283</v>
      </c>
      <c r="R25" s="40" t="s">
        <v>3284</v>
      </c>
      <c r="S25" s="39" t="s">
        <v>3285</v>
      </c>
      <c r="T25" s="39" t="s">
        <v>3286</v>
      </c>
      <c r="U25" s="42" t="str">
        <f t="shared" si="0"/>
        <v>https://www.google.co.uk/maps/search/?api=1&amp;query=51.518887848661485,-0.07178260153248468</v>
      </c>
      <c r="W25" s="42" t="s">
        <v>3579</v>
      </c>
      <c r="X25" s="42" t="s">
        <v>3580</v>
      </c>
      <c r="Y25" s="39" t="s">
        <v>3375</v>
      </c>
      <c r="Z25" s="39" t="s">
        <v>3376</v>
      </c>
      <c r="AA25" s="39" t="s">
        <v>3522</v>
      </c>
    </row>
    <row r="26" spans="1:27" x14ac:dyDescent="0.25">
      <c r="A26" s="39" t="s">
        <v>46</v>
      </c>
      <c r="B26" s="39" t="s">
        <v>3095</v>
      </c>
      <c r="C26" s="39" t="s">
        <v>484</v>
      </c>
      <c r="D26" s="39" t="s">
        <v>3521</v>
      </c>
      <c r="E26" s="39" t="s">
        <v>3117</v>
      </c>
      <c r="F26" s="40" t="s">
        <v>3096</v>
      </c>
      <c r="G26" s="39" t="s">
        <v>3581</v>
      </c>
      <c r="H26" s="39" t="s">
        <v>3582</v>
      </c>
      <c r="I26" s="39" t="s">
        <v>3287</v>
      </c>
      <c r="J26" s="39" t="s">
        <v>3132</v>
      </c>
      <c r="K26" s="39" t="s">
        <v>3134</v>
      </c>
      <c r="L26" s="39" t="s">
        <v>3134</v>
      </c>
      <c r="M26" s="39" t="s">
        <v>3288</v>
      </c>
      <c r="N26" s="39" t="s">
        <v>3289</v>
      </c>
      <c r="O26" s="39" t="s">
        <v>3290</v>
      </c>
      <c r="P26" s="39" t="s">
        <v>69</v>
      </c>
      <c r="Q26" s="39" t="s">
        <v>3291</v>
      </c>
      <c r="R26" s="40" t="s">
        <v>3292</v>
      </c>
      <c r="S26" s="39" t="s">
        <v>3293</v>
      </c>
      <c r="T26" s="39" t="s">
        <v>3294</v>
      </c>
      <c r="U26" s="42" t="str">
        <f t="shared" si="0"/>
        <v>https://www.google.co.uk/maps/search/?api=1&amp;query=51.51410061423717,-0.032358430980307724</v>
      </c>
      <c r="W26" s="42" t="s">
        <v>3581</v>
      </c>
      <c r="X26" s="42" t="s">
        <v>3582</v>
      </c>
      <c r="Y26" s="39" t="s">
        <v>3377</v>
      </c>
      <c r="Z26" s="39" t="s">
        <v>3378</v>
      </c>
      <c r="AA26" s="39" t="s">
        <v>3521</v>
      </c>
    </row>
    <row r="27" spans="1:27" x14ac:dyDescent="0.25">
      <c r="A27" s="39" t="s">
        <v>46</v>
      </c>
      <c r="B27" s="39" t="s">
        <v>3097</v>
      </c>
      <c r="C27" s="39" t="s">
        <v>3486</v>
      </c>
      <c r="D27" s="39" t="s">
        <v>3520</v>
      </c>
      <c r="E27" s="39" t="s">
        <v>3115</v>
      </c>
      <c r="F27" s="40" t="s">
        <v>3098</v>
      </c>
      <c r="G27" s="39" t="s">
        <v>3583</v>
      </c>
      <c r="H27" s="39" t="s">
        <v>3584</v>
      </c>
      <c r="I27" s="39" t="s">
        <v>3295</v>
      </c>
      <c r="J27" s="39" t="s">
        <v>3132</v>
      </c>
      <c r="K27" s="39" t="s">
        <v>3133</v>
      </c>
      <c r="L27" s="39" t="s">
        <v>3134</v>
      </c>
      <c r="M27" s="39" t="s">
        <v>3296</v>
      </c>
      <c r="N27" s="39" t="s">
        <v>3297</v>
      </c>
      <c r="O27" s="39" t="s">
        <v>3298</v>
      </c>
      <c r="P27" s="39" t="s">
        <v>69</v>
      </c>
      <c r="Q27" s="39" t="s">
        <v>3299</v>
      </c>
      <c r="R27" s="40" t="s">
        <v>628</v>
      </c>
      <c r="S27" s="39" t="s">
        <v>3300</v>
      </c>
      <c r="T27" s="39" t="s">
        <v>3301</v>
      </c>
      <c r="U27" s="42" t="str">
        <f t="shared" si="0"/>
        <v>https://www.google.co.uk/maps/search/?api=1&amp;query=51.50616159700927,-0.05458157208502414</v>
      </c>
      <c r="W27" s="42" t="s">
        <v>3583</v>
      </c>
      <c r="X27" s="42" t="s">
        <v>3584</v>
      </c>
      <c r="Y27" s="39" t="s">
        <v>3379</v>
      </c>
      <c r="Z27" s="39" t="s">
        <v>3380</v>
      </c>
      <c r="AA27" s="39" t="s">
        <v>3520</v>
      </c>
    </row>
    <row r="28" spans="1:27" x14ac:dyDescent="0.25">
      <c r="A28" s="39" t="s">
        <v>46</v>
      </c>
      <c r="B28" s="39" t="s">
        <v>3099</v>
      </c>
      <c r="C28" s="39" t="s">
        <v>3487</v>
      </c>
      <c r="D28" s="39" t="s">
        <v>3519</v>
      </c>
      <c r="E28" s="39" t="s">
        <v>3115</v>
      </c>
      <c r="F28" s="40" t="s">
        <v>3100</v>
      </c>
      <c r="G28" s="39" t="s">
        <v>3585</v>
      </c>
      <c r="H28" s="39" t="s">
        <v>3586</v>
      </c>
      <c r="I28" s="39" t="s">
        <v>3302</v>
      </c>
      <c r="J28" s="39" t="s">
        <v>3132</v>
      </c>
      <c r="K28" s="39" t="s">
        <v>3133</v>
      </c>
      <c r="L28" s="39" t="s">
        <v>3134</v>
      </c>
      <c r="M28" s="39" t="s">
        <v>3303</v>
      </c>
      <c r="N28" s="39" t="s">
        <v>3304</v>
      </c>
      <c r="O28" s="39" t="s">
        <v>3305</v>
      </c>
      <c r="P28" s="39" t="s">
        <v>69</v>
      </c>
      <c r="Q28" s="39" t="s">
        <v>3306</v>
      </c>
      <c r="R28" s="40" t="s">
        <v>3307</v>
      </c>
      <c r="U28" s="42" t="str">
        <f t="shared" si="0"/>
        <v>https://www.google.co.uk/maps/search/?api=1&amp;query=51.51011041430987,-0.0659162720849083</v>
      </c>
      <c r="W28" s="42" t="s">
        <v>3585</v>
      </c>
      <c r="X28" s="42" t="s">
        <v>3586</v>
      </c>
      <c r="Y28" s="39" t="s">
        <v>3381</v>
      </c>
      <c r="Z28" s="39" t="s">
        <v>3382</v>
      </c>
      <c r="AA28" s="39" t="s">
        <v>3519</v>
      </c>
    </row>
    <row r="29" spans="1:27" x14ac:dyDescent="0.25">
      <c r="A29" s="39" t="s">
        <v>46</v>
      </c>
      <c r="B29" s="39" t="s">
        <v>3101</v>
      </c>
      <c r="C29" s="39" t="s">
        <v>3114</v>
      </c>
      <c r="D29" s="39" t="s">
        <v>3518</v>
      </c>
      <c r="E29" s="39" t="s">
        <v>3116</v>
      </c>
      <c r="F29" s="40" t="s">
        <v>3102</v>
      </c>
      <c r="G29" s="39" t="s">
        <v>3587</v>
      </c>
      <c r="H29" s="39" t="s">
        <v>3588</v>
      </c>
      <c r="I29" s="39" t="s">
        <v>3287</v>
      </c>
      <c r="J29" s="39" t="s">
        <v>3308</v>
      </c>
      <c r="M29" s="39" t="s">
        <v>3309</v>
      </c>
      <c r="N29" s="39" t="s">
        <v>3310</v>
      </c>
      <c r="O29" s="39" t="s">
        <v>3311</v>
      </c>
      <c r="P29" s="39" t="s">
        <v>69</v>
      </c>
      <c r="Q29" s="39" t="s">
        <v>3312</v>
      </c>
      <c r="R29" s="40" t="s">
        <v>3313</v>
      </c>
      <c r="S29" s="39" t="s">
        <v>3314</v>
      </c>
      <c r="T29" s="39" t="s">
        <v>3315</v>
      </c>
      <c r="U29" s="42" t="str">
        <f t="shared" si="0"/>
        <v>https://www.google.co.uk/maps/search/?api=1&amp;query=51.515970396921155,-0.042914830980297816</v>
      </c>
      <c r="W29" s="42" t="s">
        <v>3587</v>
      </c>
      <c r="X29" s="42" t="s">
        <v>3588</v>
      </c>
      <c r="Y29" s="39" t="s">
        <v>3383</v>
      </c>
      <c r="Z29" s="39" t="s">
        <v>3384</v>
      </c>
      <c r="AA29" s="39" t="s">
        <v>3518</v>
      </c>
    </row>
  </sheetData>
  <autoFilter ref="A1:V1"/>
  <conditionalFormatting sqref="A1:V1">
    <cfRule type="expression" dxfId="5" priority="6">
      <formula>OR(NOT(ISERROR(SEARCH("$" &amp; A$1 &amp; "$", PopUpDetailsSchools))), NOT(ISERROR(SEARCH(A$1, AdditionalFieldsSchools))), NOT(ISERROR(SEARCH(A$1, LinkDetails))))</formula>
    </cfRule>
  </conditionalFormatting>
  <conditionalFormatting sqref="A2:V29">
    <cfRule type="expression" dxfId="4" priority="5">
      <formula>_xlfn.ISFORMULA(A2)</formula>
    </cfRule>
  </conditionalFormatting>
  <conditionalFormatting sqref="W1:Z1">
    <cfRule type="expression" dxfId="3" priority="4">
      <formula>OR(NOT(ISERROR(SEARCH("$" &amp; W$1 &amp; "$", PopUpDetailsSchools))), NOT(ISERROR(SEARCH(W$1, AdditionalFieldsSchools))), NOT(ISERROR(SEARCH(W$1, LinkDetails))))</formula>
    </cfRule>
  </conditionalFormatting>
  <conditionalFormatting sqref="Y2:Z29">
    <cfRule type="expression" dxfId="2" priority="3">
      <formula>_xlfn.ISFORMULA(Y2)</formula>
    </cfRule>
  </conditionalFormatting>
  <conditionalFormatting sqref="AA1">
    <cfRule type="expression" dxfId="1" priority="2">
      <formula>OR(NOT(ISERROR(SEARCH("$" &amp; AA$1 &amp; "$", PopUpDetailsSchools))), NOT(ISERROR(SEARCH(AA$1, AdditionalFieldsSchools))), NOT(ISERROR(SEARCH(AA$1, LinkDetails))))</formula>
    </cfRule>
  </conditionalFormatting>
  <conditionalFormatting sqref="AA2:AA29">
    <cfRule type="expression" dxfId="0" priority="1">
      <formula>_xlfn.ISFORMULA(AA2)</formula>
    </cfRule>
  </conditionalFormatting>
  <hyperlinks>
    <hyperlink ref="F2" r:id="rId1"/>
    <hyperlink ref="F3" r:id="rId2"/>
    <hyperlink ref="F4" r:id="rId3"/>
    <hyperlink ref="F5" r:id="rId4"/>
    <hyperlink ref="F6" r:id="rId5"/>
    <hyperlink ref="F7" r:id="rId6"/>
    <hyperlink ref="F8" r:id="rId7"/>
    <hyperlink ref="F9" r:id="rId8"/>
    <hyperlink ref="F10" r:id="rId9"/>
    <hyperlink ref="F11" r:id="rId10"/>
    <hyperlink ref="F12" r:id="rId11"/>
    <hyperlink ref="F13" r:id="rId12"/>
    <hyperlink ref="F14" r:id="rId13"/>
    <hyperlink ref="F15" r:id="rId14"/>
    <hyperlink ref="F16" r:id="rId15"/>
    <hyperlink ref="F17" r:id="rId16"/>
    <hyperlink ref="F18" r:id="rId17"/>
    <hyperlink ref="F19" r:id="rId18"/>
    <hyperlink ref="F20" r:id="rId19"/>
    <hyperlink ref="F21" r:id="rId20"/>
    <hyperlink ref="F22" r:id="rId21"/>
    <hyperlink ref="F23" r:id="rId22"/>
    <hyperlink ref="F24" r:id="rId23"/>
    <hyperlink ref="F25" r:id="rId24"/>
    <hyperlink ref="F26" r:id="rId25"/>
    <hyperlink ref="F27" r:id="rId26"/>
    <hyperlink ref="F28" r:id="rId27"/>
    <hyperlink ref="F29" r:id="rId28"/>
    <hyperlink ref="R2" r:id="rId29"/>
    <hyperlink ref="R3" r:id="rId30"/>
    <hyperlink ref="R4" r:id="rId31" display="http://www.spsm.hackney.sch.uk/"/>
    <hyperlink ref="R5" r:id="rId32" display="http://www.st-john.hackney.sch.uk/"/>
    <hyperlink ref="R6" r:id="rId33"/>
    <hyperlink ref="R7" r:id="rId34"/>
    <hyperlink ref="R8" r:id="rId35"/>
    <hyperlink ref="R9" r:id="rId36"/>
    <hyperlink ref="R10" r:id="rId37"/>
    <hyperlink ref="R11" r:id="rId38"/>
    <hyperlink ref="R12" r:id="rId39"/>
    <hyperlink ref="R13" r:id="rId40"/>
    <hyperlink ref="R14" r:id="rId41"/>
    <hyperlink ref="R15" r:id="rId42"/>
    <hyperlink ref="R16" r:id="rId43"/>
    <hyperlink ref="R17" r:id="rId44"/>
    <hyperlink ref="R18" r:id="rId45"/>
    <hyperlink ref="R19" r:id="rId46"/>
    <hyperlink ref="R20" r:id="rId47"/>
    <hyperlink ref="R21" r:id="rId48"/>
    <hyperlink ref="R22" r:id="rId49"/>
    <hyperlink ref="R23" r:id="rId50"/>
    <hyperlink ref="R24" r:id="rId51" display="http://www.st-saviours.towerhamlets.sch.uk/"/>
    <hyperlink ref="R25" r:id="rId52"/>
    <hyperlink ref="R26" r:id="rId53"/>
    <hyperlink ref="R27" r:id="rId54"/>
    <hyperlink ref="R28" r:id="rId55"/>
    <hyperlink ref="R29" r:id="rId56"/>
  </hyperlinks>
  <pageMargins left="0.7" right="0.7" top="0.75" bottom="0.75" header="0.3" footer="0.3"/>
  <pageSetup paperSize="9" orientation="portrait" horizontalDpi="0" verticalDpi="0" r:id="rId5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I30"/>
  <sheetViews>
    <sheetView showGridLines="0" topLeftCell="A4" workbookViewId="0">
      <selection activeCell="B25" sqref="B25"/>
    </sheetView>
  </sheetViews>
  <sheetFormatPr defaultRowHeight="15" x14ac:dyDescent="0.25"/>
  <cols>
    <col min="1" max="1" width="6" style="2" customWidth="1"/>
    <col min="2" max="3" width="52.42578125" style="2" customWidth="1"/>
    <col min="4" max="4" width="2.42578125" style="27" customWidth="1"/>
    <col min="5" max="5" width="52.42578125" style="23" customWidth="1"/>
    <col min="6" max="6" width="17.5703125" style="23" customWidth="1"/>
    <col min="7" max="7" width="23" style="23" customWidth="1"/>
    <col min="8" max="8" width="4.140625" style="23" customWidth="1"/>
    <col min="9" max="9" width="60.140625" style="23" customWidth="1"/>
    <col min="10" max="16384" width="9.140625" style="2"/>
  </cols>
  <sheetData>
    <row r="1" spans="1:8" ht="33.75" customHeight="1" x14ac:dyDescent="0.25">
      <c r="A1" s="13" t="s">
        <v>204</v>
      </c>
      <c r="E1" s="25" t="s">
        <v>3391</v>
      </c>
    </row>
    <row r="2" spans="1:8" x14ac:dyDescent="0.25">
      <c r="B2" s="14" t="s">
        <v>3387</v>
      </c>
      <c r="C2" s="14" t="s">
        <v>3388</v>
      </c>
      <c r="G2" s="26"/>
      <c r="H2" s="26"/>
    </row>
    <row r="3" spans="1:8" ht="270" x14ac:dyDescent="0.25">
      <c r="B3" s="41" t="s">
        <v>3495</v>
      </c>
      <c r="C3" s="41" t="s">
        <v>3392</v>
      </c>
      <c r="D3" s="28"/>
      <c r="G3" s="24"/>
    </row>
    <row r="5" spans="1:8" x14ac:dyDescent="0.25">
      <c r="B5" s="14" t="s">
        <v>3389</v>
      </c>
      <c r="C5" s="14" t="s">
        <v>3390</v>
      </c>
    </row>
    <row r="6" spans="1:8" ht="180" x14ac:dyDescent="0.25">
      <c r="B6" s="41" t="s">
        <v>3496</v>
      </c>
      <c r="C6" s="41" t="s">
        <v>3493</v>
      </c>
    </row>
    <row r="8" spans="1:8" x14ac:dyDescent="0.25">
      <c r="B8" s="11" t="s">
        <v>200</v>
      </c>
      <c r="C8" s="12" t="s">
        <v>201</v>
      </c>
    </row>
    <row r="9" spans="1:8" x14ac:dyDescent="0.25">
      <c r="B9" s="7" t="s">
        <v>197</v>
      </c>
      <c r="C9" s="8" t="s">
        <v>25</v>
      </c>
    </row>
    <row r="10" spans="1:8" x14ac:dyDescent="0.25">
      <c r="B10" s="18" t="s">
        <v>633</v>
      </c>
      <c r="C10" s="19" t="s">
        <v>404</v>
      </c>
    </row>
    <row r="11" spans="1:8" x14ac:dyDescent="0.25">
      <c r="B11" s="9" t="s">
        <v>198</v>
      </c>
      <c r="C11" s="10" t="s">
        <v>68</v>
      </c>
    </row>
    <row r="12" spans="1:8" x14ac:dyDescent="0.25">
      <c r="B12" s="9" t="s">
        <v>203</v>
      </c>
      <c r="C12" s="10" t="s">
        <v>100</v>
      </c>
    </row>
    <row r="13" spans="1:8" x14ac:dyDescent="0.25">
      <c r="B13" s="9" t="s">
        <v>199</v>
      </c>
      <c r="C13" s="10" t="s">
        <v>631</v>
      </c>
    </row>
    <row r="14" spans="1:8" x14ac:dyDescent="0.25">
      <c r="B14" s="30" t="s">
        <v>639</v>
      </c>
      <c r="C14" s="31" t="s">
        <v>403</v>
      </c>
    </row>
    <row r="15" spans="1:8" x14ac:dyDescent="0.25">
      <c r="B15" s="9" t="s">
        <v>637</v>
      </c>
      <c r="C15" s="10" t="s">
        <v>638</v>
      </c>
    </row>
    <row r="16" spans="1:8" x14ac:dyDescent="0.25">
      <c r="B16" s="30" t="s">
        <v>3385</v>
      </c>
      <c r="C16" s="31" t="s">
        <v>3386</v>
      </c>
    </row>
    <row r="17" spans="1:3" x14ac:dyDescent="0.25">
      <c r="B17" s="76" t="s">
        <v>202</v>
      </c>
      <c r="C17" s="77"/>
    </row>
    <row r="19" spans="1:3" x14ac:dyDescent="0.25">
      <c r="A19" s="13" t="s">
        <v>3494</v>
      </c>
    </row>
    <row r="20" spans="1:3" x14ac:dyDescent="0.25">
      <c r="B20" s="78" t="s">
        <v>636</v>
      </c>
      <c r="C20" s="78"/>
    </row>
    <row r="22" spans="1:3" x14ac:dyDescent="0.25">
      <c r="A22" s="13" t="s">
        <v>642</v>
      </c>
    </row>
    <row r="23" spans="1:3" x14ac:dyDescent="0.25">
      <c r="B23" s="32" t="s">
        <v>3499</v>
      </c>
    </row>
    <row r="24" spans="1:3" x14ac:dyDescent="0.25">
      <c r="B24" s="59" t="s">
        <v>3500</v>
      </c>
    </row>
    <row r="25" spans="1:3" x14ac:dyDescent="0.25">
      <c r="B25" s="33" t="s">
        <v>643</v>
      </c>
    </row>
    <row r="26" spans="1:3" x14ac:dyDescent="0.25">
      <c r="B26" s="33" t="s">
        <v>644</v>
      </c>
    </row>
    <row r="27" spans="1:3" x14ac:dyDescent="0.25">
      <c r="B27" s="34" t="s">
        <v>646</v>
      </c>
    </row>
    <row r="28" spans="1:3" x14ac:dyDescent="0.25">
      <c r="A28" s="38" t="s">
        <v>666</v>
      </c>
    </row>
    <row r="30" spans="1:3" x14ac:dyDescent="0.25">
      <c r="B30" s="2" t="s">
        <v>667</v>
      </c>
    </row>
  </sheetData>
  <mergeCells count="2">
    <mergeCell ref="B17:C17"/>
    <mergeCell ref="B20:C20"/>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G1462"/>
  <sheetViews>
    <sheetView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668</v>
      </c>
      <c r="B1" t="s">
        <v>196</v>
      </c>
      <c r="C1" t="s">
        <v>194</v>
      </c>
      <c r="D1" t="s">
        <v>669</v>
      </c>
      <c r="E1" t="s">
        <v>670</v>
      </c>
      <c r="F1" t="s">
        <v>671</v>
      </c>
    </row>
    <row r="2" spans="1:7" x14ac:dyDescent="0.25">
      <c r="A2" t="s">
        <v>672</v>
      </c>
      <c r="B2" t="s">
        <v>1871</v>
      </c>
      <c r="C2">
        <v>51.467159500000001</v>
      </c>
      <c r="D2">
        <v>-0.22876940000000001</v>
      </c>
      <c r="E2" t="s">
        <v>673</v>
      </c>
      <c r="F2">
        <v>1</v>
      </c>
      <c r="G2" t="str">
        <f>IFERROR(VLOOKUP(B2, Churches!H:H, 1, FALSE), "")</f>
        <v/>
      </c>
    </row>
    <row r="3" spans="1:7" x14ac:dyDescent="0.25">
      <c r="A3" t="s">
        <v>674</v>
      </c>
      <c r="B3" t="s">
        <v>1872</v>
      </c>
      <c r="C3">
        <v>51.4685481</v>
      </c>
      <c r="D3">
        <v>-0.21176159999999999</v>
      </c>
      <c r="E3" t="s">
        <v>673</v>
      </c>
      <c r="F3">
        <v>1</v>
      </c>
      <c r="G3" t="str">
        <f>IFERROR(VLOOKUP(B3, Churches!H:H, 1, FALSE), "")</f>
        <v/>
      </c>
    </row>
    <row r="4" spans="1:7" x14ac:dyDescent="0.25">
      <c r="A4" t="s">
        <v>675</v>
      </c>
      <c r="B4" t="s">
        <v>1873</v>
      </c>
      <c r="C4">
        <v>51.442587000000003</v>
      </c>
      <c r="D4">
        <v>-0.19813919999999999</v>
      </c>
      <c r="E4" t="s">
        <v>673</v>
      </c>
      <c r="F4">
        <v>1</v>
      </c>
      <c r="G4" t="str">
        <f>IFERROR(VLOOKUP(B4, Churches!H:H, 1, FALSE), "")</f>
        <v/>
      </c>
    </row>
    <row r="5" spans="1:7" x14ac:dyDescent="0.25">
      <c r="A5" t="s">
        <v>676</v>
      </c>
      <c r="B5" t="s">
        <v>1874</v>
      </c>
      <c r="C5">
        <v>51.451305499999997</v>
      </c>
      <c r="D5">
        <v>-0.21614320000000001</v>
      </c>
      <c r="E5" t="s">
        <v>677</v>
      </c>
      <c r="F5">
        <v>1</v>
      </c>
      <c r="G5" t="str">
        <f>IFERROR(VLOOKUP(B5, Churches!H:H, 1, FALSE), "")</f>
        <v/>
      </c>
    </row>
    <row r="6" spans="1:7" x14ac:dyDescent="0.25">
      <c r="A6" t="s">
        <v>678</v>
      </c>
      <c r="B6" t="s">
        <v>1875</v>
      </c>
      <c r="C6">
        <v>51.543022800000003</v>
      </c>
      <c r="D6">
        <v>-0.47334039999999999</v>
      </c>
      <c r="E6" t="s">
        <v>673</v>
      </c>
      <c r="F6">
        <v>1</v>
      </c>
      <c r="G6" t="str">
        <f>IFERROR(VLOOKUP(B6, Churches!H:H, 1, FALSE), "")</f>
        <v/>
      </c>
    </row>
    <row r="7" spans="1:7" x14ac:dyDescent="0.25">
      <c r="A7" t="s">
        <v>679</v>
      </c>
      <c r="B7" t="s">
        <v>1876</v>
      </c>
      <c r="C7">
        <v>51.436490800000001</v>
      </c>
      <c r="D7">
        <v>-0.1972458</v>
      </c>
      <c r="F7">
        <v>1</v>
      </c>
      <c r="G7" t="str">
        <f>IFERROR(VLOOKUP(B7, Churches!H:H, 1, FALSE), "")</f>
        <v/>
      </c>
    </row>
    <row r="8" spans="1:7" x14ac:dyDescent="0.25">
      <c r="A8" t="s">
        <v>680</v>
      </c>
      <c r="B8" t="s">
        <v>1877</v>
      </c>
      <c r="C8">
        <v>51.545940399999999</v>
      </c>
      <c r="D8">
        <v>-0.47966350000000002</v>
      </c>
      <c r="E8" t="s">
        <v>673</v>
      </c>
      <c r="F8">
        <v>1</v>
      </c>
      <c r="G8" t="str">
        <f>IFERROR(VLOOKUP(B8, Churches!H:H, 1, FALSE), "")</f>
        <v/>
      </c>
    </row>
    <row r="9" spans="1:7" x14ac:dyDescent="0.25">
      <c r="A9" t="s">
        <v>681</v>
      </c>
      <c r="B9" t="s">
        <v>1878</v>
      </c>
      <c r="C9">
        <v>51.442897799999997</v>
      </c>
      <c r="D9">
        <v>-4.4571E-2</v>
      </c>
      <c r="F9">
        <v>1</v>
      </c>
      <c r="G9" t="str">
        <f>IFERROR(VLOOKUP(B9, Churches!H:H, 1, FALSE), "")</f>
        <v/>
      </c>
    </row>
    <row r="10" spans="1:7" x14ac:dyDescent="0.25">
      <c r="A10" t="s">
        <v>682</v>
      </c>
      <c r="B10" t="s">
        <v>1879</v>
      </c>
      <c r="C10">
        <v>51.417678600000002</v>
      </c>
      <c r="D10">
        <v>-0.285501</v>
      </c>
      <c r="F10">
        <v>1</v>
      </c>
      <c r="G10" t="str">
        <f>IFERROR(VLOOKUP(B10, Churches!H:H, 1, FALSE), "")</f>
        <v/>
      </c>
    </row>
    <row r="11" spans="1:7" x14ac:dyDescent="0.25">
      <c r="A11" t="s">
        <v>683</v>
      </c>
      <c r="B11" t="s">
        <v>1880</v>
      </c>
      <c r="C11">
        <v>51.4336299</v>
      </c>
      <c r="D11">
        <v>-0.25883319999999999</v>
      </c>
      <c r="E11" t="s">
        <v>673</v>
      </c>
      <c r="F11">
        <v>1</v>
      </c>
      <c r="G11" t="str">
        <f>IFERROR(VLOOKUP(B11, Churches!H:H, 1, FALSE), "")</f>
        <v/>
      </c>
    </row>
    <row r="12" spans="1:7" x14ac:dyDescent="0.25">
      <c r="A12" t="s">
        <v>684</v>
      </c>
      <c r="B12" t="s">
        <v>1881</v>
      </c>
      <c r="C12">
        <v>51.472134799999999</v>
      </c>
      <c r="D12">
        <v>-0.28225640000000002</v>
      </c>
      <c r="E12" t="s">
        <v>673</v>
      </c>
      <c r="F12">
        <v>1</v>
      </c>
      <c r="G12" t="str">
        <f>IFERROR(VLOOKUP(B12, Churches!H:H, 1, FALSE), "")</f>
        <v/>
      </c>
    </row>
    <row r="13" spans="1:7" x14ac:dyDescent="0.25">
      <c r="A13" t="s">
        <v>685</v>
      </c>
      <c r="B13" t="s">
        <v>1882</v>
      </c>
      <c r="C13">
        <v>51.416666800000002</v>
      </c>
      <c r="D13">
        <v>-0.2972822</v>
      </c>
      <c r="F13">
        <v>1</v>
      </c>
      <c r="G13" t="str">
        <f>IFERROR(VLOOKUP(B13, Churches!H:H, 1, FALSE), "")</f>
        <v/>
      </c>
    </row>
    <row r="14" spans="1:7" x14ac:dyDescent="0.25">
      <c r="A14" t="s">
        <v>686</v>
      </c>
      <c r="B14" t="s">
        <v>1883</v>
      </c>
      <c r="C14">
        <v>51.578417899999998</v>
      </c>
      <c r="D14">
        <v>0.187751</v>
      </c>
      <c r="F14">
        <v>1</v>
      </c>
      <c r="G14" t="str">
        <f>IFERROR(VLOOKUP(B14, Churches!H:H, 1, FALSE), "")</f>
        <v/>
      </c>
    </row>
    <row r="15" spans="1:7" x14ac:dyDescent="0.25">
      <c r="A15" t="s">
        <v>687</v>
      </c>
      <c r="B15" t="s">
        <v>1884</v>
      </c>
      <c r="C15">
        <v>51.578465700000002</v>
      </c>
      <c r="D15">
        <v>0.20824500000000001</v>
      </c>
      <c r="F15">
        <v>1</v>
      </c>
      <c r="G15" t="str">
        <f>IFERROR(VLOOKUP(B15, Churches!H:H, 1, FALSE), "")</f>
        <v/>
      </c>
    </row>
    <row r="16" spans="1:7" x14ac:dyDescent="0.25">
      <c r="A16" t="s">
        <v>688</v>
      </c>
      <c r="B16" t="s">
        <v>1885</v>
      </c>
      <c r="C16">
        <v>51.580591599999998</v>
      </c>
      <c r="D16">
        <v>0.2096896</v>
      </c>
      <c r="F16">
        <v>1</v>
      </c>
      <c r="G16" t="str">
        <f>IFERROR(VLOOKUP(B16, Churches!H:H, 1, FALSE), "")</f>
        <v/>
      </c>
    </row>
    <row r="17" spans="1:7" x14ac:dyDescent="0.25">
      <c r="A17" t="s">
        <v>689</v>
      </c>
      <c r="B17" t="s">
        <v>1886</v>
      </c>
      <c r="C17">
        <v>51.501705999999999</v>
      </c>
      <c r="D17">
        <v>-0.45887620000000001</v>
      </c>
      <c r="F17">
        <v>1</v>
      </c>
      <c r="G17" t="str">
        <f>IFERROR(VLOOKUP(B17, Churches!H:H, 1, FALSE), "")</f>
        <v/>
      </c>
    </row>
    <row r="18" spans="1:7" x14ac:dyDescent="0.25">
      <c r="A18" t="s">
        <v>690</v>
      </c>
      <c r="B18" t="s">
        <v>1887</v>
      </c>
      <c r="C18">
        <v>51.472046900000002</v>
      </c>
      <c r="D18">
        <v>-0.33642850000000002</v>
      </c>
      <c r="F18">
        <v>1</v>
      </c>
      <c r="G18" t="str">
        <f>IFERROR(VLOOKUP(B18, Churches!H:H, 1, FALSE), "")</f>
        <v/>
      </c>
    </row>
    <row r="19" spans="1:7" x14ac:dyDescent="0.25">
      <c r="A19" t="s">
        <v>691</v>
      </c>
      <c r="B19" t="s">
        <v>1888</v>
      </c>
      <c r="C19">
        <v>51.4748588</v>
      </c>
      <c r="D19">
        <v>-0.38575389999999998</v>
      </c>
      <c r="F19">
        <v>1</v>
      </c>
      <c r="G19" t="str">
        <f>IFERROR(VLOOKUP(B19, Churches!H:H, 1, FALSE), "")</f>
        <v/>
      </c>
    </row>
    <row r="20" spans="1:7" x14ac:dyDescent="0.25">
      <c r="A20" t="s">
        <v>692</v>
      </c>
      <c r="B20" t="s">
        <v>1889</v>
      </c>
      <c r="C20">
        <v>51.653106299999997</v>
      </c>
      <c r="D20">
        <v>-8.8123300000000002E-2</v>
      </c>
      <c r="F20">
        <v>1</v>
      </c>
      <c r="G20" t="str">
        <f>IFERROR(VLOOKUP(B20, Churches!H:H, 1, FALSE), "")</f>
        <v/>
      </c>
    </row>
    <row r="21" spans="1:7" x14ac:dyDescent="0.25">
      <c r="A21" t="s">
        <v>693</v>
      </c>
      <c r="B21" t="s">
        <v>1890</v>
      </c>
      <c r="C21">
        <v>51.471598700000001</v>
      </c>
      <c r="D21">
        <v>-0.38118279999999999</v>
      </c>
      <c r="F21">
        <v>1</v>
      </c>
      <c r="G21" t="str">
        <f>IFERROR(VLOOKUP(B21, Churches!H:H, 1, FALSE), "")</f>
        <v/>
      </c>
    </row>
    <row r="22" spans="1:7" x14ac:dyDescent="0.25">
      <c r="A22" t="s">
        <v>694</v>
      </c>
      <c r="B22" t="s">
        <v>1891</v>
      </c>
      <c r="C22">
        <v>51.466563899999997</v>
      </c>
      <c r="D22">
        <v>-0.38265979999999999</v>
      </c>
      <c r="F22">
        <v>1</v>
      </c>
      <c r="G22" t="str">
        <f>IFERROR(VLOOKUP(B22, Churches!H:H, 1, FALSE), "")</f>
        <v/>
      </c>
    </row>
    <row r="23" spans="1:7" x14ac:dyDescent="0.25">
      <c r="A23" t="s">
        <v>695</v>
      </c>
      <c r="B23" t="s">
        <v>1892</v>
      </c>
      <c r="C23">
        <v>51.471072399999997</v>
      </c>
      <c r="D23">
        <v>-0.4049913</v>
      </c>
      <c r="F23">
        <v>1</v>
      </c>
      <c r="G23" t="str">
        <f>IFERROR(VLOOKUP(B23, Churches!H:H, 1, FALSE), "")</f>
        <v/>
      </c>
    </row>
    <row r="24" spans="1:7" x14ac:dyDescent="0.25">
      <c r="A24" t="s">
        <v>696</v>
      </c>
      <c r="B24" t="s">
        <v>1893</v>
      </c>
      <c r="C24">
        <v>51.4826975</v>
      </c>
      <c r="D24">
        <v>-0.3312657</v>
      </c>
      <c r="E24" t="s">
        <v>673</v>
      </c>
      <c r="F24">
        <v>1</v>
      </c>
      <c r="G24" t="str">
        <f>IFERROR(VLOOKUP(B24, Churches!H:H, 1, FALSE), "")</f>
        <v/>
      </c>
    </row>
    <row r="25" spans="1:7" x14ac:dyDescent="0.25">
      <c r="A25" t="s">
        <v>697</v>
      </c>
      <c r="B25" t="s">
        <v>1894</v>
      </c>
      <c r="C25">
        <v>51.471802699999998</v>
      </c>
      <c r="D25">
        <v>-0.35026819999999997</v>
      </c>
      <c r="F25">
        <v>1</v>
      </c>
      <c r="G25" t="str">
        <f>IFERROR(VLOOKUP(B25, Churches!H:H, 1, FALSE), "")</f>
        <v/>
      </c>
    </row>
    <row r="26" spans="1:7" x14ac:dyDescent="0.25">
      <c r="A26" t="s">
        <v>698</v>
      </c>
      <c r="B26" t="s">
        <v>1895</v>
      </c>
      <c r="C26">
        <v>51.467454799999999</v>
      </c>
      <c r="D26">
        <v>-0.3298526</v>
      </c>
      <c r="F26">
        <v>1</v>
      </c>
      <c r="G26" t="str">
        <f>IFERROR(VLOOKUP(B26, Churches!H:H, 1, FALSE), "")</f>
        <v/>
      </c>
    </row>
    <row r="27" spans="1:7" x14ac:dyDescent="0.25">
      <c r="A27" t="s">
        <v>699</v>
      </c>
      <c r="B27" t="s">
        <v>1896</v>
      </c>
      <c r="C27">
        <v>51.4669977</v>
      </c>
      <c r="D27">
        <v>-0.34521970000000002</v>
      </c>
      <c r="E27" t="s">
        <v>673</v>
      </c>
      <c r="F27">
        <v>1</v>
      </c>
      <c r="G27" t="str">
        <f>IFERROR(VLOOKUP(B27, Churches!H:H, 1, FALSE), "")</f>
        <v/>
      </c>
    </row>
    <row r="28" spans="1:7" x14ac:dyDescent="0.25">
      <c r="A28" t="s">
        <v>700</v>
      </c>
      <c r="B28" t="s">
        <v>1897</v>
      </c>
      <c r="C28">
        <v>51.360729599999999</v>
      </c>
      <c r="D28">
        <v>-0.2163003</v>
      </c>
      <c r="E28" t="s">
        <v>673</v>
      </c>
      <c r="F28">
        <v>1</v>
      </c>
      <c r="G28" t="str">
        <f>IFERROR(VLOOKUP(B28, Churches!H:H, 1, FALSE), "")</f>
        <v/>
      </c>
    </row>
    <row r="29" spans="1:7" x14ac:dyDescent="0.25">
      <c r="A29" t="s">
        <v>674</v>
      </c>
      <c r="B29" t="s">
        <v>1898</v>
      </c>
      <c r="C29">
        <v>51.430442399999997</v>
      </c>
      <c r="D29">
        <v>-0.15736520000000001</v>
      </c>
      <c r="E29" t="s">
        <v>673</v>
      </c>
      <c r="F29">
        <v>1</v>
      </c>
      <c r="G29" t="str">
        <f>IFERROR(VLOOKUP(B29, Churches!H:H, 1, FALSE), "")</f>
        <v/>
      </c>
    </row>
    <row r="30" spans="1:7" x14ac:dyDescent="0.25">
      <c r="A30" t="s">
        <v>701</v>
      </c>
      <c r="B30" t="s">
        <v>1899</v>
      </c>
      <c r="C30">
        <v>51.590331900000002</v>
      </c>
      <c r="D30">
        <v>0.2335989</v>
      </c>
      <c r="E30" t="s">
        <v>673</v>
      </c>
      <c r="F30">
        <v>1</v>
      </c>
      <c r="G30" t="str">
        <f>IFERROR(VLOOKUP(B30, Churches!H:H, 1, FALSE), "")</f>
        <v/>
      </c>
    </row>
    <row r="31" spans="1:7" x14ac:dyDescent="0.25">
      <c r="A31" t="s">
        <v>702</v>
      </c>
      <c r="B31" t="s">
        <v>1900</v>
      </c>
      <c r="C31">
        <v>51.424293300000002</v>
      </c>
      <c r="D31">
        <v>-0.3766486</v>
      </c>
      <c r="E31" t="s">
        <v>673</v>
      </c>
      <c r="F31">
        <v>1</v>
      </c>
      <c r="G31" t="str">
        <f>IFERROR(VLOOKUP(B31, Churches!H:H, 1, FALSE), "")</f>
        <v/>
      </c>
    </row>
    <row r="32" spans="1:7" x14ac:dyDescent="0.25">
      <c r="A32" t="s">
        <v>703</v>
      </c>
      <c r="B32" t="s">
        <v>1901</v>
      </c>
      <c r="C32">
        <v>51.4449848</v>
      </c>
      <c r="D32">
        <v>-0.36189749999999998</v>
      </c>
      <c r="F32">
        <v>1</v>
      </c>
      <c r="G32" t="str">
        <f>IFERROR(VLOOKUP(B32, Churches!H:H, 1, FALSE), "")</f>
        <v/>
      </c>
    </row>
    <row r="33" spans="1:7" x14ac:dyDescent="0.25">
      <c r="A33" t="s">
        <v>704</v>
      </c>
      <c r="B33" t="s">
        <v>1902</v>
      </c>
      <c r="C33">
        <v>51.5570187</v>
      </c>
      <c r="D33">
        <v>-7.3933200000000004E-2</v>
      </c>
      <c r="E33" t="s">
        <v>673</v>
      </c>
      <c r="F33">
        <v>1</v>
      </c>
      <c r="G33" t="str">
        <f>IFERROR(VLOOKUP(B33, Churches!H:H, 1, FALSE), "")</f>
        <v/>
      </c>
    </row>
    <row r="34" spans="1:7" x14ac:dyDescent="0.25">
      <c r="A34" t="s">
        <v>705</v>
      </c>
      <c r="B34" t="s">
        <v>1903</v>
      </c>
      <c r="C34">
        <v>51.623662400000001</v>
      </c>
      <c r="D34">
        <v>0.22469610000000001</v>
      </c>
      <c r="E34" t="s">
        <v>673</v>
      </c>
      <c r="F34">
        <v>1</v>
      </c>
      <c r="G34" t="str">
        <f>IFERROR(VLOOKUP(B34, Churches!H:H, 1, FALSE), "")</f>
        <v/>
      </c>
    </row>
    <row r="35" spans="1:7" x14ac:dyDescent="0.25">
      <c r="A35" t="s">
        <v>706</v>
      </c>
      <c r="B35" t="s">
        <v>1904</v>
      </c>
      <c r="C35">
        <v>51.482812899999999</v>
      </c>
      <c r="D35">
        <v>-0.38113000000000002</v>
      </c>
      <c r="F35">
        <v>1</v>
      </c>
      <c r="G35" t="str">
        <f>IFERROR(VLOOKUP(B35, Churches!H:H, 1, FALSE), "")</f>
        <v/>
      </c>
    </row>
    <row r="36" spans="1:7" x14ac:dyDescent="0.25">
      <c r="A36" t="s">
        <v>707</v>
      </c>
      <c r="B36" t="s">
        <v>1905</v>
      </c>
      <c r="C36">
        <v>51.439062700000001</v>
      </c>
      <c r="D36">
        <v>-3.4318899999999999E-2</v>
      </c>
      <c r="F36">
        <v>1</v>
      </c>
      <c r="G36" t="str">
        <f>IFERROR(VLOOKUP(B36, Churches!H:H, 1, FALSE), "")</f>
        <v/>
      </c>
    </row>
    <row r="37" spans="1:7" x14ac:dyDescent="0.25">
      <c r="A37" t="s">
        <v>708</v>
      </c>
      <c r="B37" t="s">
        <v>1906</v>
      </c>
      <c r="C37">
        <v>51.644902399999999</v>
      </c>
      <c r="D37">
        <v>-6.6386000000000001E-2</v>
      </c>
      <c r="E37" t="s">
        <v>673</v>
      </c>
      <c r="F37">
        <v>1</v>
      </c>
      <c r="G37" t="str">
        <f>IFERROR(VLOOKUP(B37, Churches!H:H, 1, FALSE), "")</f>
        <v/>
      </c>
    </row>
    <row r="38" spans="1:7" x14ac:dyDescent="0.25">
      <c r="A38" t="s">
        <v>678</v>
      </c>
      <c r="B38" t="s">
        <v>1907</v>
      </c>
      <c r="C38">
        <v>51.653047100000002</v>
      </c>
      <c r="D38">
        <v>-8.2056299999999999E-2</v>
      </c>
      <c r="E38" t="s">
        <v>673</v>
      </c>
      <c r="F38">
        <v>1</v>
      </c>
      <c r="G38" t="str">
        <f>IFERROR(VLOOKUP(B38, Churches!H:H, 1, FALSE), "")</f>
        <v/>
      </c>
    </row>
    <row r="39" spans="1:7" x14ac:dyDescent="0.25">
      <c r="A39" t="s">
        <v>709</v>
      </c>
      <c r="B39" t="s">
        <v>1908</v>
      </c>
      <c r="C39">
        <v>51.482709999999997</v>
      </c>
      <c r="D39">
        <v>-0.41049150000000001</v>
      </c>
      <c r="F39">
        <v>1</v>
      </c>
      <c r="G39" t="str">
        <f>IFERROR(VLOOKUP(B39, Churches!H:H, 1, FALSE), "")</f>
        <v/>
      </c>
    </row>
    <row r="40" spans="1:7" x14ac:dyDescent="0.25">
      <c r="A40" t="s">
        <v>710</v>
      </c>
      <c r="B40" t="s">
        <v>1908</v>
      </c>
      <c r="C40">
        <v>51.482732499999997</v>
      </c>
      <c r="D40">
        <v>-0.41073029999999999</v>
      </c>
      <c r="F40">
        <v>1</v>
      </c>
      <c r="G40" t="str">
        <f>IFERROR(VLOOKUP(B40, Churches!H:H, 1, FALSE), "")</f>
        <v/>
      </c>
    </row>
    <row r="41" spans="1:7" x14ac:dyDescent="0.25">
      <c r="A41" t="s">
        <v>711</v>
      </c>
      <c r="B41" t="s">
        <v>1909</v>
      </c>
      <c r="C41">
        <v>51.498436099999999</v>
      </c>
      <c r="D41">
        <v>-0.1119033</v>
      </c>
      <c r="F41">
        <v>1</v>
      </c>
      <c r="G41" t="str">
        <f>IFERROR(VLOOKUP(B41, Churches!H:H, 1, FALSE), "")</f>
        <v/>
      </c>
    </row>
    <row r="42" spans="1:7" x14ac:dyDescent="0.25">
      <c r="A42" t="s">
        <v>712</v>
      </c>
      <c r="B42" t="s">
        <v>1910</v>
      </c>
      <c r="C42">
        <v>51.485663799999998</v>
      </c>
      <c r="D42">
        <v>-0.30719679999999999</v>
      </c>
      <c r="F42">
        <v>1</v>
      </c>
      <c r="G42" t="str">
        <f>IFERROR(VLOOKUP(B42, Churches!H:H, 1, FALSE), "")</f>
        <v/>
      </c>
    </row>
    <row r="43" spans="1:7" x14ac:dyDescent="0.25">
      <c r="A43" t="s">
        <v>713</v>
      </c>
      <c r="B43" t="s">
        <v>1911</v>
      </c>
      <c r="C43">
        <v>51.443218799999997</v>
      </c>
      <c r="D43">
        <v>-0.1671802</v>
      </c>
      <c r="E43" t="s">
        <v>673</v>
      </c>
      <c r="F43">
        <v>1</v>
      </c>
      <c r="G43" t="str">
        <f>IFERROR(VLOOKUP(B43, Churches!H:H, 1, FALSE), "")</f>
        <v/>
      </c>
    </row>
    <row r="44" spans="1:7" x14ac:dyDescent="0.25">
      <c r="A44" t="s">
        <v>714</v>
      </c>
      <c r="B44" t="s">
        <v>1912</v>
      </c>
      <c r="C44">
        <v>51.380072300000002</v>
      </c>
      <c r="D44">
        <v>4.6150000000000002E-3</v>
      </c>
      <c r="F44">
        <v>1</v>
      </c>
      <c r="G44" t="str">
        <f>IFERROR(VLOOKUP(B44, Churches!H:H, 1, FALSE), "")</f>
        <v/>
      </c>
    </row>
    <row r="45" spans="1:7" x14ac:dyDescent="0.25">
      <c r="A45" t="s">
        <v>715</v>
      </c>
      <c r="B45" t="s">
        <v>1913</v>
      </c>
      <c r="C45">
        <v>51.361525100000001</v>
      </c>
      <c r="D45">
        <v>-0.13080900000000001</v>
      </c>
      <c r="F45">
        <v>1</v>
      </c>
      <c r="G45" t="str">
        <f>IFERROR(VLOOKUP(B45, Churches!H:H, 1, FALSE), "")</f>
        <v/>
      </c>
    </row>
    <row r="46" spans="1:7" x14ac:dyDescent="0.25">
      <c r="A46" t="s">
        <v>716</v>
      </c>
      <c r="B46" t="s">
        <v>1914</v>
      </c>
      <c r="C46">
        <v>51.360996999999998</v>
      </c>
      <c r="D46">
        <v>-0.1449879</v>
      </c>
      <c r="F46">
        <v>1</v>
      </c>
      <c r="G46" t="str">
        <f>IFERROR(VLOOKUP(B46, Churches!H:H, 1, FALSE), "")</f>
        <v/>
      </c>
    </row>
    <row r="47" spans="1:7" x14ac:dyDescent="0.25">
      <c r="A47" t="s">
        <v>717</v>
      </c>
      <c r="B47" t="s">
        <v>1915</v>
      </c>
      <c r="C47">
        <v>51.389218999999997</v>
      </c>
      <c r="D47">
        <v>-6.5240999999999993E-2</v>
      </c>
      <c r="F47">
        <v>1</v>
      </c>
      <c r="G47" t="str">
        <f>IFERROR(VLOOKUP(B47, Churches!H:H, 1, FALSE), "")</f>
        <v/>
      </c>
    </row>
    <row r="48" spans="1:7" x14ac:dyDescent="0.25">
      <c r="A48" t="s">
        <v>718</v>
      </c>
      <c r="B48" t="s">
        <v>1916</v>
      </c>
      <c r="C48">
        <v>51.616205399999998</v>
      </c>
      <c r="D48">
        <v>-0.3155039</v>
      </c>
      <c r="E48" t="s">
        <v>673</v>
      </c>
      <c r="F48">
        <v>1</v>
      </c>
      <c r="G48" t="str">
        <f>IFERROR(VLOOKUP(B48, Churches!H:H, 1, FALSE), "")</f>
        <v/>
      </c>
    </row>
    <row r="49" spans="1:7" x14ac:dyDescent="0.25">
      <c r="A49" t="s">
        <v>719</v>
      </c>
      <c r="B49" t="s">
        <v>1917</v>
      </c>
      <c r="C49">
        <v>51.582469099999997</v>
      </c>
      <c r="D49">
        <v>-0.33182610000000001</v>
      </c>
      <c r="E49" t="s">
        <v>673</v>
      </c>
      <c r="F49">
        <v>1</v>
      </c>
      <c r="G49" t="str">
        <f>IFERROR(VLOOKUP(B49, Churches!H:H, 1, FALSE), "")</f>
        <v/>
      </c>
    </row>
    <row r="50" spans="1:7" x14ac:dyDescent="0.25">
      <c r="A50" t="s">
        <v>720</v>
      </c>
      <c r="B50" t="s">
        <v>1918</v>
      </c>
      <c r="C50">
        <v>51.442084700000002</v>
      </c>
      <c r="D50">
        <v>-0.39050420000000002</v>
      </c>
      <c r="E50" t="s">
        <v>673</v>
      </c>
      <c r="F50">
        <v>1</v>
      </c>
      <c r="G50" t="str">
        <f>IFERROR(VLOOKUP(B50, Churches!H:H, 1, FALSE), "")</f>
        <v/>
      </c>
    </row>
    <row r="51" spans="1:7" x14ac:dyDescent="0.25">
      <c r="A51" t="s">
        <v>721</v>
      </c>
      <c r="B51" t="s">
        <v>1919</v>
      </c>
      <c r="C51">
        <v>51.5945477</v>
      </c>
      <c r="D51">
        <v>-0.37909549999999997</v>
      </c>
      <c r="E51" t="s">
        <v>673</v>
      </c>
      <c r="F51">
        <v>1</v>
      </c>
      <c r="G51" t="str">
        <f>IFERROR(VLOOKUP(B51, Churches!H:H, 1, FALSE), "")</f>
        <v/>
      </c>
    </row>
    <row r="52" spans="1:7" x14ac:dyDescent="0.25">
      <c r="A52" t="s">
        <v>722</v>
      </c>
      <c r="B52" t="s">
        <v>1920</v>
      </c>
      <c r="C52">
        <v>51.345231900000002</v>
      </c>
      <c r="D52">
        <v>-0.1303629</v>
      </c>
      <c r="E52" t="s">
        <v>673</v>
      </c>
      <c r="F52">
        <v>1</v>
      </c>
      <c r="G52" t="str">
        <f>IFERROR(VLOOKUP(B52, Churches!H:H, 1, FALSE), "")</f>
        <v/>
      </c>
    </row>
    <row r="53" spans="1:7" x14ac:dyDescent="0.25">
      <c r="A53" t="s">
        <v>723</v>
      </c>
      <c r="B53" t="s">
        <v>1921</v>
      </c>
      <c r="C53">
        <v>51.4351232</v>
      </c>
      <c r="D53">
        <v>-0.39218979999999998</v>
      </c>
      <c r="F53">
        <v>1</v>
      </c>
      <c r="G53" t="str">
        <f>IFERROR(VLOOKUP(B53, Churches!H:H, 1, FALSE), "")</f>
        <v/>
      </c>
    </row>
    <row r="54" spans="1:7" x14ac:dyDescent="0.25">
      <c r="A54" t="s">
        <v>724</v>
      </c>
      <c r="B54" t="s">
        <v>1922</v>
      </c>
      <c r="C54">
        <v>51.475774800000003</v>
      </c>
      <c r="D54">
        <v>1.86634E-2</v>
      </c>
      <c r="F54">
        <v>1</v>
      </c>
      <c r="G54" t="str">
        <f>IFERROR(VLOOKUP(B54, Churches!H:H, 1, FALSE), "")</f>
        <v/>
      </c>
    </row>
    <row r="55" spans="1:7" x14ac:dyDescent="0.25">
      <c r="A55" t="s">
        <v>725</v>
      </c>
      <c r="B55" t="s">
        <v>1923</v>
      </c>
      <c r="C55">
        <v>51.476043599999997</v>
      </c>
      <c r="D55">
        <v>-1.31611E-2</v>
      </c>
      <c r="F55">
        <v>1</v>
      </c>
      <c r="G55" t="str">
        <f>IFERROR(VLOOKUP(B55, Churches!H:H, 1, FALSE), "")</f>
        <v/>
      </c>
    </row>
    <row r="56" spans="1:7" x14ac:dyDescent="0.25">
      <c r="A56" t="s">
        <v>726</v>
      </c>
      <c r="B56" t="s">
        <v>1924</v>
      </c>
      <c r="C56">
        <v>51.469904399999997</v>
      </c>
      <c r="D56">
        <v>3.7456099999999999E-2</v>
      </c>
      <c r="E56" t="s">
        <v>673</v>
      </c>
      <c r="F56">
        <v>1</v>
      </c>
      <c r="G56" t="str">
        <f>IFERROR(VLOOKUP(B56, Churches!H:H, 1, FALSE), "")</f>
        <v/>
      </c>
    </row>
    <row r="57" spans="1:7" x14ac:dyDescent="0.25">
      <c r="A57" t="s">
        <v>727</v>
      </c>
      <c r="B57" t="s">
        <v>1925</v>
      </c>
      <c r="C57">
        <v>51.452745899999996</v>
      </c>
      <c r="D57">
        <v>8.1495000000000005E-3</v>
      </c>
      <c r="E57" t="s">
        <v>673</v>
      </c>
      <c r="F57">
        <v>1</v>
      </c>
      <c r="G57" t="str">
        <f>IFERROR(VLOOKUP(B57, Churches!H:H, 1, FALSE), "")</f>
        <v/>
      </c>
    </row>
    <row r="58" spans="1:7" x14ac:dyDescent="0.25">
      <c r="A58" t="s">
        <v>728</v>
      </c>
      <c r="B58" t="s">
        <v>1926</v>
      </c>
      <c r="C58">
        <v>51.463163299999998</v>
      </c>
      <c r="D58">
        <v>-7.9359999999999999E-4</v>
      </c>
      <c r="F58">
        <v>1</v>
      </c>
      <c r="G58" t="str">
        <f>IFERROR(VLOOKUP(B58, Churches!H:H, 1, FALSE), "")</f>
        <v/>
      </c>
    </row>
    <row r="59" spans="1:7" x14ac:dyDescent="0.25">
      <c r="A59" t="s">
        <v>729</v>
      </c>
      <c r="B59" t="s">
        <v>1927</v>
      </c>
      <c r="C59">
        <v>51.459076600000003</v>
      </c>
      <c r="D59">
        <v>3.7253E-3</v>
      </c>
      <c r="F59">
        <v>1</v>
      </c>
      <c r="G59" t="str">
        <f>IFERROR(VLOOKUP(B59, Churches!H:H, 1, FALSE), "")</f>
        <v/>
      </c>
    </row>
    <row r="60" spans="1:7" x14ac:dyDescent="0.25">
      <c r="A60" t="s">
        <v>730</v>
      </c>
      <c r="B60" t="s">
        <v>1928</v>
      </c>
      <c r="C60">
        <v>51.670865599999999</v>
      </c>
      <c r="D60">
        <v>-6.3318700000000006E-2</v>
      </c>
      <c r="E60" t="s">
        <v>673</v>
      </c>
      <c r="F60">
        <v>1</v>
      </c>
      <c r="G60" t="str">
        <f>IFERROR(VLOOKUP(B60, Churches!H:H, 1, FALSE), "")</f>
        <v/>
      </c>
    </row>
    <row r="61" spans="1:7" x14ac:dyDescent="0.25">
      <c r="A61" t="s">
        <v>731</v>
      </c>
      <c r="B61" t="s">
        <v>1929</v>
      </c>
      <c r="C61">
        <v>51.428261900000003</v>
      </c>
      <c r="D61">
        <v>-0.38772630000000002</v>
      </c>
      <c r="F61">
        <v>1</v>
      </c>
      <c r="G61" t="str">
        <f>IFERROR(VLOOKUP(B61, Churches!H:H, 1, FALSE), "")</f>
        <v/>
      </c>
    </row>
    <row r="62" spans="1:7" x14ac:dyDescent="0.25">
      <c r="A62" t="s">
        <v>732</v>
      </c>
      <c r="B62" t="s">
        <v>1930</v>
      </c>
      <c r="C62">
        <v>51.492508999999998</v>
      </c>
      <c r="D62">
        <v>-0.43408029999999997</v>
      </c>
      <c r="F62">
        <v>1</v>
      </c>
      <c r="G62" t="str">
        <f>IFERROR(VLOOKUP(B62, Churches!H:H, 1, FALSE), "")</f>
        <v/>
      </c>
    </row>
    <row r="63" spans="1:7" x14ac:dyDescent="0.25">
      <c r="A63" t="s">
        <v>733</v>
      </c>
      <c r="B63" t="s">
        <v>1931</v>
      </c>
      <c r="C63">
        <v>51.350734000000003</v>
      </c>
      <c r="D63">
        <v>-0.1517095</v>
      </c>
      <c r="E63" t="s">
        <v>673</v>
      </c>
      <c r="F63">
        <v>1</v>
      </c>
      <c r="G63" t="str">
        <f>IFERROR(VLOOKUP(B63, Churches!H:H, 1, FALSE), "")</f>
        <v/>
      </c>
    </row>
    <row r="64" spans="1:7" x14ac:dyDescent="0.25">
      <c r="A64" t="s">
        <v>734</v>
      </c>
      <c r="B64" t="s">
        <v>1932</v>
      </c>
      <c r="C64">
        <v>51.647618000000001</v>
      </c>
      <c r="D64">
        <v>-0.17577390000000001</v>
      </c>
      <c r="E64" t="s">
        <v>673</v>
      </c>
      <c r="F64">
        <v>1</v>
      </c>
      <c r="G64" t="str">
        <f>IFERROR(VLOOKUP(B64, Churches!H:H, 1, FALSE), "")</f>
        <v/>
      </c>
    </row>
    <row r="65" spans="1:7" x14ac:dyDescent="0.25">
      <c r="A65" t="s">
        <v>735</v>
      </c>
      <c r="B65" t="s">
        <v>1933</v>
      </c>
      <c r="C65">
        <v>51.382440099999997</v>
      </c>
      <c r="D65">
        <v>-0.2161682</v>
      </c>
      <c r="E65" t="s">
        <v>673</v>
      </c>
      <c r="F65">
        <v>1</v>
      </c>
      <c r="G65" t="str">
        <f>IFERROR(VLOOKUP(B65, Churches!H:H, 1, FALSE), "")</f>
        <v/>
      </c>
    </row>
    <row r="66" spans="1:7" x14ac:dyDescent="0.25">
      <c r="A66" t="s">
        <v>736</v>
      </c>
      <c r="B66" t="s">
        <v>1934</v>
      </c>
      <c r="C66">
        <v>51.555737999999998</v>
      </c>
      <c r="D66">
        <v>-4.14886E-2</v>
      </c>
      <c r="E66" t="s">
        <v>673</v>
      </c>
      <c r="F66">
        <v>1</v>
      </c>
      <c r="G66" t="str">
        <f>IFERROR(VLOOKUP(B66, Churches!H:H, 1, FALSE), "")</f>
        <v/>
      </c>
    </row>
    <row r="67" spans="1:7" x14ac:dyDescent="0.25">
      <c r="A67" t="s">
        <v>737</v>
      </c>
      <c r="B67" t="s">
        <v>1935</v>
      </c>
      <c r="C67">
        <v>51.518046599999998</v>
      </c>
      <c r="D67">
        <v>-0.1939043</v>
      </c>
      <c r="E67" t="s">
        <v>673</v>
      </c>
      <c r="F67">
        <v>1</v>
      </c>
      <c r="G67" t="str">
        <f>IFERROR(VLOOKUP(B67, Churches!H:H, 1, FALSE), "")</f>
        <v/>
      </c>
    </row>
    <row r="68" spans="1:7" x14ac:dyDescent="0.25">
      <c r="A68" t="s">
        <v>738</v>
      </c>
      <c r="B68" t="s">
        <v>1936</v>
      </c>
      <c r="C68">
        <v>51.559727299999999</v>
      </c>
      <c r="D68">
        <v>-0.39407769999999998</v>
      </c>
      <c r="E68" t="s">
        <v>673</v>
      </c>
      <c r="F68">
        <v>1</v>
      </c>
      <c r="G68" t="str">
        <f>IFERROR(VLOOKUP(B68, Churches!H:H, 1, FALSE), "")</f>
        <v/>
      </c>
    </row>
    <row r="69" spans="1:7" x14ac:dyDescent="0.25">
      <c r="A69" t="s">
        <v>739</v>
      </c>
      <c r="B69" t="s">
        <v>1937</v>
      </c>
      <c r="C69">
        <v>51.566209800000003</v>
      </c>
      <c r="D69">
        <v>-0.41041549999999999</v>
      </c>
      <c r="E69" t="s">
        <v>673</v>
      </c>
      <c r="F69">
        <v>1</v>
      </c>
      <c r="G69" t="str">
        <f>IFERROR(VLOOKUP(B69, Churches!H:H, 1, FALSE), "")</f>
        <v/>
      </c>
    </row>
    <row r="70" spans="1:7" x14ac:dyDescent="0.25">
      <c r="A70" t="s">
        <v>740</v>
      </c>
      <c r="B70" t="s">
        <v>1938</v>
      </c>
      <c r="C70">
        <v>51.497070299999997</v>
      </c>
      <c r="D70">
        <v>-0.2344146</v>
      </c>
      <c r="F70">
        <v>1</v>
      </c>
      <c r="G70" t="str">
        <f>IFERROR(VLOOKUP(B70, Churches!H:H, 1, FALSE), "")</f>
        <v/>
      </c>
    </row>
    <row r="71" spans="1:7" x14ac:dyDescent="0.25">
      <c r="A71" t="s">
        <v>704</v>
      </c>
      <c r="B71" t="s">
        <v>1939</v>
      </c>
      <c r="C71">
        <v>51.484915899999997</v>
      </c>
      <c r="D71">
        <v>-0.30593429999999999</v>
      </c>
      <c r="E71" t="s">
        <v>673</v>
      </c>
      <c r="F71">
        <v>1</v>
      </c>
      <c r="G71" t="str">
        <f>IFERROR(VLOOKUP(B71, Churches!H:H, 1, FALSE), "")</f>
        <v/>
      </c>
    </row>
    <row r="72" spans="1:7" x14ac:dyDescent="0.25">
      <c r="A72" t="s">
        <v>741</v>
      </c>
      <c r="B72" t="s">
        <v>1940</v>
      </c>
      <c r="C72">
        <v>51.470969699999998</v>
      </c>
      <c r="D72">
        <v>-0.12050139999999999</v>
      </c>
      <c r="F72">
        <v>1</v>
      </c>
      <c r="G72" t="str">
        <f>IFERROR(VLOOKUP(B72, Churches!H:H, 1, FALSE), "")</f>
        <v/>
      </c>
    </row>
    <row r="73" spans="1:7" x14ac:dyDescent="0.25">
      <c r="A73" t="s">
        <v>742</v>
      </c>
      <c r="B73" t="s">
        <v>1941</v>
      </c>
      <c r="C73">
        <v>51.528032600000003</v>
      </c>
      <c r="D73">
        <v>-5.1254500000000001E-2</v>
      </c>
      <c r="F73">
        <v>1</v>
      </c>
      <c r="G73" t="str">
        <f>IFERROR(VLOOKUP(B73, Churches!H:H, 1, FALSE), "")</f>
        <v/>
      </c>
    </row>
    <row r="74" spans="1:7" x14ac:dyDescent="0.25">
      <c r="A74" t="s">
        <v>743</v>
      </c>
      <c r="B74" t="s">
        <v>1942</v>
      </c>
      <c r="C74">
        <v>51.5698109</v>
      </c>
      <c r="D74">
        <v>-0.35939949999999998</v>
      </c>
      <c r="F74">
        <v>1</v>
      </c>
      <c r="G74" t="str">
        <f>IFERROR(VLOOKUP(B74, Churches!H:H, 1, FALSE), "")</f>
        <v/>
      </c>
    </row>
    <row r="75" spans="1:7" x14ac:dyDescent="0.25">
      <c r="A75" t="s">
        <v>744</v>
      </c>
      <c r="B75" t="s">
        <v>1943</v>
      </c>
      <c r="C75">
        <v>51.563242000000002</v>
      </c>
      <c r="D75">
        <v>3.2461700000000003E-2</v>
      </c>
      <c r="E75" t="s">
        <v>673</v>
      </c>
      <c r="F75">
        <v>1</v>
      </c>
      <c r="G75" t="str">
        <f>IFERROR(VLOOKUP(B75, Churches!H:H, 1, FALSE), "")</f>
        <v/>
      </c>
    </row>
    <row r="76" spans="1:7" x14ac:dyDescent="0.25">
      <c r="A76" t="s">
        <v>745</v>
      </c>
      <c r="B76" t="s">
        <v>1944</v>
      </c>
      <c r="C76">
        <v>51.446966500000002</v>
      </c>
      <c r="D76">
        <v>-0.45829310000000001</v>
      </c>
      <c r="F76">
        <v>1</v>
      </c>
      <c r="G76" t="str">
        <f>IFERROR(VLOOKUP(B76, Churches!H:H, 1, FALSE), "")</f>
        <v/>
      </c>
    </row>
    <row r="77" spans="1:7" x14ac:dyDescent="0.25">
      <c r="A77" t="s">
        <v>746</v>
      </c>
      <c r="B77" t="s">
        <v>1945</v>
      </c>
      <c r="C77">
        <v>51.374681699999996</v>
      </c>
      <c r="D77">
        <v>-0.2160783</v>
      </c>
      <c r="E77" t="s">
        <v>673</v>
      </c>
      <c r="F77">
        <v>1</v>
      </c>
      <c r="G77" t="str">
        <f>IFERROR(VLOOKUP(B77, Churches!H:H, 1, FALSE), "")</f>
        <v/>
      </c>
    </row>
    <row r="78" spans="1:7" x14ac:dyDescent="0.25">
      <c r="A78" t="s">
        <v>747</v>
      </c>
      <c r="B78" t="s">
        <v>1946</v>
      </c>
      <c r="C78">
        <v>51.366830100000001</v>
      </c>
      <c r="D78">
        <v>-0.1986038</v>
      </c>
      <c r="F78">
        <v>1</v>
      </c>
      <c r="G78" t="str">
        <f>IFERROR(VLOOKUP(B78, Churches!H:H, 1, FALSE), "")</f>
        <v/>
      </c>
    </row>
    <row r="79" spans="1:7" x14ac:dyDescent="0.25">
      <c r="A79" t="s">
        <v>748</v>
      </c>
      <c r="B79" t="s">
        <v>1947</v>
      </c>
      <c r="C79">
        <v>51.375447800000003</v>
      </c>
      <c r="D79">
        <v>-0.2355882</v>
      </c>
      <c r="F79">
        <v>1</v>
      </c>
      <c r="G79" t="str">
        <f>IFERROR(VLOOKUP(B79, Churches!H:H, 1, FALSE), "")</f>
        <v/>
      </c>
    </row>
    <row r="80" spans="1:7" x14ac:dyDescent="0.25">
      <c r="A80" t="s">
        <v>749</v>
      </c>
      <c r="B80" t="s">
        <v>1947</v>
      </c>
      <c r="C80">
        <v>51.376232000000002</v>
      </c>
      <c r="D80">
        <v>-0.2359782</v>
      </c>
      <c r="F80">
        <v>1</v>
      </c>
      <c r="G80" t="str">
        <f>IFERROR(VLOOKUP(B80, Churches!H:H, 1, FALSE), "")</f>
        <v/>
      </c>
    </row>
    <row r="81" spans="1:7" x14ac:dyDescent="0.25">
      <c r="A81" t="s">
        <v>750</v>
      </c>
      <c r="B81" t="s">
        <v>1948</v>
      </c>
      <c r="C81">
        <v>51.472167900000002</v>
      </c>
      <c r="D81">
        <v>-0.13207189999999999</v>
      </c>
      <c r="E81" t="s">
        <v>673</v>
      </c>
      <c r="F81">
        <v>1</v>
      </c>
      <c r="G81" t="str">
        <f>IFERROR(VLOOKUP(B81, Churches!H:H, 1, FALSE), "")</f>
        <v/>
      </c>
    </row>
    <row r="82" spans="1:7" x14ac:dyDescent="0.25">
      <c r="A82" t="s">
        <v>751</v>
      </c>
      <c r="B82" t="s">
        <v>1949</v>
      </c>
      <c r="C82">
        <v>51.467354800000003</v>
      </c>
      <c r="D82">
        <v>-0.128909</v>
      </c>
      <c r="E82" t="s">
        <v>673</v>
      </c>
      <c r="F82">
        <v>1</v>
      </c>
      <c r="G82" t="str">
        <f>IFERROR(VLOOKUP(B82, Churches!H:H, 1, FALSE), "")</f>
        <v/>
      </c>
    </row>
    <row r="83" spans="1:7" x14ac:dyDescent="0.25">
      <c r="A83" t="s">
        <v>752</v>
      </c>
      <c r="B83" t="s">
        <v>1950</v>
      </c>
      <c r="C83">
        <v>51.467764099999997</v>
      </c>
      <c r="D83">
        <v>-0.1212194</v>
      </c>
      <c r="E83" t="s">
        <v>673</v>
      </c>
      <c r="F83">
        <v>1</v>
      </c>
      <c r="G83" t="str">
        <f>IFERROR(VLOOKUP(B83, Churches!H:H, 1, FALSE), "")</f>
        <v/>
      </c>
    </row>
    <row r="84" spans="1:7" x14ac:dyDescent="0.25">
      <c r="A84" t="s">
        <v>753</v>
      </c>
      <c r="B84" t="s">
        <v>1951</v>
      </c>
      <c r="C84">
        <v>51.529854700000001</v>
      </c>
      <c r="D84">
        <v>5.7285999999999997E-2</v>
      </c>
      <c r="F84">
        <v>1</v>
      </c>
      <c r="G84" t="str">
        <f>IFERROR(VLOOKUP(B84, Churches!H:H, 1, FALSE), "")</f>
        <v/>
      </c>
    </row>
    <row r="85" spans="1:7" x14ac:dyDescent="0.25">
      <c r="A85" t="s">
        <v>754</v>
      </c>
      <c r="B85" t="s">
        <v>1952</v>
      </c>
      <c r="C85">
        <v>51.537345799999997</v>
      </c>
      <c r="D85">
        <v>2.4188999999999999E-2</v>
      </c>
      <c r="F85">
        <v>1</v>
      </c>
      <c r="G85" t="str">
        <f>IFERROR(VLOOKUP(B85, Churches!H:H, 1, FALSE), "")</f>
        <v/>
      </c>
    </row>
    <row r="86" spans="1:7" x14ac:dyDescent="0.25">
      <c r="A86" t="s">
        <v>755</v>
      </c>
      <c r="B86" t="s">
        <v>1953</v>
      </c>
      <c r="C86">
        <v>51.509032400000002</v>
      </c>
      <c r="D86">
        <v>-0.32640970000000002</v>
      </c>
      <c r="E86" t="s">
        <v>673</v>
      </c>
      <c r="F86">
        <v>1</v>
      </c>
      <c r="G86" t="str">
        <f>IFERROR(VLOOKUP(B86, Churches!H:H, 1, FALSE), "")</f>
        <v/>
      </c>
    </row>
    <row r="87" spans="1:7" x14ac:dyDescent="0.25">
      <c r="A87" t="s">
        <v>756</v>
      </c>
      <c r="B87" t="s">
        <v>1954</v>
      </c>
      <c r="C87">
        <v>51.3550209</v>
      </c>
      <c r="D87">
        <v>-0.18850230000000001</v>
      </c>
      <c r="E87" t="s">
        <v>673</v>
      </c>
      <c r="F87">
        <v>1</v>
      </c>
      <c r="G87" t="str">
        <f>IFERROR(VLOOKUP(B87, Churches!H:H, 1, FALSE), "")</f>
        <v/>
      </c>
    </row>
    <row r="88" spans="1:7" x14ac:dyDescent="0.25">
      <c r="A88" t="s">
        <v>757</v>
      </c>
      <c r="B88" t="s">
        <v>1955</v>
      </c>
      <c r="C88">
        <v>51.494007099999997</v>
      </c>
      <c r="D88">
        <v>-6.0735200000000003E-2</v>
      </c>
      <c r="F88">
        <v>1</v>
      </c>
      <c r="G88" t="str">
        <f>IFERROR(VLOOKUP(B88, Churches!H:H, 1, FALSE), "")</f>
        <v/>
      </c>
    </row>
    <row r="89" spans="1:7" x14ac:dyDescent="0.25">
      <c r="A89" t="s">
        <v>758</v>
      </c>
      <c r="B89" t="s">
        <v>1956</v>
      </c>
      <c r="C89">
        <v>51.591517600000003</v>
      </c>
      <c r="D89">
        <v>-0.22764709999999999</v>
      </c>
      <c r="E89" t="s">
        <v>673</v>
      </c>
      <c r="F89">
        <v>1</v>
      </c>
      <c r="G89" t="str">
        <f>IFERROR(VLOOKUP(B89, Churches!H:H, 1, FALSE), "")</f>
        <v/>
      </c>
    </row>
    <row r="90" spans="1:7" x14ac:dyDescent="0.25">
      <c r="A90" t="s">
        <v>759</v>
      </c>
      <c r="B90" t="s">
        <v>1957</v>
      </c>
      <c r="C90">
        <v>51.445048300000003</v>
      </c>
      <c r="D90">
        <v>-0.1092796</v>
      </c>
      <c r="E90" t="s">
        <v>673</v>
      </c>
      <c r="F90">
        <v>1</v>
      </c>
      <c r="G90" t="str">
        <f>IFERROR(VLOOKUP(B90, Churches!H:H, 1, FALSE), "")</f>
        <v/>
      </c>
    </row>
    <row r="91" spans="1:7" x14ac:dyDescent="0.25">
      <c r="A91" t="s">
        <v>760</v>
      </c>
      <c r="B91" t="s">
        <v>1958</v>
      </c>
      <c r="C91">
        <v>51.554251899999997</v>
      </c>
      <c r="D91">
        <v>-0.1383259</v>
      </c>
      <c r="E91" t="s">
        <v>673</v>
      </c>
      <c r="F91">
        <v>1</v>
      </c>
      <c r="G91" t="str">
        <f>IFERROR(VLOOKUP(B91, Churches!H:H, 1, FALSE), "")</f>
        <v/>
      </c>
    </row>
    <row r="92" spans="1:7" x14ac:dyDescent="0.25">
      <c r="A92" t="s">
        <v>761</v>
      </c>
      <c r="B92" t="s">
        <v>1959</v>
      </c>
      <c r="C92">
        <v>51.447777000000002</v>
      </c>
      <c r="D92">
        <v>-0.1489771</v>
      </c>
      <c r="F92">
        <v>1</v>
      </c>
      <c r="G92" t="str">
        <f>IFERROR(VLOOKUP(B92, Churches!H:H, 1, FALSE), "")</f>
        <v/>
      </c>
    </row>
    <row r="93" spans="1:7" x14ac:dyDescent="0.25">
      <c r="A93" t="s">
        <v>762</v>
      </c>
      <c r="B93" t="s">
        <v>1960</v>
      </c>
      <c r="C93">
        <v>51.465549799999998</v>
      </c>
      <c r="D93">
        <v>-5.4763100000000002E-2</v>
      </c>
      <c r="F93">
        <v>1</v>
      </c>
      <c r="G93" t="str">
        <f>IFERROR(VLOOKUP(B93, Churches!H:H, 1, FALSE), "")</f>
        <v/>
      </c>
    </row>
    <row r="94" spans="1:7" x14ac:dyDescent="0.25">
      <c r="A94" t="s">
        <v>763</v>
      </c>
      <c r="B94" t="s">
        <v>1961</v>
      </c>
      <c r="C94">
        <v>51.446717900000003</v>
      </c>
      <c r="D94">
        <v>-0.14787839999999999</v>
      </c>
      <c r="F94">
        <v>1</v>
      </c>
      <c r="G94" t="str">
        <f>IFERROR(VLOOKUP(B94, Churches!H:H, 1, FALSE), "")</f>
        <v/>
      </c>
    </row>
    <row r="95" spans="1:7" x14ac:dyDescent="0.25">
      <c r="A95" t="s">
        <v>764</v>
      </c>
      <c r="B95" t="s">
        <v>1962</v>
      </c>
      <c r="C95">
        <v>51.446533799999997</v>
      </c>
      <c r="D95">
        <v>-0.14916579999999999</v>
      </c>
      <c r="F95">
        <v>1</v>
      </c>
      <c r="G95" t="str">
        <f>IFERROR(VLOOKUP(B95, Churches!H:H, 1, FALSE), "")</f>
        <v/>
      </c>
    </row>
    <row r="96" spans="1:7" x14ac:dyDescent="0.25">
      <c r="A96" t="s">
        <v>765</v>
      </c>
      <c r="B96" t="s">
        <v>1963</v>
      </c>
      <c r="C96">
        <v>51.444410099999999</v>
      </c>
      <c r="D96">
        <v>-0.14525189999999999</v>
      </c>
      <c r="F96">
        <v>1</v>
      </c>
      <c r="G96" t="str">
        <f>IFERROR(VLOOKUP(B96, Churches!H:H, 1, FALSE), "")</f>
        <v/>
      </c>
    </row>
    <row r="97" spans="1:7" x14ac:dyDescent="0.25">
      <c r="A97" t="s">
        <v>766</v>
      </c>
      <c r="B97" t="s">
        <v>1964</v>
      </c>
      <c r="C97">
        <v>51.588065700000001</v>
      </c>
      <c r="D97">
        <v>-0.3495066</v>
      </c>
      <c r="E97" t="s">
        <v>673</v>
      </c>
      <c r="F97">
        <v>1</v>
      </c>
      <c r="G97" t="str">
        <f>IFERROR(VLOOKUP(B97, Churches!H:H, 1, FALSE), "")</f>
        <v/>
      </c>
    </row>
    <row r="98" spans="1:7" x14ac:dyDescent="0.25">
      <c r="A98" t="s">
        <v>767</v>
      </c>
      <c r="B98" t="s">
        <v>1965</v>
      </c>
      <c r="C98">
        <v>51.510399399999997</v>
      </c>
      <c r="D98">
        <v>-0.2831033</v>
      </c>
      <c r="F98">
        <v>1</v>
      </c>
      <c r="G98" t="str">
        <f>IFERROR(VLOOKUP(B98, Churches!H:H, 1, FALSE), "")</f>
        <v/>
      </c>
    </row>
    <row r="99" spans="1:7" x14ac:dyDescent="0.25">
      <c r="A99" t="s">
        <v>768</v>
      </c>
      <c r="B99" t="s">
        <v>1966</v>
      </c>
      <c r="C99">
        <v>51.506674099999998</v>
      </c>
      <c r="D99">
        <v>-0.27014640000000001</v>
      </c>
      <c r="F99">
        <v>1</v>
      </c>
      <c r="G99" t="str">
        <f>IFERROR(VLOOKUP(B99, Churches!H:H, 1, FALSE), "")</f>
        <v/>
      </c>
    </row>
    <row r="100" spans="1:7" x14ac:dyDescent="0.25">
      <c r="A100" t="s">
        <v>769</v>
      </c>
      <c r="B100" t="s">
        <v>1967</v>
      </c>
      <c r="C100">
        <v>51.438454700000001</v>
      </c>
      <c r="D100">
        <v>-0.11963020000000001</v>
      </c>
      <c r="E100" t="s">
        <v>673</v>
      </c>
      <c r="F100">
        <v>1</v>
      </c>
      <c r="G100" t="str">
        <f>IFERROR(VLOOKUP(B100, Churches!H:H, 1, FALSE), "")</f>
        <v/>
      </c>
    </row>
    <row r="101" spans="1:7" x14ac:dyDescent="0.25">
      <c r="A101" t="s">
        <v>770</v>
      </c>
      <c r="B101" t="s">
        <v>1968</v>
      </c>
      <c r="C101">
        <v>51.457734100000003</v>
      </c>
      <c r="D101">
        <v>-4.6688199999999999E-2</v>
      </c>
      <c r="E101" t="s">
        <v>673</v>
      </c>
      <c r="F101">
        <v>1</v>
      </c>
      <c r="G101" t="str">
        <f>IFERROR(VLOOKUP(B101, Churches!H:H, 1, FALSE), "")</f>
        <v/>
      </c>
    </row>
    <row r="102" spans="1:7" x14ac:dyDescent="0.25">
      <c r="A102" t="s">
        <v>771</v>
      </c>
      <c r="B102" t="s">
        <v>1969</v>
      </c>
      <c r="C102">
        <v>51.4425545</v>
      </c>
      <c r="D102">
        <v>-0.15431839999999999</v>
      </c>
      <c r="E102" t="s">
        <v>673</v>
      </c>
      <c r="F102">
        <v>1</v>
      </c>
      <c r="G102" t="str">
        <f>IFERROR(VLOOKUP(B102, Churches!H:H, 1, FALSE), "")</f>
        <v/>
      </c>
    </row>
    <row r="103" spans="1:7" x14ac:dyDescent="0.25">
      <c r="A103" t="s">
        <v>772</v>
      </c>
      <c r="B103" t="s">
        <v>1970</v>
      </c>
      <c r="C103">
        <v>51.380875400000001</v>
      </c>
      <c r="D103">
        <v>-0.1157681</v>
      </c>
      <c r="F103">
        <v>1</v>
      </c>
      <c r="G103" t="str">
        <f>IFERROR(VLOOKUP(B103, Churches!H:H, 1, FALSE), "")</f>
        <v/>
      </c>
    </row>
    <row r="104" spans="1:7" x14ac:dyDescent="0.25">
      <c r="A104" t="s">
        <v>773</v>
      </c>
      <c r="B104" t="s">
        <v>1971</v>
      </c>
      <c r="C104">
        <v>51.370333600000002</v>
      </c>
      <c r="D104">
        <v>-8.5829100000000005E-2</v>
      </c>
      <c r="F104">
        <v>1</v>
      </c>
      <c r="G104" t="str">
        <f>IFERROR(VLOOKUP(B104, Churches!H:H, 1, FALSE), "")</f>
        <v/>
      </c>
    </row>
    <row r="105" spans="1:7" x14ac:dyDescent="0.25">
      <c r="A105" t="s">
        <v>774</v>
      </c>
      <c r="B105" t="s">
        <v>1972</v>
      </c>
      <c r="C105">
        <v>51.435896200000002</v>
      </c>
      <c r="D105">
        <v>-0.31090889999999999</v>
      </c>
      <c r="F105">
        <v>1</v>
      </c>
      <c r="G105" t="str">
        <f>IFERROR(VLOOKUP(B105, Churches!H:H, 1, FALSE), "")</f>
        <v/>
      </c>
    </row>
    <row r="106" spans="1:7" x14ac:dyDescent="0.25">
      <c r="A106" t="s">
        <v>752</v>
      </c>
      <c r="B106" t="s">
        <v>1973</v>
      </c>
      <c r="C106">
        <v>51.431745100000001</v>
      </c>
      <c r="D106">
        <v>0.12684529999999999</v>
      </c>
      <c r="E106" t="s">
        <v>673</v>
      </c>
      <c r="F106">
        <v>1</v>
      </c>
      <c r="G106" t="str">
        <f>IFERROR(VLOOKUP(B106, Churches!H:H, 1, FALSE), "")</f>
        <v/>
      </c>
    </row>
    <row r="107" spans="1:7" x14ac:dyDescent="0.25">
      <c r="A107" t="s">
        <v>775</v>
      </c>
      <c r="B107" t="s">
        <v>1974</v>
      </c>
      <c r="C107">
        <v>51.478725500000003</v>
      </c>
      <c r="D107">
        <v>-9.4404600000000005E-2</v>
      </c>
      <c r="F107">
        <v>1</v>
      </c>
      <c r="G107" t="str">
        <f>IFERROR(VLOOKUP(B107, Churches!H:H, 1, FALSE), "")</f>
        <v/>
      </c>
    </row>
    <row r="108" spans="1:7" x14ac:dyDescent="0.25">
      <c r="A108" t="s">
        <v>755</v>
      </c>
      <c r="B108" t="s">
        <v>1975</v>
      </c>
      <c r="C108">
        <v>51.589134799999997</v>
      </c>
      <c r="D108">
        <v>-0.14503969999999999</v>
      </c>
      <c r="F108">
        <v>1</v>
      </c>
      <c r="G108" t="str">
        <f>IFERROR(VLOOKUP(B108, Churches!H:H, 1, FALSE), "")</f>
        <v/>
      </c>
    </row>
    <row r="109" spans="1:7" x14ac:dyDescent="0.25">
      <c r="A109" t="s">
        <v>776</v>
      </c>
      <c r="B109" t="s">
        <v>1976</v>
      </c>
      <c r="C109">
        <v>51.420819899999998</v>
      </c>
      <c r="D109">
        <v>-0.14602760000000001</v>
      </c>
      <c r="E109" t="s">
        <v>673</v>
      </c>
      <c r="F109">
        <v>1</v>
      </c>
      <c r="G109" t="str">
        <f>IFERROR(VLOOKUP(B109, Churches!H:H, 1, FALSE), "")</f>
        <v/>
      </c>
    </row>
    <row r="110" spans="1:7" x14ac:dyDescent="0.25">
      <c r="A110" t="s">
        <v>777</v>
      </c>
      <c r="B110" t="s">
        <v>1977</v>
      </c>
      <c r="C110">
        <v>51.527301999999999</v>
      </c>
      <c r="D110">
        <v>-0.13745189999999999</v>
      </c>
      <c r="F110">
        <v>1</v>
      </c>
      <c r="G110" t="str">
        <f>IFERROR(VLOOKUP(B110, Churches!H:H, 1, FALSE), "")</f>
        <v/>
      </c>
    </row>
    <row r="111" spans="1:7" x14ac:dyDescent="0.25">
      <c r="A111" t="s">
        <v>778</v>
      </c>
      <c r="B111" t="s">
        <v>1898</v>
      </c>
      <c r="C111">
        <v>51.435684100000003</v>
      </c>
      <c r="D111">
        <v>-0.15908839999999999</v>
      </c>
      <c r="F111">
        <v>1</v>
      </c>
      <c r="G111" t="str">
        <f>IFERROR(VLOOKUP(B111, Churches!H:H, 1, FALSE), "")</f>
        <v/>
      </c>
    </row>
    <row r="112" spans="1:7" x14ac:dyDescent="0.25">
      <c r="A112" t="s">
        <v>779</v>
      </c>
      <c r="B112" t="s">
        <v>1978</v>
      </c>
      <c r="C112">
        <v>51.465091299999997</v>
      </c>
      <c r="D112">
        <v>0.10695789999999999</v>
      </c>
      <c r="F112">
        <v>1</v>
      </c>
      <c r="G112" t="str">
        <f>IFERROR(VLOOKUP(B112, Churches!H:H, 1, FALSE), "")</f>
        <v/>
      </c>
    </row>
    <row r="113" spans="1:7" x14ac:dyDescent="0.25">
      <c r="A113" t="s">
        <v>780</v>
      </c>
      <c r="B113" t="s">
        <v>1979</v>
      </c>
      <c r="C113">
        <v>51.471966000000002</v>
      </c>
      <c r="D113">
        <v>0.11271399999999999</v>
      </c>
      <c r="E113" t="s">
        <v>673</v>
      </c>
      <c r="F113">
        <v>1</v>
      </c>
      <c r="G113" t="str">
        <f>IFERROR(VLOOKUP(B113, Churches!H:H, 1, FALSE), "")</f>
        <v/>
      </c>
    </row>
    <row r="114" spans="1:7" x14ac:dyDescent="0.25">
      <c r="A114" t="s">
        <v>781</v>
      </c>
      <c r="B114" t="s">
        <v>1980</v>
      </c>
      <c r="C114">
        <v>51.486174099999999</v>
      </c>
      <c r="D114">
        <v>8.1140199999999996E-2</v>
      </c>
      <c r="F114">
        <v>1</v>
      </c>
      <c r="G114" t="str">
        <f>IFERROR(VLOOKUP(B114, Churches!H:H, 1, FALSE), "")</f>
        <v/>
      </c>
    </row>
    <row r="115" spans="1:7" x14ac:dyDescent="0.25">
      <c r="A115" t="s">
        <v>782</v>
      </c>
      <c r="B115" t="s">
        <v>1981</v>
      </c>
      <c r="C115">
        <v>51.4689385</v>
      </c>
      <c r="D115">
        <v>0.1347834</v>
      </c>
      <c r="E115" t="s">
        <v>673</v>
      </c>
      <c r="F115">
        <v>1</v>
      </c>
      <c r="G115" t="str">
        <f>IFERROR(VLOOKUP(B115, Churches!H:H, 1, FALSE), "")</f>
        <v/>
      </c>
    </row>
    <row r="116" spans="1:7" x14ac:dyDescent="0.25">
      <c r="A116" t="s">
        <v>783</v>
      </c>
      <c r="B116" t="s">
        <v>1982</v>
      </c>
      <c r="C116">
        <v>51.460568799999997</v>
      </c>
      <c r="D116">
        <v>0.15900619999999999</v>
      </c>
      <c r="F116">
        <v>1</v>
      </c>
      <c r="G116" t="str">
        <f>IFERROR(VLOOKUP(B116, Churches!H:H, 1, FALSE), "")</f>
        <v/>
      </c>
    </row>
    <row r="117" spans="1:7" x14ac:dyDescent="0.25">
      <c r="A117" t="s">
        <v>784</v>
      </c>
      <c r="B117" t="s">
        <v>1983</v>
      </c>
      <c r="C117">
        <v>51.504242599999998</v>
      </c>
      <c r="D117">
        <v>-0.268953</v>
      </c>
      <c r="F117">
        <v>1</v>
      </c>
      <c r="G117" t="str">
        <f>IFERROR(VLOOKUP(B117, Churches!H:H, 1, FALSE), "")</f>
        <v/>
      </c>
    </row>
    <row r="118" spans="1:7" x14ac:dyDescent="0.25">
      <c r="A118" t="s">
        <v>785</v>
      </c>
      <c r="B118" t="s">
        <v>1984</v>
      </c>
      <c r="C118">
        <v>51.449429899999998</v>
      </c>
      <c r="D118">
        <v>-5.2012500000000003E-2</v>
      </c>
      <c r="F118">
        <v>1</v>
      </c>
      <c r="G118" t="str">
        <f>IFERROR(VLOOKUP(B118, Churches!H:H, 1, FALSE), "")</f>
        <v/>
      </c>
    </row>
    <row r="119" spans="1:7" x14ac:dyDescent="0.25">
      <c r="A119" t="s">
        <v>786</v>
      </c>
      <c r="B119" t="s">
        <v>1985</v>
      </c>
      <c r="C119">
        <v>51.541157499999997</v>
      </c>
      <c r="D119">
        <v>-0.25920179999999998</v>
      </c>
      <c r="E119" t="s">
        <v>673</v>
      </c>
      <c r="F119">
        <v>1</v>
      </c>
      <c r="G119" t="str">
        <f>IFERROR(VLOOKUP(B119, Churches!H:H, 1, FALSE), "")</f>
        <v/>
      </c>
    </row>
    <row r="120" spans="1:7" x14ac:dyDescent="0.25">
      <c r="A120" t="s">
        <v>787</v>
      </c>
      <c r="B120" t="s">
        <v>1986</v>
      </c>
      <c r="C120">
        <v>51.544544799999997</v>
      </c>
      <c r="D120">
        <v>-0.25531860000000001</v>
      </c>
      <c r="F120">
        <v>1</v>
      </c>
      <c r="G120" t="str">
        <f>IFERROR(VLOOKUP(B120, Churches!H:H, 1, FALSE), "")</f>
        <v/>
      </c>
    </row>
    <row r="121" spans="1:7" x14ac:dyDescent="0.25">
      <c r="A121" t="s">
        <v>788</v>
      </c>
      <c r="B121" t="s">
        <v>1987</v>
      </c>
      <c r="C121">
        <v>51.666892500000003</v>
      </c>
      <c r="D121">
        <v>-0.17086899999999999</v>
      </c>
      <c r="E121" t="s">
        <v>673</v>
      </c>
      <c r="F121">
        <v>1</v>
      </c>
      <c r="G121" t="str">
        <f>IFERROR(VLOOKUP(B121, Churches!H:H, 1, FALSE), "")</f>
        <v/>
      </c>
    </row>
    <row r="122" spans="1:7" x14ac:dyDescent="0.25">
      <c r="A122" t="s">
        <v>789</v>
      </c>
      <c r="B122" t="s">
        <v>1988</v>
      </c>
      <c r="C122">
        <v>51.553469200000002</v>
      </c>
      <c r="D122">
        <v>-0.2622023</v>
      </c>
      <c r="F122">
        <v>1</v>
      </c>
      <c r="G122" t="str">
        <f>IFERROR(VLOOKUP(B122, Churches!H:H, 1, FALSE), "")</f>
        <v/>
      </c>
    </row>
    <row r="123" spans="1:7" x14ac:dyDescent="0.25">
      <c r="A123" t="s">
        <v>790</v>
      </c>
      <c r="B123" t="s">
        <v>1989</v>
      </c>
      <c r="C123">
        <v>51.432213099999998</v>
      </c>
      <c r="D123">
        <v>-7.8620899999999994E-2</v>
      </c>
      <c r="E123" t="s">
        <v>673</v>
      </c>
      <c r="F123">
        <v>1</v>
      </c>
      <c r="G123" t="str">
        <f>IFERROR(VLOOKUP(B123, Churches!H:H, 1, FALSE), "")</f>
        <v/>
      </c>
    </row>
    <row r="124" spans="1:7" x14ac:dyDescent="0.25">
      <c r="A124" t="s">
        <v>791</v>
      </c>
      <c r="B124" t="s">
        <v>1990</v>
      </c>
      <c r="C124">
        <v>51.4678386</v>
      </c>
      <c r="D124">
        <v>-4.7450100000000002E-2</v>
      </c>
      <c r="F124">
        <v>1</v>
      </c>
      <c r="G124" t="str">
        <f>IFERROR(VLOOKUP(B124, Churches!H:H, 1, FALSE), "")</f>
        <v/>
      </c>
    </row>
    <row r="125" spans="1:7" x14ac:dyDescent="0.25">
      <c r="A125" t="s">
        <v>792</v>
      </c>
      <c r="B125" t="s">
        <v>1991</v>
      </c>
      <c r="C125">
        <v>51.544187600000001</v>
      </c>
      <c r="D125">
        <v>3.1995099999999999E-2</v>
      </c>
      <c r="F125">
        <v>1</v>
      </c>
      <c r="G125" t="str">
        <f>IFERROR(VLOOKUP(B125, Churches!H:H, 1, FALSE), "")</f>
        <v/>
      </c>
    </row>
    <row r="126" spans="1:7" x14ac:dyDescent="0.25">
      <c r="A126" t="s">
        <v>793</v>
      </c>
      <c r="B126" t="s">
        <v>1992</v>
      </c>
      <c r="C126">
        <v>51.399795699999999</v>
      </c>
      <c r="D126">
        <v>-4.3915999999999997E-2</v>
      </c>
      <c r="F126">
        <v>1</v>
      </c>
      <c r="G126" t="str">
        <f>IFERROR(VLOOKUP(B126, Churches!H:H, 1, FALSE), "")</f>
        <v/>
      </c>
    </row>
    <row r="127" spans="1:7" x14ac:dyDescent="0.25">
      <c r="A127" t="s">
        <v>794</v>
      </c>
      <c r="B127" t="s">
        <v>1993</v>
      </c>
      <c r="C127">
        <v>51.408110700000002</v>
      </c>
      <c r="D127">
        <v>-5.0594100000000003E-2</v>
      </c>
      <c r="F127">
        <v>1</v>
      </c>
      <c r="G127" t="str">
        <f>IFERROR(VLOOKUP(B127, Churches!H:H, 1, FALSE), "")</f>
        <v/>
      </c>
    </row>
    <row r="128" spans="1:7" x14ac:dyDescent="0.25">
      <c r="A128" t="s">
        <v>795</v>
      </c>
      <c r="B128" t="s">
        <v>1994</v>
      </c>
      <c r="C128">
        <v>51.407842500000001</v>
      </c>
      <c r="D128">
        <v>-5.1979299999999999E-2</v>
      </c>
      <c r="F128">
        <v>1</v>
      </c>
      <c r="G128" t="str">
        <f>IFERROR(VLOOKUP(B128, Churches!H:H, 1, FALSE), "")</f>
        <v/>
      </c>
    </row>
    <row r="129" spans="1:7" x14ac:dyDescent="0.25">
      <c r="A129" t="s">
        <v>796</v>
      </c>
      <c r="B129" t="s">
        <v>1995</v>
      </c>
      <c r="C129">
        <v>51.432836799999997</v>
      </c>
      <c r="D129">
        <v>-0.30317870000000002</v>
      </c>
      <c r="E129" t="s">
        <v>673</v>
      </c>
      <c r="F129">
        <v>1</v>
      </c>
      <c r="G129" t="str">
        <f>IFERROR(VLOOKUP(B129, Churches!H:H, 1, FALSE), "")</f>
        <v/>
      </c>
    </row>
    <row r="130" spans="1:7" x14ac:dyDescent="0.25">
      <c r="A130" t="s">
        <v>797</v>
      </c>
      <c r="B130" t="s">
        <v>1996</v>
      </c>
      <c r="C130">
        <v>51.566858699999997</v>
      </c>
      <c r="D130">
        <v>-1.33797E-2</v>
      </c>
      <c r="F130">
        <v>1</v>
      </c>
      <c r="G130" t="str">
        <f>IFERROR(VLOOKUP(B130, Churches!H:H, 1, FALSE), "")</f>
        <v/>
      </c>
    </row>
    <row r="131" spans="1:7" x14ac:dyDescent="0.25">
      <c r="A131" t="s">
        <v>798</v>
      </c>
      <c r="B131" t="s">
        <v>1996</v>
      </c>
      <c r="C131">
        <v>51.564560700000001</v>
      </c>
      <c r="D131">
        <v>-1.2851E-2</v>
      </c>
      <c r="F131">
        <v>1</v>
      </c>
      <c r="G131" t="str">
        <f>IFERROR(VLOOKUP(B131, Churches!H:H, 1, FALSE), "")</f>
        <v/>
      </c>
    </row>
    <row r="132" spans="1:7" x14ac:dyDescent="0.25">
      <c r="A132" t="s">
        <v>799</v>
      </c>
      <c r="B132" t="s">
        <v>1996</v>
      </c>
      <c r="C132">
        <v>51.5654471</v>
      </c>
      <c r="D132">
        <v>-1.4664099999999999E-2</v>
      </c>
      <c r="F132">
        <v>1</v>
      </c>
      <c r="G132" t="str">
        <f>IFERROR(VLOOKUP(B132, Churches!H:H, 1, FALSE), "")</f>
        <v/>
      </c>
    </row>
    <row r="133" spans="1:7" x14ac:dyDescent="0.25">
      <c r="A133" t="s">
        <v>800</v>
      </c>
      <c r="B133" t="s">
        <v>1996</v>
      </c>
      <c r="C133">
        <v>51.561133499999997</v>
      </c>
      <c r="D133">
        <v>-9.8294999999999997E-3</v>
      </c>
      <c r="F133">
        <v>1</v>
      </c>
      <c r="G133" t="str">
        <f>IFERROR(VLOOKUP(B133, Churches!H:H, 1, FALSE), "")</f>
        <v/>
      </c>
    </row>
    <row r="134" spans="1:7" x14ac:dyDescent="0.25">
      <c r="A134" t="s">
        <v>801</v>
      </c>
      <c r="B134" t="s">
        <v>1997</v>
      </c>
      <c r="C134">
        <v>51.552709499999999</v>
      </c>
      <c r="D134">
        <v>2.1686500000000001E-2</v>
      </c>
      <c r="F134">
        <v>1</v>
      </c>
      <c r="G134" t="str">
        <f>IFERROR(VLOOKUP(B134, Churches!H:H, 1, FALSE), "")</f>
        <v/>
      </c>
    </row>
    <row r="135" spans="1:7" x14ac:dyDescent="0.25">
      <c r="A135" t="s">
        <v>802</v>
      </c>
      <c r="B135" t="s">
        <v>1998</v>
      </c>
      <c r="C135">
        <v>51.558165799999998</v>
      </c>
      <c r="D135">
        <v>-0.1943426</v>
      </c>
      <c r="F135">
        <v>1</v>
      </c>
      <c r="G135" t="str">
        <f>IFERROR(VLOOKUP(B135, Churches!H:H, 1, FALSE), "")</f>
        <v/>
      </c>
    </row>
    <row r="136" spans="1:7" x14ac:dyDescent="0.25">
      <c r="A136" t="s">
        <v>803</v>
      </c>
      <c r="B136" t="s">
        <v>1999</v>
      </c>
      <c r="C136">
        <v>51.547863700000001</v>
      </c>
      <c r="D136">
        <v>5.6619200000000001E-2</v>
      </c>
      <c r="F136">
        <v>1</v>
      </c>
      <c r="G136" t="str">
        <f>IFERROR(VLOOKUP(B136, Churches!H:H, 1, FALSE), "")</f>
        <v/>
      </c>
    </row>
    <row r="137" spans="1:7" x14ac:dyDescent="0.25">
      <c r="A137" t="s">
        <v>678</v>
      </c>
      <c r="B137" t="s">
        <v>2000</v>
      </c>
      <c r="C137">
        <v>51.322530200000003</v>
      </c>
      <c r="D137">
        <v>-0.14066680000000001</v>
      </c>
      <c r="F137">
        <v>1</v>
      </c>
      <c r="G137" t="str">
        <f>IFERROR(VLOOKUP(B137, Churches!H:H, 1, FALSE), "")</f>
        <v/>
      </c>
    </row>
    <row r="138" spans="1:7" x14ac:dyDescent="0.25">
      <c r="A138" t="s">
        <v>804</v>
      </c>
      <c r="B138" t="s">
        <v>2001</v>
      </c>
      <c r="C138">
        <v>51.641738400000001</v>
      </c>
      <c r="D138">
        <v>-7.8426200000000001E-2</v>
      </c>
      <c r="E138" t="s">
        <v>673</v>
      </c>
      <c r="F138">
        <v>1</v>
      </c>
      <c r="G138" t="str">
        <f>IFERROR(VLOOKUP(B138, Churches!H:H, 1, FALSE), "")</f>
        <v/>
      </c>
    </row>
    <row r="139" spans="1:7" x14ac:dyDescent="0.25">
      <c r="A139" t="s">
        <v>805</v>
      </c>
      <c r="B139" t="s">
        <v>2002</v>
      </c>
      <c r="C139">
        <v>51.645167200000003</v>
      </c>
      <c r="D139">
        <v>-0.12663869999999999</v>
      </c>
      <c r="E139" t="s">
        <v>673</v>
      </c>
      <c r="F139">
        <v>1</v>
      </c>
      <c r="G139" t="str">
        <f>IFERROR(VLOOKUP(B139, Churches!H:H, 1, FALSE), "")</f>
        <v/>
      </c>
    </row>
    <row r="140" spans="1:7" x14ac:dyDescent="0.25">
      <c r="A140" t="s">
        <v>806</v>
      </c>
      <c r="B140" t="s">
        <v>2003</v>
      </c>
      <c r="C140">
        <v>51.5438525</v>
      </c>
      <c r="D140">
        <v>5.5946299999999997E-2</v>
      </c>
      <c r="F140">
        <v>1</v>
      </c>
      <c r="G140" t="str">
        <f>IFERROR(VLOOKUP(B140, Churches!H:H, 1, FALSE), "")</f>
        <v/>
      </c>
    </row>
    <row r="141" spans="1:7" x14ac:dyDescent="0.25">
      <c r="A141" t="s">
        <v>807</v>
      </c>
      <c r="B141" t="s">
        <v>2004</v>
      </c>
      <c r="C141">
        <v>51.550224900000003</v>
      </c>
      <c r="D141">
        <v>-0.1005795</v>
      </c>
      <c r="F141">
        <v>1</v>
      </c>
      <c r="G141" t="str">
        <f>IFERROR(VLOOKUP(B141, Churches!H:H, 1, FALSE), "")</f>
        <v/>
      </c>
    </row>
    <row r="142" spans="1:7" x14ac:dyDescent="0.25">
      <c r="A142" t="s">
        <v>808</v>
      </c>
      <c r="B142" t="s">
        <v>2005</v>
      </c>
      <c r="C142">
        <v>51.576760200000002</v>
      </c>
      <c r="D142">
        <v>-0.42622189999999999</v>
      </c>
      <c r="E142" t="s">
        <v>673</v>
      </c>
      <c r="F142">
        <v>1</v>
      </c>
      <c r="G142" t="str">
        <f>IFERROR(VLOOKUP(B142, Churches!H:H, 1, FALSE), "")</f>
        <v/>
      </c>
    </row>
    <row r="143" spans="1:7" x14ac:dyDescent="0.25">
      <c r="A143" t="s">
        <v>809</v>
      </c>
      <c r="B143" t="s">
        <v>2006</v>
      </c>
      <c r="C143">
        <v>51.539563299999998</v>
      </c>
      <c r="D143">
        <v>6.2949900000000003E-2</v>
      </c>
      <c r="F143">
        <v>1</v>
      </c>
      <c r="G143" t="str">
        <f>IFERROR(VLOOKUP(B143, Churches!H:H, 1, FALSE), "")</f>
        <v/>
      </c>
    </row>
    <row r="144" spans="1:7" x14ac:dyDescent="0.25">
      <c r="A144" t="s">
        <v>810</v>
      </c>
      <c r="B144" t="s">
        <v>2007</v>
      </c>
      <c r="C144">
        <v>51.490371699999997</v>
      </c>
      <c r="D144">
        <v>8.2588999999999996E-2</v>
      </c>
      <c r="F144">
        <v>1</v>
      </c>
      <c r="G144" t="str">
        <f>IFERROR(VLOOKUP(B144, Churches!H:H, 1, FALSE), "")</f>
        <v/>
      </c>
    </row>
    <row r="145" spans="1:7" x14ac:dyDescent="0.25">
      <c r="A145" t="s">
        <v>811</v>
      </c>
      <c r="B145" t="s">
        <v>2008</v>
      </c>
      <c r="C145">
        <v>51.617376899999996</v>
      </c>
      <c r="D145">
        <v>6.4409999999999999E-4</v>
      </c>
      <c r="E145" t="s">
        <v>673</v>
      </c>
      <c r="F145">
        <v>1</v>
      </c>
      <c r="G145" t="str">
        <f>IFERROR(VLOOKUP(B145, Churches!H:H, 1, FALSE), "")</f>
        <v/>
      </c>
    </row>
    <row r="146" spans="1:7" x14ac:dyDescent="0.25">
      <c r="A146" t="s">
        <v>812</v>
      </c>
      <c r="B146" t="s">
        <v>2009</v>
      </c>
      <c r="C146">
        <v>51.622518800000002</v>
      </c>
      <c r="D146">
        <v>-1.6976499999999999E-2</v>
      </c>
      <c r="E146" t="s">
        <v>673</v>
      </c>
      <c r="F146">
        <v>1</v>
      </c>
      <c r="G146" t="str">
        <f>IFERROR(VLOOKUP(B146, Churches!H:H, 1, FALSE), "")</f>
        <v/>
      </c>
    </row>
    <row r="147" spans="1:7" x14ac:dyDescent="0.25">
      <c r="A147" t="s">
        <v>813</v>
      </c>
      <c r="B147" t="s">
        <v>2010</v>
      </c>
      <c r="C147">
        <v>51.431629999999998</v>
      </c>
      <c r="D147">
        <v>0.1669609</v>
      </c>
      <c r="E147" t="s">
        <v>673</v>
      </c>
      <c r="F147">
        <v>1</v>
      </c>
      <c r="G147" t="str">
        <f>IFERROR(VLOOKUP(B147, Churches!H:H, 1, FALSE), "")</f>
        <v/>
      </c>
    </row>
    <row r="148" spans="1:7" x14ac:dyDescent="0.25">
      <c r="A148" t="s">
        <v>814</v>
      </c>
      <c r="B148" t="s">
        <v>2011</v>
      </c>
      <c r="C148">
        <v>51.523054899999998</v>
      </c>
      <c r="D148">
        <v>2.4057499999999999E-2</v>
      </c>
      <c r="F148">
        <v>1</v>
      </c>
      <c r="G148" t="str">
        <f>IFERROR(VLOOKUP(B148, Churches!H:H, 1, FALSE), "")</f>
        <v/>
      </c>
    </row>
    <row r="149" spans="1:7" x14ac:dyDescent="0.25">
      <c r="A149" t="s">
        <v>815</v>
      </c>
      <c r="B149" t="s">
        <v>2012</v>
      </c>
      <c r="C149">
        <v>51.549417699999999</v>
      </c>
      <c r="D149">
        <v>-0.1077444</v>
      </c>
      <c r="F149">
        <v>1</v>
      </c>
      <c r="G149" t="str">
        <f>IFERROR(VLOOKUP(B149, Churches!H:H, 1, FALSE), "")</f>
        <v/>
      </c>
    </row>
    <row r="150" spans="1:7" x14ac:dyDescent="0.25">
      <c r="A150" t="s">
        <v>459</v>
      </c>
      <c r="B150" t="s">
        <v>2013</v>
      </c>
      <c r="C150">
        <v>51.485137399999999</v>
      </c>
      <c r="D150">
        <v>-0.17871770000000001</v>
      </c>
      <c r="F150">
        <v>1</v>
      </c>
      <c r="G150" t="str">
        <f>IFERROR(VLOOKUP(B150, Churches!H:H, 1, FALSE), "")</f>
        <v/>
      </c>
    </row>
    <row r="151" spans="1:7" x14ac:dyDescent="0.25">
      <c r="A151" t="s">
        <v>816</v>
      </c>
      <c r="B151" t="s">
        <v>2014</v>
      </c>
      <c r="C151">
        <v>51.548214000000002</v>
      </c>
      <c r="D151">
        <v>-0.1018394</v>
      </c>
      <c r="F151">
        <v>1</v>
      </c>
      <c r="G151" t="str">
        <f>IFERROR(VLOOKUP(B151, Churches!H:H, 1, FALSE), "")</f>
        <v/>
      </c>
    </row>
    <row r="152" spans="1:7" x14ac:dyDescent="0.25">
      <c r="A152" t="s">
        <v>817</v>
      </c>
      <c r="B152" t="s">
        <v>2015</v>
      </c>
      <c r="C152">
        <v>51.4784656</v>
      </c>
      <c r="D152">
        <v>6.7507899999999996E-2</v>
      </c>
      <c r="E152" t="s">
        <v>673</v>
      </c>
      <c r="F152">
        <v>1</v>
      </c>
      <c r="G152" t="str">
        <f>IFERROR(VLOOKUP(B152, Churches!H:H, 1, FALSE), "")</f>
        <v/>
      </c>
    </row>
    <row r="153" spans="1:7" x14ac:dyDescent="0.25">
      <c r="A153" t="s">
        <v>818</v>
      </c>
      <c r="B153" t="s">
        <v>2016</v>
      </c>
      <c r="C153">
        <v>51.587357400000002</v>
      </c>
      <c r="D153">
        <v>-0.1156108</v>
      </c>
      <c r="F153">
        <v>1</v>
      </c>
      <c r="G153" t="str">
        <f>IFERROR(VLOOKUP(B153, Churches!H:H, 1, FALSE), "")</f>
        <v/>
      </c>
    </row>
    <row r="154" spans="1:7" x14ac:dyDescent="0.25">
      <c r="A154" t="s">
        <v>819</v>
      </c>
      <c r="B154" t="s">
        <v>2017</v>
      </c>
      <c r="C154">
        <v>51.587505999999998</v>
      </c>
      <c r="D154">
        <v>-0.131498</v>
      </c>
      <c r="F154">
        <v>1</v>
      </c>
      <c r="G154" t="str">
        <f>IFERROR(VLOOKUP(B154, Churches!H:H, 1, FALSE), "")</f>
        <v/>
      </c>
    </row>
    <row r="155" spans="1:7" x14ac:dyDescent="0.25">
      <c r="A155" t="s">
        <v>820</v>
      </c>
      <c r="B155" t="s">
        <v>2018</v>
      </c>
      <c r="C155">
        <v>51.367983099999996</v>
      </c>
      <c r="D155">
        <v>-0.2066819</v>
      </c>
      <c r="F155">
        <v>1</v>
      </c>
      <c r="G155" t="str">
        <f>IFERROR(VLOOKUP(B155, Churches!H:H, 1, FALSE), "")</f>
        <v/>
      </c>
    </row>
    <row r="156" spans="1:7" x14ac:dyDescent="0.25">
      <c r="A156" t="s">
        <v>821</v>
      </c>
      <c r="B156" t="s">
        <v>2019</v>
      </c>
      <c r="C156">
        <v>51.443630900000002</v>
      </c>
      <c r="D156">
        <v>-0.35115849999999998</v>
      </c>
      <c r="F156">
        <v>1</v>
      </c>
      <c r="G156" t="str">
        <f>IFERROR(VLOOKUP(B156, Churches!H:H, 1, FALSE), "")</f>
        <v/>
      </c>
    </row>
    <row r="157" spans="1:7" x14ac:dyDescent="0.25">
      <c r="A157" t="s">
        <v>822</v>
      </c>
      <c r="B157" t="s">
        <v>2020</v>
      </c>
      <c r="C157">
        <v>51.401195100000002</v>
      </c>
      <c r="D157">
        <v>-0.28845159999999997</v>
      </c>
      <c r="F157">
        <v>1</v>
      </c>
      <c r="G157" t="str">
        <f>IFERROR(VLOOKUP(B157, Churches!H:H, 1, FALSE), "")</f>
        <v/>
      </c>
    </row>
    <row r="158" spans="1:7" x14ac:dyDescent="0.25">
      <c r="A158" t="s">
        <v>823</v>
      </c>
      <c r="B158" t="s">
        <v>2021</v>
      </c>
      <c r="C158">
        <v>51.609774799999997</v>
      </c>
      <c r="D158">
        <v>-0.3708379</v>
      </c>
      <c r="E158" t="s">
        <v>673</v>
      </c>
      <c r="F158">
        <v>1</v>
      </c>
      <c r="G158" t="str">
        <f>IFERROR(VLOOKUP(B158, Churches!H:H, 1, FALSE), "")</f>
        <v/>
      </c>
    </row>
    <row r="159" spans="1:7" x14ac:dyDescent="0.25">
      <c r="A159" t="s">
        <v>724</v>
      </c>
      <c r="B159" t="s">
        <v>206</v>
      </c>
      <c r="C159">
        <v>51.565551499999998</v>
      </c>
      <c r="D159">
        <v>-0.1005926</v>
      </c>
      <c r="E159" t="s">
        <v>673</v>
      </c>
      <c r="F159">
        <v>1</v>
      </c>
    </row>
    <row r="160" spans="1:7" x14ac:dyDescent="0.25">
      <c r="A160" t="s">
        <v>824</v>
      </c>
      <c r="B160" t="s">
        <v>2022</v>
      </c>
      <c r="C160">
        <v>51.506657699999998</v>
      </c>
      <c r="D160">
        <v>-0.2399028</v>
      </c>
      <c r="E160" t="s">
        <v>673</v>
      </c>
      <c r="F160">
        <v>1</v>
      </c>
      <c r="G160" t="str">
        <f>IFERROR(VLOOKUP(B160, Churches!H:H, 1, FALSE), "")</f>
        <v/>
      </c>
    </row>
    <row r="161" spans="1:7" x14ac:dyDescent="0.25">
      <c r="A161" t="s">
        <v>825</v>
      </c>
      <c r="B161" t="s">
        <v>2023</v>
      </c>
      <c r="C161">
        <v>51.490502599999999</v>
      </c>
      <c r="D161">
        <v>0.16104109999999999</v>
      </c>
      <c r="F161">
        <v>1</v>
      </c>
      <c r="G161" t="str">
        <f>IFERROR(VLOOKUP(B161, Churches!H:H, 1, FALSE), "")</f>
        <v/>
      </c>
    </row>
    <row r="162" spans="1:7" x14ac:dyDescent="0.25">
      <c r="A162" t="s">
        <v>826</v>
      </c>
      <c r="B162" t="s">
        <v>2024</v>
      </c>
      <c r="C162">
        <v>51.415705000000003</v>
      </c>
      <c r="D162">
        <v>-0.29787219999999998</v>
      </c>
      <c r="F162">
        <v>1</v>
      </c>
      <c r="G162" t="str">
        <f>IFERROR(VLOOKUP(B162, Churches!H:H, 1, FALSE), "")</f>
        <v/>
      </c>
    </row>
    <row r="163" spans="1:7" x14ac:dyDescent="0.25">
      <c r="A163" t="s">
        <v>827</v>
      </c>
      <c r="B163" t="s">
        <v>2025</v>
      </c>
      <c r="C163">
        <v>51.4479878</v>
      </c>
      <c r="D163">
        <v>3.66019E-2</v>
      </c>
      <c r="E163" t="s">
        <v>673</v>
      </c>
      <c r="F163">
        <v>1</v>
      </c>
      <c r="G163" t="str">
        <f>IFERROR(VLOOKUP(B163, Churches!H:H, 1, FALSE), "")</f>
        <v/>
      </c>
    </row>
    <row r="164" spans="1:7" x14ac:dyDescent="0.25">
      <c r="A164" t="s">
        <v>828</v>
      </c>
      <c r="B164" t="s">
        <v>2026</v>
      </c>
      <c r="C164">
        <v>51.608170999999999</v>
      </c>
      <c r="D164">
        <v>-0.2893676</v>
      </c>
      <c r="E164" t="s">
        <v>673</v>
      </c>
      <c r="F164">
        <v>1</v>
      </c>
      <c r="G164" t="str">
        <f>IFERROR(VLOOKUP(B164, Churches!H:H, 1, FALSE), "")</f>
        <v/>
      </c>
    </row>
    <row r="165" spans="1:7" x14ac:dyDescent="0.25">
      <c r="A165" t="s">
        <v>829</v>
      </c>
      <c r="B165" t="s">
        <v>2027</v>
      </c>
      <c r="C165">
        <v>51.4240572</v>
      </c>
      <c r="D165">
        <v>0.1049456</v>
      </c>
      <c r="F165">
        <v>1</v>
      </c>
      <c r="G165" t="str">
        <f>IFERROR(VLOOKUP(B165, Churches!H:H, 1, FALSE), "")</f>
        <v/>
      </c>
    </row>
    <row r="166" spans="1:7" x14ac:dyDescent="0.25">
      <c r="A166" t="s">
        <v>830</v>
      </c>
      <c r="B166" t="s">
        <v>2028</v>
      </c>
      <c r="C166">
        <v>51.4913752</v>
      </c>
      <c r="D166">
        <v>-0.24183499999999999</v>
      </c>
      <c r="E166" t="s">
        <v>673</v>
      </c>
      <c r="F166">
        <v>1</v>
      </c>
      <c r="G166" t="str">
        <f>IFERROR(VLOOKUP(B166, Churches!H:H, 1, FALSE), "")</f>
        <v/>
      </c>
    </row>
    <row r="167" spans="1:7" x14ac:dyDescent="0.25">
      <c r="A167" t="s">
        <v>831</v>
      </c>
      <c r="B167" t="s">
        <v>2029</v>
      </c>
      <c r="C167">
        <v>51.426935700000001</v>
      </c>
      <c r="D167">
        <v>0.10531989999999999</v>
      </c>
      <c r="F167">
        <v>1</v>
      </c>
      <c r="G167" t="str">
        <f>IFERROR(VLOOKUP(B167, Churches!H:H, 1, FALSE), "")</f>
        <v/>
      </c>
    </row>
    <row r="168" spans="1:7" x14ac:dyDescent="0.25">
      <c r="A168" t="s">
        <v>832</v>
      </c>
      <c r="B168" t="s">
        <v>2030</v>
      </c>
      <c r="C168">
        <v>51.402104100000003</v>
      </c>
      <c r="D168">
        <v>4.97615E-2</v>
      </c>
      <c r="E168" t="s">
        <v>673</v>
      </c>
      <c r="F168">
        <v>1</v>
      </c>
      <c r="G168" t="str">
        <f>IFERROR(VLOOKUP(B168, Churches!H:H, 1, FALSE), "")</f>
        <v/>
      </c>
    </row>
    <row r="169" spans="1:7" x14ac:dyDescent="0.25">
      <c r="A169" t="s">
        <v>833</v>
      </c>
      <c r="B169" t="s">
        <v>2031</v>
      </c>
      <c r="C169">
        <v>51.395942699999999</v>
      </c>
      <c r="D169">
        <v>3.7777600000000001E-2</v>
      </c>
      <c r="F169">
        <v>1</v>
      </c>
      <c r="G169" t="str">
        <f>IFERROR(VLOOKUP(B169, Churches!H:H, 1, FALSE), "")</f>
        <v/>
      </c>
    </row>
    <row r="170" spans="1:7" x14ac:dyDescent="0.25">
      <c r="A170" t="s">
        <v>834</v>
      </c>
      <c r="B170" t="s">
        <v>2032</v>
      </c>
      <c r="C170">
        <v>51.388771800000001</v>
      </c>
      <c r="D170">
        <v>5.1679000000000003E-2</v>
      </c>
      <c r="F170">
        <v>1</v>
      </c>
      <c r="G170" t="str">
        <f>IFERROR(VLOOKUP(B170, Churches!H:H, 1, FALSE), "")</f>
        <v/>
      </c>
    </row>
    <row r="171" spans="1:7" x14ac:dyDescent="0.25">
      <c r="A171" t="s">
        <v>835</v>
      </c>
      <c r="B171" t="s">
        <v>2033</v>
      </c>
      <c r="C171">
        <v>51.427616899999997</v>
      </c>
      <c r="D171">
        <v>4.1979900000000001E-2</v>
      </c>
      <c r="F171">
        <v>1</v>
      </c>
      <c r="G171" t="str">
        <f>IFERROR(VLOOKUP(B171, Churches!H:H, 1, FALSE), "")</f>
        <v/>
      </c>
    </row>
    <row r="172" spans="1:7" x14ac:dyDescent="0.25">
      <c r="A172" t="s">
        <v>836</v>
      </c>
      <c r="B172" t="s">
        <v>2034</v>
      </c>
      <c r="C172">
        <v>51.478152999999999</v>
      </c>
      <c r="D172">
        <v>-0.1211752</v>
      </c>
      <c r="E172" t="s">
        <v>673</v>
      </c>
      <c r="F172">
        <v>1</v>
      </c>
      <c r="G172" t="str">
        <f>IFERROR(VLOOKUP(B172, Churches!H:H, 1, FALSE), "")</f>
        <v/>
      </c>
    </row>
    <row r="173" spans="1:7" x14ac:dyDescent="0.25">
      <c r="A173" t="s">
        <v>820</v>
      </c>
      <c r="B173" t="s">
        <v>2035</v>
      </c>
      <c r="C173">
        <v>51.429096800000003</v>
      </c>
      <c r="D173">
        <v>5.6647000000000003E-2</v>
      </c>
      <c r="E173" t="s">
        <v>673</v>
      </c>
      <c r="F173">
        <v>1</v>
      </c>
      <c r="G173" t="str">
        <f>IFERROR(VLOOKUP(B173, Churches!H:H, 1, FALSE), "")</f>
        <v/>
      </c>
    </row>
    <row r="174" spans="1:7" x14ac:dyDescent="0.25">
      <c r="A174" t="s">
        <v>837</v>
      </c>
      <c r="B174" t="s">
        <v>2036</v>
      </c>
      <c r="C174">
        <v>51.419161600000002</v>
      </c>
      <c r="D174">
        <v>6.7282599999999998E-2</v>
      </c>
      <c r="E174" t="s">
        <v>673</v>
      </c>
      <c r="F174">
        <v>1</v>
      </c>
      <c r="G174" t="str">
        <f>IFERROR(VLOOKUP(B174, Churches!H:H, 1, FALSE), "")</f>
        <v/>
      </c>
    </row>
    <row r="175" spans="1:7" x14ac:dyDescent="0.25">
      <c r="A175" t="s">
        <v>838</v>
      </c>
      <c r="B175" t="s">
        <v>2037</v>
      </c>
      <c r="C175">
        <v>51.403639400000003</v>
      </c>
      <c r="D175">
        <v>0.1038659</v>
      </c>
      <c r="F175">
        <v>1</v>
      </c>
      <c r="G175" t="str">
        <f>IFERROR(VLOOKUP(B175, Churches!H:H, 1, FALSE), "")</f>
        <v/>
      </c>
    </row>
    <row r="176" spans="1:7" x14ac:dyDescent="0.25">
      <c r="A176" t="s">
        <v>839</v>
      </c>
      <c r="B176" t="s">
        <v>2038</v>
      </c>
      <c r="C176">
        <v>51.395972800000003</v>
      </c>
      <c r="D176">
        <v>0.10761560000000001</v>
      </c>
      <c r="F176">
        <v>1</v>
      </c>
      <c r="G176" t="str">
        <f>IFERROR(VLOOKUP(B176, Churches!H:H, 1, FALSE), "")</f>
        <v/>
      </c>
    </row>
    <row r="177" spans="1:7" x14ac:dyDescent="0.25">
      <c r="A177" t="s">
        <v>840</v>
      </c>
      <c r="B177" t="s">
        <v>2039</v>
      </c>
      <c r="C177">
        <v>51.488140600000001</v>
      </c>
      <c r="D177">
        <v>-0.1627719</v>
      </c>
      <c r="F177">
        <v>1</v>
      </c>
      <c r="G177" t="str">
        <f>IFERROR(VLOOKUP(B177, Churches!H:H, 1, FALSE), "")</f>
        <v/>
      </c>
    </row>
    <row r="178" spans="1:7" x14ac:dyDescent="0.25">
      <c r="A178" t="s">
        <v>841</v>
      </c>
      <c r="B178" t="s">
        <v>2040</v>
      </c>
      <c r="C178">
        <v>51.452447399999997</v>
      </c>
      <c r="D178">
        <v>-7.0273999999999996E-3</v>
      </c>
      <c r="E178" t="s">
        <v>673</v>
      </c>
      <c r="F178">
        <v>1</v>
      </c>
      <c r="G178" t="str">
        <f>IFERROR(VLOOKUP(B178, Churches!H:H, 1, FALSE), "")</f>
        <v/>
      </c>
    </row>
    <row r="179" spans="1:7" x14ac:dyDescent="0.25">
      <c r="A179" t="s">
        <v>842</v>
      </c>
      <c r="B179" t="s">
        <v>2041</v>
      </c>
      <c r="C179">
        <v>51.474116299999999</v>
      </c>
      <c r="D179">
        <v>-2.5534000000000001E-2</v>
      </c>
      <c r="F179">
        <v>1</v>
      </c>
      <c r="G179" t="str">
        <f>IFERROR(VLOOKUP(B179, Churches!H:H, 1, FALSE), "")</f>
        <v/>
      </c>
    </row>
    <row r="180" spans="1:7" x14ac:dyDescent="0.25">
      <c r="A180" t="s">
        <v>683</v>
      </c>
      <c r="B180" t="s">
        <v>2042</v>
      </c>
      <c r="C180">
        <v>51.428314200000003</v>
      </c>
      <c r="D180">
        <v>-1.12187E-2</v>
      </c>
      <c r="E180" t="s">
        <v>673</v>
      </c>
      <c r="F180">
        <v>1</v>
      </c>
      <c r="G180" t="str">
        <f>IFERROR(VLOOKUP(B180, Churches!H:H, 1, FALSE), "")</f>
        <v/>
      </c>
    </row>
    <row r="181" spans="1:7" x14ac:dyDescent="0.25">
      <c r="A181" t="s">
        <v>843</v>
      </c>
      <c r="B181" t="s">
        <v>2043</v>
      </c>
      <c r="C181">
        <v>51.412995199999997</v>
      </c>
      <c r="D181">
        <v>1.50215E-2</v>
      </c>
      <c r="E181" t="s">
        <v>673</v>
      </c>
      <c r="F181">
        <v>1</v>
      </c>
      <c r="G181" t="str">
        <f>IFERROR(VLOOKUP(B181, Churches!H:H, 1, FALSE), "")</f>
        <v/>
      </c>
    </row>
    <row r="182" spans="1:7" x14ac:dyDescent="0.25">
      <c r="A182" t="s">
        <v>844</v>
      </c>
      <c r="B182" t="s">
        <v>2044</v>
      </c>
      <c r="C182">
        <v>51.4576183</v>
      </c>
      <c r="D182">
        <v>8.1726000000000004E-3</v>
      </c>
      <c r="F182">
        <v>1</v>
      </c>
      <c r="G182" t="str">
        <f>IFERROR(VLOOKUP(B182, Churches!H:H, 1, FALSE), "")</f>
        <v/>
      </c>
    </row>
    <row r="183" spans="1:7" x14ac:dyDescent="0.25">
      <c r="A183" t="s">
        <v>845</v>
      </c>
      <c r="B183" t="s">
        <v>2045</v>
      </c>
      <c r="C183">
        <v>51.456693100000003</v>
      </c>
      <c r="D183">
        <v>7.8808000000000003E-3</v>
      </c>
      <c r="F183">
        <v>1</v>
      </c>
      <c r="G183" t="str">
        <f>IFERROR(VLOOKUP(B183, Churches!H:H, 1, FALSE), "")</f>
        <v/>
      </c>
    </row>
    <row r="184" spans="1:7" x14ac:dyDescent="0.25">
      <c r="A184" t="s">
        <v>846</v>
      </c>
      <c r="B184" t="s">
        <v>2046</v>
      </c>
      <c r="C184">
        <v>51.494510900000002</v>
      </c>
      <c r="D184">
        <v>-8.0201599999999998E-2</v>
      </c>
      <c r="F184">
        <v>1</v>
      </c>
      <c r="G184" t="str">
        <f>IFERROR(VLOOKUP(B184, Churches!H:H, 1, FALSE), "")</f>
        <v/>
      </c>
    </row>
    <row r="185" spans="1:7" x14ac:dyDescent="0.25">
      <c r="A185" t="s">
        <v>676</v>
      </c>
      <c r="B185" t="s">
        <v>2047</v>
      </c>
      <c r="C185">
        <v>51.418745800000003</v>
      </c>
      <c r="D185">
        <v>-4.8704999999999998E-2</v>
      </c>
      <c r="E185" t="s">
        <v>673</v>
      </c>
      <c r="F185">
        <v>1</v>
      </c>
      <c r="G185" t="str">
        <f>IFERROR(VLOOKUP(B185, Churches!H:H, 1, FALSE), "")</f>
        <v/>
      </c>
    </row>
    <row r="186" spans="1:7" x14ac:dyDescent="0.25">
      <c r="A186" t="s">
        <v>750</v>
      </c>
      <c r="B186" t="s">
        <v>2048</v>
      </c>
      <c r="C186">
        <v>51.409589799999999</v>
      </c>
      <c r="D186">
        <v>-6.1474300000000003E-2</v>
      </c>
      <c r="E186" t="s">
        <v>673</v>
      </c>
      <c r="F186">
        <v>1</v>
      </c>
      <c r="G186" t="str">
        <f>IFERROR(VLOOKUP(B186, Churches!H:H, 1, FALSE), "")</f>
        <v/>
      </c>
    </row>
    <row r="187" spans="1:7" x14ac:dyDescent="0.25">
      <c r="A187" t="s">
        <v>847</v>
      </c>
      <c r="B187" t="s">
        <v>2049</v>
      </c>
      <c r="C187">
        <v>51.5028285</v>
      </c>
      <c r="D187">
        <v>-0.22267870000000001</v>
      </c>
      <c r="F187">
        <v>1</v>
      </c>
      <c r="G187" t="str">
        <f>IFERROR(VLOOKUP(B187, Churches!H:H, 1, FALSE), "")</f>
        <v/>
      </c>
    </row>
    <row r="188" spans="1:7" x14ac:dyDescent="0.25">
      <c r="A188" t="s">
        <v>848</v>
      </c>
      <c r="B188" t="s">
        <v>2050</v>
      </c>
      <c r="C188">
        <v>51.515810700000003</v>
      </c>
      <c r="D188">
        <v>-0.41947459999999998</v>
      </c>
      <c r="F188">
        <v>1</v>
      </c>
      <c r="G188" t="str">
        <f>IFERROR(VLOOKUP(B188, Churches!H:H, 1, FALSE), "")</f>
        <v/>
      </c>
    </row>
    <row r="189" spans="1:7" x14ac:dyDescent="0.25">
      <c r="A189" t="s">
        <v>849</v>
      </c>
      <c r="B189" t="s">
        <v>2051</v>
      </c>
      <c r="C189">
        <v>51.6013284</v>
      </c>
      <c r="D189">
        <v>-0.1125483</v>
      </c>
      <c r="F189">
        <v>1</v>
      </c>
      <c r="G189" t="str">
        <f>IFERROR(VLOOKUP(B189, Churches!H:H, 1, FALSE), "")</f>
        <v/>
      </c>
    </row>
    <row r="190" spans="1:7" x14ac:dyDescent="0.25">
      <c r="A190" t="s">
        <v>850</v>
      </c>
      <c r="B190" t="s">
        <v>2052</v>
      </c>
      <c r="C190">
        <v>51.340753800000002</v>
      </c>
      <c r="D190">
        <v>-8.1547000000000008E-3</v>
      </c>
      <c r="F190">
        <v>1</v>
      </c>
      <c r="G190" t="str">
        <f>IFERROR(VLOOKUP(B190, Churches!H:H, 1, FALSE), "")</f>
        <v/>
      </c>
    </row>
    <row r="191" spans="1:7" x14ac:dyDescent="0.25">
      <c r="A191" t="s">
        <v>851</v>
      </c>
      <c r="B191" t="s">
        <v>2053</v>
      </c>
      <c r="C191">
        <v>51.339785900000003</v>
      </c>
      <c r="D191">
        <v>-9.3814999999999992E-3</v>
      </c>
      <c r="F191">
        <v>1</v>
      </c>
      <c r="G191" t="str">
        <f>IFERROR(VLOOKUP(B191, Churches!H:H, 1, FALSE), "")</f>
        <v/>
      </c>
    </row>
    <row r="192" spans="1:7" x14ac:dyDescent="0.25">
      <c r="A192" t="s">
        <v>852</v>
      </c>
      <c r="B192" t="s">
        <v>2054</v>
      </c>
      <c r="C192">
        <v>51.3442522</v>
      </c>
      <c r="D192">
        <v>-5.4333000000000003E-3</v>
      </c>
      <c r="F192">
        <v>1</v>
      </c>
      <c r="G192" t="str">
        <f>IFERROR(VLOOKUP(B192, Churches!H:H, 1, FALSE), "")</f>
        <v/>
      </c>
    </row>
    <row r="193" spans="1:7" x14ac:dyDescent="0.25">
      <c r="A193" t="s">
        <v>853</v>
      </c>
      <c r="B193" t="s">
        <v>2055</v>
      </c>
      <c r="C193">
        <v>51.354204899999999</v>
      </c>
      <c r="D193">
        <v>-1.8597599999999999E-2</v>
      </c>
      <c r="F193">
        <v>1</v>
      </c>
      <c r="G193" t="str">
        <f>IFERROR(VLOOKUP(B193, Churches!H:H, 1, FALSE), "")</f>
        <v/>
      </c>
    </row>
    <row r="194" spans="1:7" x14ac:dyDescent="0.25">
      <c r="A194" t="s">
        <v>854</v>
      </c>
      <c r="B194" t="s">
        <v>2011</v>
      </c>
      <c r="C194">
        <v>51.520500300000002</v>
      </c>
      <c r="D194">
        <v>1.8378700000000001E-2</v>
      </c>
      <c r="F194">
        <v>1</v>
      </c>
      <c r="G194" t="str">
        <f>IFERROR(VLOOKUP(B194, Churches!H:H, 1, FALSE), "")</f>
        <v/>
      </c>
    </row>
    <row r="195" spans="1:7" x14ac:dyDescent="0.25">
      <c r="A195" t="s">
        <v>855</v>
      </c>
      <c r="B195" t="s">
        <v>2056</v>
      </c>
      <c r="C195">
        <v>51.520398800000002</v>
      </c>
      <c r="D195">
        <v>1.8078299999999999E-2</v>
      </c>
      <c r="F195">
        <v>1</v>
      </c>
      <c r="G195" t="str">
        <f>IFERROR(VLOOKUP(B195, Churches!H:H, 1, FALSE), "")</f>
        <v/>
      </c>
    </row>
    <row r="196" spans="1:7" x14ac:dyDescent="0.25">
      <c r="A196" t="s">
        <v>856</v>
      </c>
      <c r="B196" t="s">
        <v>2057</v>
      </c>
      <c r="C196">
        <v>51.593272499999998</v>
      </c>
      <c r="D196">
        <v>-6.91359E-2</v>
      </c>
      <c r="F196">
        <v>1</v>
      </c>
      <c r="G196" t="str">
        <f>IFERROR(VLOOKUP(B196, Churches!H:H, 1, FALSE), "")</f>
        <v/>
      </c>
    </row>
    <row r="197" spans="1:7" x14ac:dyDescent="0.25">
      <c r="A197" t="s">
        <v>857</v>
      </c>
      <c r="B197" t="s">
        <v>2058</v>
      </c>
      <c r="C197">
        <v>51.528205</v>
      </c>
      <c r="D197">
        <v>-0.1212167</v>
      </c>
      <c r="F197">
        <v>1</v>
      </c>
      <c r="G197" t="str">
        <f>IFERROR(VLOOKUP(B197, Churches!H:H, 1, FALSE), "")</f>
        <v/>
      </c>
    </row>
    <row r="198" spans="1:7" x14ac:dyDescent="0.25">
      <c r="A198" t="s">
        <v>858</v>
      </c>
      <c r="B198" t="s">
        <v>2059</v>
      </c>
      <c r="C198">
        <v>51.465545900000002</v>
      </c>
      <c r="D198">
        <v>-0.3636412</v>
      </c>
      <c r="F198">
        <v>1</v>
      </c>
      <c r="G198" t="str">
        <f>IFERROR(VLOOKUP(B198, Churches!H:H, 1, FALSE), "")</f>
        <v/>
      </c>
    </row>
    <row r="199" spans="1:7" x14ac:dyDescent="0.25">
      <c r="A199" t="s">
        <v>859</v>
      </c>
      <c r="B199" t="s">
        <v>2060</v>
      </c>
      <c r="C199">
        <v>51.426443399999997</v>
      </c>
      <c r="D199">
        <v>0.13621240000000001</v>
      </c>
      <c r="F199">
        <v>1</v>
      </c>
      <c r="G199" t="str">
        <f>IFERROR(VLOOKUP(B199, Churches!H:H, 1, FALSE), "")</f>
        <v/>
      </c>
    </row>
    <row r="200" spans="1:7" x14ac:dyDescent="0.25">
      <c r="A200" t="s">
        <v>860</v>
      </c>
      <c r="B200" t="s">
        <v>2061</v>
      </c>
      <c r="C200">
        <v>51.425356999999998</v>
      </c>
      <c r="D200">
        <v>0.13319110000000001</v>
      </c>
      <c r="E200" t="s">
        <v>673</v>
      </c>
      <c r="F200">
        <v>1</v>
      </c>
      <c r="G200" t="str">
        <f>IFERROR(VLOOKUP(B200, Churches!H:H, 1, FALSE), "")</f>
        <v/>
      </c>
    </row>
    <row r="201" spans="1:7" x14ac:dyDescent="0.25">
      <c r="A201" t="s">
        <v>861</v>
      </c>
      <c r="B201" t="s">
        <v>1996</v>
      </c>
      <c r="C201">
        <v>51.563367800000002</v>
      </c>
      <c r="D201">
        <v>-1.69541E-2</v>
      </c>
      <c r="F201">
        <v>1</v>
      </c>
      <c r="G201" t="str">
        <f>IFERROR(VLOOKUP(B201, Churches!H:H, 1, FALSE), "")</f>
        <v/>
      </c>
    </row>
    <row r="202" spans="1:7" x14ac:dyDescent="0.25">
      <c r="A202" t="s">
        <v>862</v>
      </c>
      <c r="B202" t="s">
        <v>2062</v>
      </c>
      <c r="C202">
        <v>51.424810000000001</v>
      </c>
      <c r="D202">
        <v>-0.1426946</v>
      </c>
      <c r="F202">
        <v>1</v>
      </c>
      <c r="G202" t="str">
        <f>IFERROR(VLOOKUP(B202, Churches!H:H, 1, FALSE), "")</f>
        <v/>
      </c>
    </row>
    <row r="203" spans="1:7" x14ac:dyDescent="0.25">
      <c r="A203" t="s">
        <v>863</v>
      </c>
      <c r="B203" t="s">
        <v>2063</v>
      </c>
      <c r="C203">
        <v>51.596823700000002</v>
      </c>
      <c r="D203">
        <v>-0.11538130000000001</v>
      </c>
      <c r="F203">
        <v>1</v>
      </c>
      <c r="G203" t="str">
        <f>IFERROR(VLOOKUP(B203, Churches!H:H, 1, FALSE), "")</f>
        <v/>
      </c>
    </row>
    <row r="204" spans="1:7" x14ac:dyDescent="0.25">
      <c r="A204" t="s">
        <v>864</v>
      </c>
      <c r="B204" t="s">
        <v>2064</v>
      </c>
      <c r="C204">
        <v>51.436769699999999</v>
      </c>
      <c r="D204">
        <v>-0.1054281</v>
      </c>
      <c r="F204">
        <v>1</v>
      </c>
      <c r="G204" t="str">
        <f>IFERROR(VLOOKUP(B204, Churches!H:H, 1, FALSE), "")</f>
        <v/>
      </c>
    </row>
    <row r="205" spans="1:7" x14ac:dyDescent="0.25">
      <c r="A205" t="s">
        <v>865</v>
      </c>
      <c r="B205" t="s">
        <v>2065</v>
      </c>
      <c r="C205">
        <v>51.592119099999998</v>
      </c>
      <c r="D205">
        <v>-7.0055699999999999E-2</v>
      </c>
      <c r="F205">
        <v>1</v>
      </c>
      <c r="G205" t="str">
        <f>IFERROR(VLOOKUP(B205, Churches!H:H, 1, FALSE), "")</f>
        <v/>
      </c>
    </row>
    <row r="206" spans="1:7" x14ac:dyDescent="0.25">
      <c r="A206" t="s">
        <v>724</v>
      </c>
      <c r="B206" t="s">
        <v>2066</v>
      </c>
      <c r="C206">
        <v>51.6161575</v>
      </c>
      <c r="D206">
        <v>0.1822685</v>
      </c>
      <c r="E206" t="s">
        <v>673</v>
      </c>
      <c r="F206">
        <v>1</v>
      </c>
      <c r="G206" t="str">
        <f>IFERROR(VLOOKUP(B206, Churches!H:H, 1, FALSE), "")</f>
        <v/>
      </c>
    </row>
    <row r="207" spans="1:7" x14ac:dyDescent="0.25">
      <c r="A207" t="s">
        <v>866</v>
      </c>
      <c r="B207" t="s">
        <v>2067</v>
      </c>
      <c r="C207">
        <v>51.548077900000003</v>
      </c>
      <c r="D207">
        <v>-0.4486851</v>
      </c>
      <c r="E207" t="s">
        <v>673</v>
      </c>
      <c r="F207">
        <v>1</v>
      </c>
      <c r="G207" t="str">
        <f>IFERROR(VLOOKUP(B207, Churches!H:H, 1, FALSE), "")</f>
        <v/>
      </c>
    </row>
    <row r="208" spans="1:7" x14ac:dyDescent="0.25">
      <c r="A208" t="s">
        <v>867</v>
      </c>
      <c r="B208" t="s">
        <v>2068</v>
      </c>
      <c r="C208">
        <v>51.582155899999997</v>
      </c>
      <c r="D208">
        <v>-0.30613760000000001</v>
      </c>
      <c r="F208">
        <v>1</v>
      </c>
      <c r="G208" t="str">
        <f>IFERROR(VLOOKUP(B208, Churches!H:H, 1, FALSE), "")</f>
        <v/>
      </c>
    </row>
    <row r="209" spans="1:7" x14ac:dyDescent="0.25">
      <c r="A209" t="s">
        <v>868</v>
      </c>
      <c r="B209" t="s">
        <v>2069</v>
      </c>
      <c r="C209">
        <v>51.408772599999999</v>
      </c>
      <c r="D209">
        <v>2.3087400000000001E-2</v>
      </c>
      <c r="E209" t="s">
        <v>673</v>
      </c>
      <c r="F209">
        <v>1</v>
      </c>
      <c r="G209" t="str">
        <f>IFERROR(VLOOKUP(B209, Churches!H:H, 1, FALSE), "")</f>
        <v/>
      </c>
    </row>
    <row r="210" spans="1:7" x14ac:dyDescent="0.25">
      <c r="A210" t="s">
        <v>869</v>
      </c>
      <c r="B210" t="s">
        <v>2070</v>
      </c>
      <c r="C210">
        <v>51.463582799999998</v>
      </c>
      <c r="D210">
        <v>5.02634E-2</v>
      </c>
      <c r="F210">
        <v>1</v>
      </c>
      <c r="G210" t="str">
        <f>IFERROR(VLOOKUP(B210, Churches!H:H, 1, FALSE), "")</f>
        <v/>
      </c>
    </row>
    <row r="211" spans="1:7" x14ac:dyDescent="0.25">
      <c r="A211" t="s">
        <v>870</v>
      </c>
      <c r="B211" t="s">
        <v>2071</v>
      </c>
      <c r="C211">
        <v>51.556009500000002</v>
      </c>
      <c r="D211">
        <v>0.14010909999999999</v>
      </c>
      <c r="E211" t="s">
        <v>673</v>
      </c>
      <c r="F211">
        <v>1</v>
      </c>
      <c r="G211" t="str">
        <f>IFERROR(VLOOKUP(B211, Churches!H:H, 1, FALSE), "")</f>
        <v/>
      </c>
    </row>
    <row r="212" spans="1:7" x14ac:dyDescent="0.25">
      <c r="A212" t="s">
        <v>871</v>
      </c>
      <c r="B212" t="s">
        <v>2072</v>
      </c>
      <c r="C212">
        <v>51.546063799999999</v>
      </c>
      <c r="D212">
        <v>0.15191299999999999</v>
      </c>
      <c r="E212" t="s">
        <v>673</v>
      </c>
      <c r="F212">
        <v>1</v>
      </c>
      <c r="G212" t="str">
        <f>IFERROR(VLOOKUP(B212, Churches!H:H, 1, FALSE), "")</f>
        <v/>
      </c>
    </row>
    <row r="213" spans="1:7" x14ac:dyDescent="0.25">
      <c r="A213" t="s">
        <v>872</v>
      </c>
      <c r="B213" t="s">
        <v>2073</v>
      </c>
      <c r="C213">
        <v>51.528385200000002</v>
      </c>
      <c r="D213">
        <v>9.9631700000000004E-2</v>
      </c>
      <c r="E213" t="s">
        <v>673</v>
      </c>
      <c r="F213">
        <v>1</v>
      </c>
      <c r="G213" t="str">
        <f>IFERROR(VLOOKUP(B213, Churches!H:H, 1, FALSE), "")</f>
        <v/>
      </c>
    </row>
    <row r="214" spans="1:7" x14ac:dyDescent="0.25">
      <c r="A214" t="s">
        <v>873</v>
      </c>
      <c r="B214" t="s">
        <v>2074</v>
      </c>
      <c r="C214">
        <v>51.543437599999997</v>
      </c>
      <c r="D214">
        <v>9.4500700000000007E-2</v>
      </c>
      <c r="E214" t="s">
        <v>673</v>
      </c>
      <c r="F214">
        <v>1</v>
      </c>
      <c r="G214" t="str">
        <f>IFERROR(VLOOKUP(B214, Churches!H:H, 1, FALSE), "")</f>
        <v/>
      </c>
    </row>
    <row r="215" spans="1:7" x14ac:dyDescent="0.25">
      <c r="A215" t="s">
        <v>874</v>
      </c>
      <c r="B215" t="s">
        <v>2075</v>
      </c>
      <c r="C215">
        <v>51.585601699999998</v>
      </c>
      <c r="D215">
        <v>0.1348615</v>
      </c>
      <c r="E215" t="s">
        <v>673</v>
      </c>
      <c r="F215">
        <v>1</v>
      </c>
      <c r="G215" t="str">
        <f>IFERROR(VLOOKUP(B215, Churches!H:H, 1, FALSE), "")</f>
        <v/>
      </c>
    </row>
    <row r="216" spans="1:7" x14ac:dyDescent="0.25">
      <c r="A216" t="s">
        <v>875</v>
      </c>
      <c r="B216" t="s">
        <v>2076</v>
      </c>
      <c r="C216">
        <v>51.617616599999998</v>
      </c>
      <c r="D216">
        <v>-0.18449160000000001</v>
      </c>
      <c r="F216">
        <v>1</v>
      </c>
      <c r="G216" t="str">
        <f>IFERROR(VLOOKUP(B216, Churches!H:H, 1, FALSE), "")</f>
        <v/>
      </c>
    </row>
    <row r="217" spans="1:7" x14ac:dyDescent="0.25">
      <c r="A217" t="s">
        <v>876</v>
      </c>
      <c r="B217" t="s">
        <v>2077</v>
      </c>
      <c r="C217">
        <v>51.585900100000003</v>
      </c>
      <c r="D217">
        <v>0.2005007</v>
      </c>
      <c r="F217">
        <v>1</v>
      </c>
      <c r="G217" t="str">
        <f>IFERROR(VLOOKUP(B217, Churches!H:H, 1, FALSE), "")</f>
        <v/>
      </c>
    </row>
    <row r="218" spans="1:7" x14ac:dyDescent="0.25">
      <c r="A218" t="s">
        <v>674</v>
      </c>
      <c r="B218" t="s">
        <v>2078</v>
      </c>
      <c r="C218">
        <v>51.625810100000002</v>
      </c>
      <c r="D218">
        <v>-6.5769900000000006E-2</v>
      </c>
      <c r="E218" t="s">
        <v>673</v>
      </c>
      <c r="F218">
        <v>1</v>
      </c>
      <c r="G218" t="str">
        <f>IFERROR(VLOOKUP(B218, Churches!H:H, 1, FALSE), "")</f>
        <v/>
      </c>
    </row>
    <row r="219" spans="1:7" x14ac:dyDescent="0.25">
      <c r="A219" t="s">
        <v>877</v>
      </c>
      <c r="B219" t="s">
        <v>2079</v>
      </c>
      <c r="C219">
        <v>51.429344700000001</v>
      </c>
      <c r="D219">
        <v>-4.1886199999999998E-2</v>
      </c>
      <c r="E219" t="s">
        <v>673</v>
      </c>
      <c r="F219">
        <v>1</v>
      </c>
      <c r="G219" t="str">
        <f>IFERROR(VLOOKUP(B219, Churches!H:H, 1, FALSE), "")</f>
        <v/>
      </c>
    </row>
    <row r="220" spans="1:7" x14ac:dyDescent="0.25">
      <c r="A220" t="s">
        <v>802</v>
      </c>
      <c r="B220" t="s">
        <v>2080</v>
      </c>
      <c r="C220">
        <v>51.513473699999999</v>
      </c>
      <c r="D220">
        <v>1.38113E-2</v>
      </c>
      <c r="E220" t="s">
        <v>673</v>
      </c>
      <c r="F220">
        <v>1</v>
      </c>
      <c r="G220" t="str">
        <f>IFERROR(VLOOKUP(B220, Churches!H:H, 1, FALSE), "")</f>
        <v/>
      </c>
    </row>
    <row r="221" spans="1:7" x14ac:dyDescent="0.25">
      <c r="A221" t="s">
        <v>878</v>
      </c>
      <c r="B221" t="s">
        <v>2081</v>
      </c>
      <c r="C221">
        <v>51.615290399999999</v>
      </c>
      <c r="D221">
        <v>-0.10467369999999999</v>
      </c>
      <c r="F221">
        <v>1</v>
      </c>
      <c r="G221" t="str">
        <f>IFERROR(VLOOKUP(B221, Churches!H:H, 1, FALSE), "")</f>
        <v/>
      </c>
    </row>
    <row r="222" spans="1:7" x14ac:dyDescent="0.25">
      <c r="A222" t="s">
        <v>879</v>
      </c>
      <c r="B222" t="s">
        <v>2082</v>
      </c>
      <c r="C222">
        <v>51.570397200000002</v>
      </c>
      <c r="D222">
        <v>-4.06445E-2</v>
      </c>
      <c r="F222">
        <v>1</v>
      </c>
      <c r="G222" t="str">
        <f>IFERROR(VLOOKUP(B222, Churches!H:H, 1, FALSE), "")</f>
        <v/>
      </c>
    </row>
    <row r="223" spans="1:7" x14ac:dyDescent="0.25">
      <c r="A223" t="s">
        <v>880</v>
      </c>
      <c r="B223" t="s">
        <v>2082</v>
      </c>
      <c r="C223">
        <v>51.570422100000002</v>
      </c>
      <c r="D223">
        <v>-4.0751599999999999E-2</v>
      </c>
      <c r="F223">
        <v>1</v>
      </c>
      <c r="G223" t="str">
        <f>IFERROR(VLOOKUP(B223, Churches!H:H, 1, FALSE), "")</f>
        <v/>
      </c>
    </row>
    <row r="224" spans="1:7" x14ac:dyDescent="0.25">
      <c r="A224" t="s">
        <v>881</v>
      </c>
      <c r="B224" t="s">
        <v>1996</v>
      </c>
      <c r="C224">
        <v>51.569702599999999</v>
      </c>
      <c r="D224">
        <v>-4.1206800000000002E-2</v>
      </c>
      <c r="F224">
        <v>1</v>
      </c>
      <c r="G224" t="str">
        <f>IFERROR(VLOOKUP(B224, Churches!H:H, 1, FALSE), "")</f>
        <v/>
      </c>
    </row>
    <row r="225" spans="1:7" x14ac:dyDescent="0.25">
      <c r="A225" t="s">
        <v>842</v>
      </c>
      <c r="B225" t="s">
        <v>1996</v>
      </c>
      <c r="C225">
        <v>51.569514900000001</v>
      </c>
      <c r="D225">
        <v>-4.1424299999999997E-2</v>
      </c>
      <c r="F225">
        <v>1</v>
      </c>
      <c r="G225" t="str">
        <f>IFERROR(VLOOKUP(B225, Churches!H:H, 1, FALSE), "")</f>
        <v/>
      </c>
    </row>
    <row r="226" spans="1:7" x14ac:dyDescent="0.25">
      <c r="A226" t="s">
        <v>882</v>
      </c>
      <c r="B226" t="s">
        <v>1996</v>
      </c>
      <c r="C226">
        <v>51.570419200000003</v>
      </c>
      <c r="D226">
        <v>-4.1917700000000002E-2</v>
      </c>
      <c r="F226">
        <v>1</v>
      </c>
      <c r="G226" t="str">
        <f>IFERROR(VLOOKUP(B226, Churches!H:H, 1, FALSE), "")</f>
        <v/>
      </c>
    </row>
    <row r="227" spans="1:7" x14ac:dyDescent="0.25">
      <c r="A227" t="s">
        <v>883</v>
      </c>
      <c r="B227" t="s">
        <v>2082</v>
      </c>
      <c r="C227">
        <v>51.570695200000003</v>
      </c>
      <c r="D227">
        <v>-4.1105900000000001E-2</v>
      </c>
      <c r="F227">
        <v>1</v>
      </c>
      <c r="G227" t="str">
        <f>IFERROR(VLOOKUP(B227, Churches!H:H, 1, FALSE), "")</f>
        <v/>
      </c>
    </row>
    <row r="228" spans="1:7" x14ac:dyDescent="0.25">
      <c r="A228" t="s">
        <v>884</v>
      </c>
      <c r="B228" t="s">
        <v>2083</v>
      </c>
      <c r="C228">
        <v>51.328498799999998</v>
      </c>
      <c r="D228">
        <v>-0.11683789999999999</v>
      </c>
      <c r="E228" t="s">
        <v>673</v>
      </c>
      <c r="F228">
        <v>1</v>
      </c>
      <c r="G228" t="str">
        <f>IFERROR(VLOOKUP(B228, Churches!H:H, 1, FALSE), "")</f>
        <v/>
      </c>
    </row>
    <row r="229" spans="1:7" x14ac:dyDescent="0.25">
      <c r="A229" t="s">
        <v>885</v>
      </c>
      <c r="B229" t="s">
        <v>2084</v>
      </c>
      <c r="C229">
        <v>51.470707500000003</v>
      </c>
      <c r="D229">
        <v>-1.6797900000000001E-2</v>
      </c>
      <c r="E229" t="s">
        <v>673</v>
      </c>
      <c r="F229">
        <v>1</v>
      </c>
      <c r="G229" t="str">
        <f>IFERROR(VLOOKUP(B229, Churches!H:H, 1, FALSE), "")</f>
        <v/>
      </c>
    </row>
    <row r="230" spans="1:7" x14ac:dyDescent="0.25">
      <c r="A230" t="s">
        <v>886</v>
      </c>
      <c r="B230" t="s">
        <v>2085</v>
      </c>
      <c r="C230">
        <v>51.430903299999997</v>
      </c>
      <c r="D230">
        <v>1.1557400000000001E-2</v>
      </c>
      <c r="E230" t="s">
        <v>673</v>
      </c>
      <c r="F230">
        <v>1</v>
      </c>
      <c r="G230" t="str">
        <f>IFERROR(VLOOKUP(B230, Churches!H:H, 1, FALSE), "")</f>
        <v/>
      </c>
    </row>
    <row r="231" spans="1:7" x14ac:dyDescent="0.25">
      <c r="A231" t="s">
        <v>887</v>
      </c>
      <c r="B231" t="s">
        <v>2086</v>
      </c>
      <c r="C231">
        <v>51.4201525</v>
      </c>
      <c r="D231">
        <v>2.04353E-2</v>
      </c>
      <c r="E231" t="s">
        <v>673</v>
      </c>
      <c r="F231">
        <v>1</v>
      </c>
      <c r="G231" t="str">
        <f>IFERROR(VLOOKUP(B231, Churches!H:H, 1, FALSE), "")</f>
        <v/>
      </c>
    </row>
    <row r="232" spans="1:7" x14ac:dyDescent="0.25">
      <c r="A232" t="s">
        <v>888</v>
      </c>
      <c r="B232" t="s">
        <v>2087</v>
      </c>
      <c r="C232">
        <v>51.565423500000001</v>
      </c>
      <c r="D232">
        <v>0.17157220000000001</v>
      </c>
      <c r="F232">
        <v>1</v>
      </c>
      <c r="G232" t="str">
        <f>IFERROR(VLOOKUP(B232, Churches!H:H, 1, FALSE), "")</f>
        <v/>
      </c>
    </row>
    <row r="233" spans="1:7" x14ac:dyDescent="0.25">
      <c r="A233" t="s">
        <v>889</v>
      </c>
      <c r="B233" t="s">
        <v>2088</v>
      </c>
      <c r="C233">
        <v>51.455112800000002</v>
      </c>
      <c r="D233">
        <v>-0.22902459999999999</v>
      </c>
      <c r="F233">
        <v>1</v>
      </c>
      <c r="G233" t="str">
        <f>IFERROR(VLOOKUP(B233, Churches!H:H, 1, FALSE), "")</f>
        <v/>
      </c>
    </row>
    <row r="234" spans="1:7" x14ac:dyDescent="0.25">
      <c r="A234" t="s">
        <v>890</v>
      </c>
      <c r="B234" t="s">
        <v>2089</v>
      </c>
      <c r="C234">
        <v>51.517900300000001</v>
      </c>
      <c r="D234">
        <v>-0.42015069999999999</v>
      </c>
      <c r="E234" t="s">
        <v>673</v>
      </c>
      <c r="F234">
        <v>1</v>
      </c>
      <c r="G234" t="str">
        <f>IFERROR(VLOOKUP(B234, Churches!H:H, 1, FALSE), "")</f>
        <v/>
      </c>
    </row>
    <row r="235" spans="1:7" x14ac:dyDescent="0.25">
      <c r="A235" t="s">
        <v>891</v>
      </c>
      <c r="B235" t="s">
        <v>2090</v>
      </c>
      <c r="C235">
        <v>51.470257099999998</v>
      </c>
      <c r="D235">
        <v>-0.2158253</v>
      </c>
      <c r="E235" t="s">
        <v>673</v>
      </c>
      <c r="F235">
        <v>1</v>
      </c>
      <c r="G235" t="str">
        <f>IFERROR(VLOOKUP(B235, Churches!H:H, 1, FALSE), "")</f>
        <v/>
      </c>
    </row>
    <row r="236" spans="1:7" x14ac:dyDescent="0.25">
      <c r="A236" t="s">
        <v>892</v>
      </c>
      <c r="B236" t="s">
        <v>2091</v>
      </c>
      <c r="C236">
        <v>51.493000899999998</v>
      </c>
      <c r="D236">
        <v>-0.21858520000000001</v>
      </c>
      <c r="F236">
        <v>1</v>
      </c>
      <c r="G236" t="str">
        <f>IFERROR(VLOOKUP(B236, Churches!H:H, 1, FALSE), "")</f>
        <v/>
      </c>
    </row>
    <row r="237" spans="1:7" x14ac:dyDescent="0.25">
      <c r="A237" t="s">
        <v>893</v>
      </c>
      <c r="B237" t="s">
        <v>2092</v>
      </c>
      <c r="C237">
        <v>51.496486099999998</v>
      </c>
      <c r="D237">
        <v>-0.21897739999999999</v>
      </c>
      <c r="F237">
        <v>1</v>
      </c>
      <c r="G237" t="str">
        <f>IFERROR(VLOOKUP(B237, Churches!H:H, 1, FALSE), "")</f>
        <v/>
      </c>
    </row>
    <row r="238" spans="1:7" x14ac:dyDescent="0.25">
      <c r="A238" t="s">
        <v>894</v>
      </c>
      <c r="B238" t="s">
        <v>2093</v>
      </c>
      <c r="C238">
        <v>51.482422700000001</v>
      </c>
      <c r="D238">
        <v>-0.2189796</v>
      </c>
      <c r="E238" t="s">
        <v>673</v>
      </c>
      <c r="F238">
        <v>1</v>
      </c>
      <c r="G238" t="str">
        <f>IFERROR(VLOOKUP(B238, Churches!H:H, 1, FALSE), "")</f>
        <v/>
      </c>
    </row>
    <row r="239" spans="1:7" x14ac:dyDescent="0.25">
      <c r="A239" t="s">
        <v>895</v>
      </c>
      <c r="B239" t="s">
        <v>2094</v>
      </c>
      <c r="C239">
        <v>51.539997300000003</v>
      </c>
      <c r="D239">
        <v>7.5329599999999997E-2</v>
      </c>
      <c r="F239">
        <v>1</v>
      </c>
      <c r="G239" t="str">
        <f>IFERROR(VLOOKUP(B239, Churches!H:H, 1, FALSE), "")</f>
        <v/>
      </c>
    </row>
    <row r="240" spans="1:7" x14ac:dyDescent="0.25">
      <c r="A240" t="s">
        <v>896</v>
      </c>
      <c r="B240" t="s">
        <v>2095</v>
      </c>
      <c r="C240">
        <v>51.5391063</v>
      </c>
      <c r="D240">
        <v>7.8738000000000002E-2</v>
      </c>
      <c r="F240">
        <v>1</v>
      </c>
      <c r="G240" t="str">
        <f>IFERROR(VLOOKUP(B240, Churches!H:H, 1, FALSE), "")</f>
        <v/>
      </c>
    </row>
    <row r="241" spans="1:7" x14ac:dyDescent="0.25">
      <c r="A241" t="s">
        <v>897</v>
      </c>
      <c r="B241" t="s">
        <v>2096</v>
      </c>
      <c r="C241">
        <v>51.5442362</v>
      </c>
      <c r="D241">
        <v>7.7584100000000003E-2</v>
      </c>
      <c r="F241">
        <v>1</v>
      </c>
      <c r="G241" t="str">
        <f>IFERROR(VLOOKUP(B241, Churches!H:H, 1, FALSE), "")</f>
        <v/>
      </c>
    </row>
    <row r="242" spans="1:7" x14ac:dyDescent="0.25">
      <c r="A242" t="s">
        <v>898</v>
      </c>
      <c r="B242" t="s">
        <v>2097</v>
      </c>
      <c r="C242">
        <v>51.548875600000002</v>
      </c>
      <c r="D242">
        <v>7.1787100000000006E-2</v>
      </c>
      <c r="E242" t="s">
        <v>673</v>
      </c>
      <c r="F242">
        <v>1</v>
      </c>
      <c r="G242" t="str">
        <f>IFERROR(VLOOKUP(B242, Churches!H:H, 1, FALSE), "")</f>
        <v/>
      </c>
    </row>
    <row r="243" spans="1:7" x14ac:dyDescent="0.25">
      <c r="A243" t="s">
        <v>899</v>
      </c>
      <c r="B243" t="s">
        <v>2098</v>
      </c>
      <c r="C243">
        <v>51.5480631</v>
      </c>
      <c r="D243">
        <v>7.5706899999999994E-2</v>
      </c>
      <c r="F243">
        <v>1</v>
      </c>
      <c r="G243" t="str">
        <f>IFERROR(VLOOKUP(B243, Churches!H:H, 1, FALSE), "")</f>
        <v/>
      </c>
    </row>
    <row r="244" spans="1:7" x14ac:dyDescent="0.25">
      <c r="A244" t="s">
        <v>900</v>
      </c>
      <c r="B244" t="s">
        <v>2099</v>
      </c>
      <c r="C244">
        <v>51.553140300000003</v>
      </c>
      <c r="D244">
        <v>7.3040800000000003E-2</v>
      </c>
      <c r="F244">
        <v>1</v>
      </c>
      <c r="G244" t="str">
        <f>IFERROR(VLOOKUP(B244, Churches!H:H, 1, FALSE), "")</f>
        <v/>
      </c>
    </row>
    <row r="245" spans="1:7" x14ac:dyDescent="0.25">
      <c r="A245" t="s">
        <v>901</v>
      </c>
      <c r="B245" t="s">
        <v>2100</v>
      </c>
      <c r="C245">
        <v>51.5521052</v>
      </c>
      <c r="D245">
        <v>7.4347399999999994E-2</v>
      </c>
      <c r="F245">
        <v>1</v>
      </c>
      <c r="G245" t="str">
        <f>IFERROR(VLOOKUP(B245, Churches!H:H, 1, FALSE), "")</f>
        <v/>
      </c>
    </row>
    <row r="246" spans="1:7" x14ac:dyDescent="0.25">
      <c r="A246" t="s">
        <v>902</v>
      </c>
      <c r="B246" t="s">
        <v>2101</v>
      </c>
      <c r="C246">
        <v>51.555427199999997</v>
      </c>
      <c r="D246">
        <v>7.1263599999999996E-2</v>
      </c>
      <c r="F246">
        <v>1</v>
      </c>
      <c r="G246" t="str">
        <f>IFERROR(VLOOKUP(B246, Churches!H:H, 1, FALSE), "")</f>
        <v/>
      </c>
    </row>
    <row r="247" spans="1:7" x14ac:dyDescent="0.25">
      <c r="A247" t="s">
        <v>903</v>
      </c>
      <c r="B247" t="s">
        <v>2102</v>
      </c>
      <c r="C247">
        <v>51.556290699999998</v>
      </c>
      <c r="D247">
        <v>7.0636000000000004E-2</v>
      </c>
      <c r="F247">
        <v>1</v>
      </c>
      <c r="G247" t="str">
        <f>IFERROR(VLOOKUP(B247, Churches!H:H, 1, FALSE), "")</f>
        <v/>
      </c>
    </row>
    <row r="248" spans="1:7" x14ac:dyDescent="0.25">
      <c r="A248" t="s">
        <v>904</v>
      </c>
      <c r="B248" t="s">
        <v>2103</v>
      </c>
      <c r="C248">
        <v>51.556348300000003</v>
      </c>
      <c r="D248">
        <v>7.4909799999999999E-2</v>
      </c>
      <c r="F248">
        <v>1</v>
      </c>
      <c r="G248" t="str">
        <f>IFERROR(VLOOKUP(B248, Churches!H:H, 1, FALSE), "")</f>
        <v/>
      </c>
    </row>
    <row r="249" spans="1:7" x14ac:dyDescent="0.25">
      <c r="A249" t="s">
        <v>905</v>
      </c>
      <c r="B249" t="s">
        <v>2104</v>
      </c>
      <c r="C249">
        <v>51.561653800000002</v>
      </c>
      <c r="D249">
        <v>7.0162699999999995E-2</v>
      </c>
      <c r="F249">
        <v>1</v>
      </c>
      <c r="G249" t="str">
        <f>IFERROR(VLOOKUP(B249, Churches!H:H, 1, FALSE), "")</f>
        <v/>
      </c>
    </row>
    <row r="250" spans="1:7" x14ac:dyDescent="0.25">
      <c r="A250" t="s">
        <v>906</v>
      </c>
      <c r="B250" t="s">
        <v>2105</v>
      </c>
      <c r="C250">
        <v>51.563169600000002</v>
      </c>
      <c r="D250">
        <v>7.0152400000000004E-2</v>
      </c>
      <c r="F250">
        <v>1</v>
      </c>
      <c r="G250" t="str">
        <f>IFERROR(VLOOKUP(B250, Churches!H:H, 1, FALSE), "")</f>
        <v/>
      </c>
    </row>
    <row r="251" spans="1:7" x14ac:dyDescent="0.25">
      <c r="A251" t="s">
        <v>907</v>
      </c>
      <c r="B251" t="s">
        <v>2106</v>
      </c>
      <c r="C251">
        <v>51.559272999999997</v>
      </c>
      <c r="D251">
        <v>7.7284699999999998E-2</v>
      </c>
      <c r="F251">
        <v>1</v>
      </c>
      <c r="G251" t="str">
        <f>IFERROR(VLOOKUP(B251, Churches!H:H, 1, FALSE), "")</f>
        <v/>
      </c>
    </row>
    <row r="252" spans="1:7" x14ac:dyDescent="0.25">
      <c r="A252" t="s">
        <v>908</v>
      </c>
      <c r="B252" t="s">
        <v>2107</v>
      </c>
      <c r="C252">
        <v>51.5597523</v>
      </c>
      <c r="D252">
        <v>8.4934899999999994E-2</v>
      </c>
      <c r="F252">
        <v>1</v>
      </c>
      <c r="G252" t="str">
        <f>IFERROR(VLOOKUP(B252, Churches!H:H, 1, FALSE), "")</f>
        <v/>
      </c>
    </row>
    <row r="253" spans="1:7" x14ac:dyDescent="0.25">
      <c r="A253" t="s">
        <v>909</v>
      </c>
      <c r="B253" t="s">
        <v>2108</v>
      </c>
      <c r="C253">
        <v>51.560918899999997</v>
      </c>
      <c r="D253">
        <v>8.4202399999999997E-2</v>
      </c>
      <c r="F253">
        <v>1</v>
      </c>
      <c r="G253" t="str">
        <f>IFERROR(VLOOKUP(B253, Churches!H:H, 1, FALSE), "")</f>
        <v/>
      </c>
    </row>
    <row r="254" spans="1:7" x14ac:dyDescent="0.25">
      <c r="A254" t="s">
        <v>910</v>
      </c>
      <c r="B254" t="s">
        <v>2109</v>
      </c>
      <c r="C254">
        <v>51.534000900000002</v>
      </c>
      <c r="D254">
        <v>8.5659200000000005E-2</v>
      </c>
      <c r="F254">
        <v>1</v>
      </c>
      <c r="G254" t="str">
        <f>IFERROR(VLOOKUP(B254, Churches!H:H, 1, FALSE), "")</f>
        <v/>
      </c>
    </row>
    <row r="255" spans="1:7" x14ac:dyDescent="0.25">
      <c r="A255" t="s">
        <v>911</v>
      </c>
      <c r="B255" t="s">
        <v>2110</v>
      </c>
      <c r="C255">
        <v>51.5343406</v>
      </c>
      <c r="D255">
        <v>8.7216600000000005E-2</v>
      </c>
      <c r="F255">
        <v>1</v>
      </c>
      <c r="G255" t="str">
        <f>IFERROR(VLOOKUP(B255, Churches!H:H, 1, FALSE), "")</f>
        <v/>
      </c>
    </row>
    <row r="256" spans="1:7" x14ac:dyDescent="0.25">
      <c r="A256" t="s">
        <v>912</v>
      </c>
      <c r="B256" t="s">
        <v>2111</v>
      </c>
      <c r="C256">
        <v>51.549116699999999</v>
      </c>
      <c r="D256">
        <v>5.9360000000000003E-2</v>
      </c>
      <c r="F256">
        <v>1</v>
      </c>
      <c r="G256" t="str">
        <f>IFERROR(VLOOKUP(B256, Churches!H:H, 1, FALSE), "")</f>
        <v/>
      </c>
    </row>
    <row r="257" spans="1:7" x14ac:dyDescent="0.25">
      <c r="A257" t="s">
        <v>674</v>
      </c>
      <c r="B257" t="s">
        <v>2112</v>
      </c>
      <c r="C257">
        <v>51.436021500000003</v>
      </c>
      <c r="D257">
        <v>7.2019299999999994E-2</v>
      </c>
      <c r="E257" t="s">
        <v>673</v>
      </c>
      <c r="F257">
        <v>1</v>
      </c>
      <c r="G257" t="str">
        <f>IFERROR(VLOOKUP(B257, Churches!H:H, 1, FALSE), "")</f>
        <v/>
      </c>
    </row>
    <row r="258" spans="1:7" x14ac:dyDescent="0.25">
      <c r="A258" t="s">
        <v>913</v>
      </c>
      <c r="B258" t="s">
        <v>2113</v>
      </c>
      <c r="C258">
        <v>51.551656399999999</v>
      </c>
      <c r="D258">
        <v>0.1591774</v>
      </c>
      <c r="F258">
        <v>1</v>
      </c>
      <c r="G258" t="str">
        <f>IFERROR(VLOOKUP(B258, Churches!H:H, 1, FALSE), "")</f>
        <v/>
      </c>
    </row>
    <row r="259" spans="1:7" x14ac:dyDescent="0.25">
      <c r="A259" t="s">
        <v>914</v>
      </c>
      <c r="B259" t="s">
        <v>2114</v>
      </c>
      <c r="C259">
        <v>51.572997000000001</v>
      </c>
      <c r="D259">
        <v>0.14495820000000001</v>
      </c>
      <c r="F259">
        <v>1</v>
      </c>
      <c r="G259" t="str">
        <f>IFERROR(VLOOKUP(B259, Churches!H:H, 1, FALSE), "")</f>
        <v/>
      </c>
    </row>
    <row r="260" spans="1:7" x14ac:dyDescent="0.25">
      <c r="A260" t="s">
        <v>915</v>
      </c>
      <c r="B260" t="s">
        <v>2115</v>
      </c>
      <c r="C260">
        <v>51.420020200000003</v>
      </c>
      <c r="D260">
        <v>8.9157899999999998E-2</v>
      </c>
      <c r="F260">
        <v>1</v>
      </c>
      <c r="G260" t="str">
        <f>IFERROR(VLOOKUP(B260, Churches!H:H, 1, FALSE), "")</f>
        <v/>
      </c>
    </row>
    <row r="261" spans="1:7" x14ac:dyDescent="0.25">
      <c r="A261" t="s">
        <v>916</v>
      </c>
      <c r="B261" t="s">
        <v>2116</v>
      </c>
      <c r="C261">
        <v>51.614433699999999</v>
      </c>
      <c r="D261">
        <v>-0.1398208</v>
      </c>
      <c r="F261">
        <v>1</v>
      </c>
      <c r="G261" t="str">
        <f>IFERROR(VLOOKUP(B261, Churches!H:H, 1, FALSE), "")</f>
        <v/>
      </c>
    </row>
    <row r="262" spans="1:7" x14ac:dyDescent="0.25">
      <c r="A262" t="s">
        <v>917</v>
      </c>
      <c r="B262" t="s">
        <v>2117</v>
      </c>
      <c r="C262">
        <v>51.615372999999998</v>
      </c>
      <c r="D262">
        <v>-0.14145160000000001</v>
      </c>
      <c r="E262" t="s">
        <v>673</v>
      </c>
      <c r="F262">
        <v>1</v>
      </c>
      <c r="G262" t="str">
        <f>IFERROR(VLOOKUP(B262, Churches!H:H, 1, FALSE), "")</f>
        <v/>
      </c>
    </row>
    <row r="263" spans="1:7" x14ac:dyDescent="0.25">
      <c r="A263" t="s">
        <v>918</v>
      </c>
      <c r="B263" t="s">
        <v>2118</v>
      </c>
      <c r="C263">
        <v>51.528451599999997</v>
      </c>
      <c r="D263">
        <v>0.17598369999999999</v>
      </c>
      <c r="F263">
        <v>1</v>
      </c>
      <c r="G263" t="str">
        <f>IFERROR(VLOOKUP(B263, Churches!H:H, 1, FALSE), "")</f>
        <v/>
      </c>
    </row>
    <row r="264" spans="1:7" x14ac:dyDescent="0.25">
      <c r="A264" t="s">
        <v>919</v>
      </c>
      <c r="B264" t="s">
        <v>2119</v>
      </c>
      <c r="C264">
        <v>51.5530282</v>
      </c>
      <c r="D264">
        <v>0.2320035</v>
      </c>
      <c r="F264">
        <v>1</v>
      </c>
      <c r="G264" t="str">
        <f>IFERROR(VLOOKUP(B264, Churches!H:H, 1, FALSE), "")</f>
        <v/>
      </c>
    </row>
    <row r="265" spans="1:7" x14ac:dyDescent="0.25">
      <c r="A265" t="s">
        <v>920</v>
      </c>
      <c r="B265" t="s">
        <v>2120</v>
      </c>
      <c r="C265">
        <v>51.569381300000003</v>
      </c>
      <c r="D265">
        <v>0.21933540000000001</v>
      </c>
      <c r="F265">
        <v>1</v>
      </c>
      <c r="G265" t="str">
        <f>IFERROR(VLOOKUP(B265, Churches!H:H, 1, FALSE), "")</f>
        <v/>
      </c>
    </row>
    <row r="266" spans="1:7" x14ac:dyDescent="0.25">
      <c r="A266" t="s">
        <v>921</v>
      </c>
      <c r="B266" t="s">
        <v>2121</v>
      </c>
      <c r="C266">
        <v>51.572090500000002</v>
      </c>
      <c r="D266">
        <v>0.22443640000000001</v>
      </c>
      <c r="F266">
        <v>1</v>
      </c>
      <c r="G266" t="str">
        <f>IFERROR(VLOOKUP(B266, Churches!H:H, 1, FALSE), "")</f>
        <v/>
      </c>
    </row>
    <row r="267" spans="1:7" x14ac:dyDescent="0.25">
      <c r="A267" t="s">
        <v>922</v>
      </c>
      <c r="B267" t="s">
        <v>2122</v>
      </c>
      <c r="C267">
        <v>51.563282600000001</v>
      </c>
      <c r="D267">
        <v>0.21442120000000001</v>
      </c>
      <c r="F267">
        <v>1</v>
      </c>
      <c r="G267" t="str">
        <f>IFERROR(VLOOKUP(B267, Churches!H:H, 1, FALSE), "")</f>
        <v/>
      </c>
    </row>
    <row r="268" spans="1:7" x14ac:dyDescent="0.25">
      <c r="A268" t="s">
        <v>923</v>
      </c>
      <c r="B268" t="s">
        <v>2123</v>
      </c>
      <c r="C268">
        <v>51.575755000000001</v>
      </c>
      <c r="D268">
        <v>0.19483420000000001</v>
      </c>
      <c r="F268">
        <v>1</v>
      </c>
      <c r="G268" t="str">
        <f>IFERROR(VLOOKUP(B268, Churches!H:H, 1, FALSE), "")</f>
        <v/>
      </c>
    </row>
    <row r="269" spans="1:7" x14ac:dyDescent="0.25">
      <c r="A269" t="s">
        <v>924</v>
      </c>
      <c r="B269" t="s">
        <v>2124</v>
      </c>
      <c r="C269">
        <v>51.574145199999997</v>
      </c>
      <c r="D269">
        <v>0.19388810000000001</v>
      </c>
      <c r="F269">
        <v>1</v>
      </c>
      <c r="G269" t="str">
        <f>IFERROR(VLOOKUP(B269, Churches!H:H, 1, FALSE), "")</f>
        <v/>
      </c>
    </row>
    <row r="270" spans="1:7" x14ac:dyDescent="0.25">
      <c r="A270" t="s">
        <v>925</v>
      </c>
      <c r="B270" t="s">
        <v>2125</v>
      </c>
      <c r="C270">
        <v>51.573191999999999</v>
      </c>
      <c r="D270">
        <v>0.193906</v>
      </c>
      <c r="F270">
        <v>1</v>
      </c>
      <c r="G270" t="str">
        <f>IFERROR(VLOOKUP(B270, Churches!H:H, 1, FALSE), "")</f>
        <v/>
      </c>
    </row>
    <row r="271" spans="1:7" x14ac:dyDescent="0.25">
      <c r="A271" t="s">
        <v>926</v>
      </c>
      <c r="B271" t="s">
        <v>2126</v>
      </c>
      <c r="C271">
        <v>51.5771072</v>
      </c>
      <c r="D271">
        <v>0.19585179999999999</v>
      </c>
      <c r="F271">
        <v>1</v>
      </c>
      <c r="G271" t="str">
        <f>IFERROR(VLOOKUP(B271, Churches!H:H, 1, FALSE), "")</f>
        <v/>
      </c>
    </row>
    <row r="272" spans="1:7" x14ac:dyDescent="0.25">
      <c r="A272" t="s">
        <v>927</v>
      </c>
      <c r="B272" t="s">
        <v>2127</v>
      </c>
      <c r="C272">
        <v>51.576309500000001</v>
      </c>
      <c r="D272">
        <v>0.18591099999999999</v>
      </c>
      <c r="F272">
        <v>1</v>
      </c>
      <c r="G272" t="str">
        <f>IFERROR(VLOOKUP(B272, Churches!H:H, 1, FALSE), "")</f>
        <v/>
      </c>
    </row>
    <row r="273" spans="1:7" x14ac:dyDescent="0.25">
      <c r="A273" t="s">
        <v>928</v>
      </c>
      <c r="B273" t="s">
        <v>2128</v>
      </c>
      <c r="C273">
        <v>51.578322</v>
      </c>
      <c r="D273">
        <v>0.17765449999999999</v>
      </c>
      <c r="F273">
        <v>1</v>
      </c>
      <c r="G273" t="str">
        <f>IFERROR(VLOOKUP(B273, Churches!H:H, 1, FALSE), "")</f>
        <v/>
      </c>
    </row>
    <row r="274" spans="1:7" x14ac:dyDescent="0.25">
      <c r="A274" t="s">
        <v>929</v>
      </c>
      <c r="B274" t="s">
        <v>2129</v>
      </c>
      <c r="C274">
        <v>51.5809803</v>
      </c>
      <c r="D274">
        <v>0.18222240000000001</v>
      </c>
      <c r="F274">
        <v>1</v>
      </c>
      <c r="G274" t="str">
        <f>IFERROR(VLOOKUP(B274, Churches!H:H, 1, FALSE), "")</f>
        <v/>
      </c>
    </row>
    <row r="275" spans="1:7" x14ac:dyDescent="0.25">
      <c r="A275" t="s">
        <v>930</v>
      </c>
      <c r="B275" t="s">
        <v>2130</v>
      </c>
      <c r="C275">
        <v>51.590501799999998</v>
      </c>
      <c r="D275">
        <v>0.16613220000000001</v>
      </c>
      <c r="F275">
        <v>1</v>
      </c>
      <c r="G275" t="str">
        <f>IFERROR(VLOOKUP(B275, Churches!H:H, 1, FALSE), "")</f>
        <v/>
      </c>
    </row>
    <row r="276" spans="1:7" x14ac:dyDescent="0.25">
      <c r="A276" t="s">
        <v>931</v>
      </c>
      <c r="B276" t="s">
        <v>2131</v>
      </c>
      <c r="C276">
        <v>51.595678700000001</v>
      </c>
      <c r="D276">
        <v>0.17652999999999999</v>
      </c>
      <c r="F276">
        <v>1</v>
      </c>
      <c r="G276" t="str">
        <f>IFERROR(VLOOKUP(B276, Churches!H:H, 1, FALSE), "")</f>
        <v/>
      </c>
    </row>
    <row r="277" spans="1:7" x14ac:dyDescent="0.25">
      <c r="A277" t="s">
        <v>932</v>
      </c>
      <c r="B277" t="s">
        <v>2132</v>
      </c>
      <c r="C277">
        <v>51.576986699999999</v>
      </c>
      <c r="D277">
        <v>9.4854800000000003E-2</v>
      </c>
      <c r="F277">
        <v>1</v>
      </c>
      <c r="G277" t="str">
        <f>IFERROR(VLOOKUP(B277, Churches!H:H, 1, FALSE), "")</f>
        <v/>
      </c>
    </row>
    <row r="278" spans="1:7" x14ac:dyDescent="0.25">
      <c r="A278" t="s">
        <v>933</v>
      </c>
      <c r="B278" t="s">
        <v>2133</v>
      </c>
      <c r="C278">
        <v>51.575238200000001</v>
      </c>
      <c r="D278">
        <v>9.7988599999999995E-2</v>
      </c>
      <c r="F278">
        <v>1</v>
      </c>
      <c r="G278" t="str">
        <f>IFERROR(VLOOKUP(B278, Churches!H:H, 1, FALSE), "")</f>
        <v/>
      </c>
    </row>
    <row r="279" spans="1:7" x14ac:dyDescent="0.25">
      <c r="A279" t="s">
        <v>934</v>
      </c>
      <c r="B279" t="s">
        <v>2134</v>
      </c>
      <c r="C279">
        <v>51.570833499999999</v>
      </c>
      <c r="D279">
        <v>9.7314300000000006E-2</v>
      </c>
      <c r="F279">
        <v>1</v>
      </c>
      <c r="G279" t="str">
        <f>IFERROR(VLOOKUP(B279, Churches!H:H, 1, FALSE), "")</f>
        <v/>
      </c>
    </row>
    <row r="280" spans="1:7" x14ac:dyDescent="0.25">
      <c r="A280" t="s">
        <v>683</v>
      </c>
      <c r="B280" t="s">
        <v>2135</v>
      </c>
      <c r="C280">
        <v>51.535050300000002</v>
      </c>
      <c r="D280">
        <v>-0.45987610000000001</v>
      </c>
      <c r="E280" t="s">
        <v>673</v>
      </c>
      <c r="F280">
        <v>1</v>
      </c>
      <c r="G280" t="str">
        <f>IFERROR(VLOOKUP(B280, Churches!H:H, 1, FALSE), "")</f>
        <v/>
      </c>
    </row>
    <row r="281" spans="1:7" x14ac:dyDescent="0.25">
      <c r="A281" t="s">
        <v>935</v>
      </c>
      <c r="B281" t="s">
        <v>2136</v>
      </c>
      <c r="C281">
        <v>51.505255499999997</v>
      </c>
      <c r="D281">
        <v>-0.41959839999999998</v>
      </c>
      <c r="F281">
        <v>1</v>
      </c>
      <c r="G281" t="str">
        <f>IFERROR(VLOOKUP(B281, Churches!H:H, 1, FALSE), "")</f>
        <v/>
      </c>
    </row>
    <row r="282" spans="1:7" x14ac:dyDescent="0.25">
      <c r="A282" t="s">
        <v>936</v>
      </c>
      <c r="B282" t="s">
        <v>2137</v>
      </c>
      <c r="C282">
        <v>51.624644500000002</v>
      </c>
      <c r="D282">
        <v>-0.127997</v>
      </c>
      <c r="E282" t="s">
        <v>673</v>
      </c>
      <c r="F282">
        <v>1</v>
      </c>
      <c r="G282" t="str">
        <f>IFERROR(VLOOKUP(B282, Churches!H:H, 1, FALSE), "")</f>
        <v/>
      </c>
    </row>
    <row r="283" spans="1:7" x14ac:dyDescent="0.25">
      <c r="A283" t="s">
        <v>937</v>
      </c>
      <c r="B283" t="s">
        <v>2138</v>
      </c>
      <c r="C283">
        <v>51.586523300000003</v>
      </c>
      <c r="D283">
        <v>-0.13439499999999999</v>
      </c>
      <c r="E283" t="s">
        <v>673</v>
      </c>
      <c r="F283">
        <v>1</v>
      </c>
      <c r="G283" t="str">
        <f>IFERROR(VLOOKUP(B283, Churches!H:H, 1, FALSE), "")</f>
        <v/>
      </c>
    </row>
    <row r="284" spans="1:7" x14ac:dyDescent="0.25">
      <c r="A284" t="s">
        <v>938</v>
      </c>
      <c r="B284" t="s">
        <v>2139</v>
      </c>
      <c r="C284">
        <v>51.557006700000002</v>
      </c>
      <c r="D284">
        <v>4.4000000000000003E-3</v>
      </c>
      <c r="E284" t="s">
        <v>673</v>
      </c>
      <c r="F284">
        <v>1</v>
      </c>
      <c r="G284" t="str">
        <f>IFERROR(VLOOKUP(B284, Churches!H:H, 1, FALSE), "")</f>
        <v/>
      </c>
    </row>
    <row r="285" spans="1:7" x14ac:dyDescent="0.25">
      <c r="A285" t="s">
        <v>939</v>
      </c>
      <c r="B285" t="s">
        <v>2140</v>
      </c>
      <c r="C285">
        <v>51.5250755</v>
      </c>
      <c r="D285">
        <v>-5.27433E-2</v>
      </c>
      <c r="F285">
        <v>1</v>
      </c>
      <c r="G285" t="str">
        <f>IFERROR(VLOOKUP(B285, Churches!H:H, 1, FALSE), "")</f>
        <v/>
      </c>
    </row>
    <row r="286" spans="1:7" x14ac:dyDescent="0.25">
      <c r="A286" t="s">
        <v>940</v>
      </c>
      <c r="B286" t="s">
        <v>2141</v>
      </c>
      <c r="C286">
        <v>51.597626699999999</v>
      </c>
      <c r="D286">
        <v>-0.15129500000000001</v>
      </c>
      <c r="F286">
        <v>1</v>
      </c>
      <c r="G286" t="str">
        <f>IFERROR(VLOOKUP(B286, Churches!H:H, 1, FALSE), "")</f>
        <v/>
      </c>
    </row>
    <row r="287" spans="1:7" x14ac:dyDescent="0.25">
      <c r="A287" t="s">
        <v>941</v>
      </c>
      <c r="B287" t="s">
        <v>2142</v>
      </c>
      <c r="C287">
        <v>51.546635999999999</v>
      </c>
      <c r="D287">
        <v>-0.15243300000000001</v>
      </c>
      <c r="E287" t="s">
        <v>673</v>
      </c>
      <c r="F287">
        <v>1</v>
      </c>
      <c r="G287" t="str">
        <f>IFERROR(VLOOKUP(B287, Churches!H:H, 1, FALSE), "")</f>
        <v/>
      </c>
    </row>
    <row r="288" spans="1:7" x14ac:dyDescent="0.25">
      <c r="A288" t="s">
        <v>942</v>
      </c>
      <c r="B288" t="s">
        <v>2143</v>
      </c>
      <c r="C288">
        <v>51.611006799999998</v>
      </c>
      <c r="D288">
        <v>-1.7826999999999999E-2</v>
      </c>
      <c r="F288">
        <v>1</v>
      </c>
      <c r="G288" t="str">
        <f>IFERROR(VLOOKUP(B288, Churches!H:H, 1, FALSE), "")</f>
        <v/>
      </c>
    </row>
    <row r="289" spans="1:7" x14ac:dyDescent="0.25">
      <c r="A289" t="s">
        <v>943</v>
      </c>
      <c r="B289" t="s">
        <v>2144</v>
      </c>
      <c r="C289">
        <v>51.529601900000003</v>
      </c>
      <c r="D289">
        <v>-0.13069069999999999</v>
      </c>
      <c r="F289">
        <v>1</v>
      </c>
      <c r="G289" t="str">
        <f>IFERROR(VLOOKUP(B289, Churches!H:H, 1, FALSE), "")</f>
        <v/>
      </c>
    </row>
    <row r="290" spans="1:7" x14ac:dyDescent="0.25">
      <c r="A290" t="s">
        <v>944</v>
      </c>
      <c r="B290" t="s">
        <v>2145</v>
      </c>
      <c r="C290">
        <v>51.536090899999998</v>
      </c>
      <c r="D290">
        <v>-0.2461729</v>
      </c>
      <c r="F290">
        <v>1</v>
      </c>
      <c r="G290" t="str">
        <f>IFERROR(VLOOKUP(B290, Churches!H:H, 1, FALSE), "")</f>
        <v/>
      </c>
    </row>
    <row r="291" spans="1:7" x14ac:dyDescent="0.25">
      <c r="A291" t="s">
        <v>945</v>
      </c>
      <c r="B291" t="s">
        <v>2146</v>
      </c>
      <c r="C291">
        <v>51.422567700000002</v>
      </c>
      <c r="D291">
        <v>-9.6581E-2</v>
      </c>
      <c r="F291">
        <v>1</v>
      </c>
      <c r="G291" t="str">
        <f>IFERROR(VLOOKUP(B291, Churches!H:H, 1, FALSE), "")</f>
        <v/>
      </c>
    </row>
    <row r="292" spans="1:7" x14ac:dyDescent="0.25">
      <c r="A292" t="s">
        <v>946</v>
      </c>
      <c r="B292" t="s">
        <v>2147</v>
      </c>
      <c r="C292">
        <v>51.489912799999999</v>
      </c>
      <c r="D292">
        <v>-5.0281300000000001E-2</v>
      </c>
      <c r="E292" t="s">
        <v>673</v>
      </c>
      <c r="F292">
        <v>1</v>
      </c>
      <c r="G292" t="str">
        <f>IFERROR(VLOOKUP(B292, Churches!H:H, 1, FALSE), "")</f>
        <v/>
      </c>
    </row>
    <row r="293" spans="1:7" x14ac:dyDescent="0.25">
      <c r="A293" t="s">
        <v>947</v>
      </c>
      <c r="B293" t="s">
        <v>2148</v>
      </c>
      <c r="C293">
        <v>51.487073700000003</v>
      </c>
      <c r="D293">
        <v>8.1243999999999997E-2</v>
      </c>
      <c r="E293" t="s">
        <v>673</v>
      </c>
      <c r="F293">
        <v>1</v>
      </c>
      <c r="G293" t="str">
        <f>IFERROR(VLOOKUP(B293, Churches!H:H, 1, FALSE), "")</f>
        <v/>
      </c>
    </row>
    <row r="294" spans="1:7" x14ac:dyDescent="0.25">
      <c r="A294" t="s">
        <v>948</v>
      </c>
      <c r="B294" t="s">
        <v>2149</v>
      </c>
      <c r="C294">
        <v>51.477122999999999</v>
      </c>
      <c r="D294">
        <v>6.4705499999999999E-2</v>
      </c>
      <c r="F294">
        <v>1</v>
      </c>
      <c r="G294" t="str">
        <f>IFERROR(VLOOKUP(B294, Churches!H:H, 1, FALSE), "")</f>
        <v/>
      </c>
    </row>
    <row r="295" spans="1:7" x14ac:dyDescent="0.25">
      <c r="A295" t="s">
        <v>949</v>
      </c>
      <c r="B295" t="s">
        <v>2150</v>
      </c>
      <c r="C295">
        <v>51.476465300000001</v>
      </c>
      <c r="D295">
        <v>9.0506199999999995E-2</v>
      </c>
      <c r="F295">
        <v>1</v>
      </c>
      <c r="G295" t="str">
        <f>IFERROR(VLOOKUP(B295, Churches!H:H, 1, FALSE), "")</f>
        <v/>
      </c>
    </row>
    <row r="296" spans="1:7" x14ac:dyDescent="0.25">
      <c r="A296" t="s">
        <v>950</v>
      </c>
      <c r="B296" t="s">
        <v>2151</v>
      </c>
      <c r="C296">
        <v>51.486921600000002</v>
      </c>
      <c r="D296">
        <v>2.7009999999999999E-2</v>
      </c>
      <c r="F296">
        <v>1</v>
      </c>
      <c r="G296" t="str">
        <f>IFERROR(VLOOKUP(B296, Churches!H:H, 1, FALSE), "")</f>
        <v/>
      </c>
    </row>
    <row r="297" spans="1:7" x14ac:dyDescent="0.25">
      <c r="A297" t="s">
        <v>786</v>
      </c>
      <c r="B297" t="s">
        <v>2152</v>
      </c>
      <c r="C297">
        <v>51.489725800000002</v>
      </c>
      <c r="D297">
        <v>0.1181352</v>
      </c>
      <c r="F297">
        <v>1</v>
      </c>
      <c r="G297" t="str">
        <f>IFERROR(VLOOKUP(B297, Churches!H:H, 1, FALSE), "")</f>
        <v/>
      </c>
    </row>
    <row r="298" spans="1:7" x14ac:dyDescent="0.25">
      <c r="A298" t="s">
        <v>951</v>
      </c>
      <c r="B298" t="s">
        <v>2153</v>
      </c>
      <c r="C298">
        <v>51.4910602</v>
      </c>
      <c r="D298">
        <v>0.14536979999999999</v>
      </c>
      <c r="E298" t="s">
        <v>673</v>
      </c>
      <c r="F298">
        <v>1</v>
      </c>
      <c r="G298" t="str">
        <f>IFERROR(VLOOKUP(B298, Churches!H:H, 1, FALSE), "")</f>
        <v/>
      </c>
    </row>
    <row r="299" spans="1:7" x14ac:dyDescent="0.25">
      <c r="A299" t="s">
        <v>952</v>
      </c>
      <c r="B299" t="s">
        <v>2154</v>
      </c>
      <c r="C299">
        <v>51.4863505</v>
      </c>
      <c r="D299">
        <v>0.14895910000000001</v>
      </c>
      <c r="F299">
        <v>1</v>
      </c>
      <c r="G299" t="str">
        <f>IFERROR(VLOOKUP(B299, Churches!H:H, 1, FALSE), "")</f>
        <v/>
      </c>
    </row>
    <row r="300" spans="1:7" x14ac:dyDescent="0.25">
      <c r="A300" t="s">
        <v>953</v>
      </c>
      <c r="B300" t="s">
        <v>2155</v>
      </c>
      <c r="C300">
        <v>51.514035</v>
      </c>
      <c r="D300">
        <v>-0.24982370000000001</v>
      </c>
      <c r="F300">
        <v>1</v>
      </c>
      <c r="G300" t="str">
        <f>IFERROR(VLOOKUP(B300, Churches!H:H, 1, FALSE), "")</f>
        <v/>
      </c>
    </row>
    <row r="301" spans="1:7" x14ac:dyDescent="0.25">
      <c r="A301" t="s">
        <v>954</v>
      </c>
      <c r="B301" t="s">
        <v>2156</v>
      </c>
      <c r="C301">
        <v>51.528470900000002</v>
      </c>
      <c r="D301">
        <v>-4.98609E-2</v>
      </c>
      <c r="F301">
        <v>1</v>
      </c>
      <c r="G301" t="str">
        <f>IFERROR(VLOOKUP(B301, Churches!H:H, 1, FALSE), "")</f>
        <v/>
      </c>
    </row>
    <row r="302" spans="1:7" x14ac:dyDescent="0.25">
      <c r="A302" t="s">
        <v>955</v>
      </c>
      <c r="B302" t="s">
        <v>2157</v>
      </c>
      <c r="C302">
        <v>51.565326399999996</v>
      </c>
      <c r="D302">
        <v>-5.4583100000000002E-2</v>
      </c>
      <c r="E302" t="s">
        <v>673</v>
      </c>
      <c r="F302">
        <v>1</v>
      </c>
      <c r="G302" t="str">
        <f>IFERROR(VLOOKUP(B302, Churches!H:H, 1, FALSE), "")</f>
        <v/>
      </c>
    </row>
    <row r="303" spans="1:7" x14ac:dyDescent="0.25">
      <c r="A303" t="s">
        <v>956</v>
      </c>
      <c r="B303" t="s">
        <v>2158</v>
      </c>
      <c r="C303">
        <v>51.492366599999997</v>
      </c>
      <c r="D303">
        <v>-0.18759120000000001</v>
      </c>
      <c r="F303">
        <v>1</v>
      </c>
      <c r="G303" t="str">
        <f>IFERROR(VLOOKUP(B303, Churches!H:H, 1, FALSE), "")</f>
        <v/>
      </c>
    </row>
    <row r="304" spans="1:7" x14ac:dyDescent="0.25">
      <c r="A304" t="s">
        <v>957</v>
      </c>
      <c r="B304" t="s">
        <v>2159</v>
      </c>
      <c r="C304">
        <v>51.542003999999999</v>
      </c>
      <c r="D304">
        <v>-0.15732070000000001</v>
      </c>
      <c r="F304">
        <v>1</v>
      </c>
      <c r="G304" t="str">
        <f>IFERROR(VLOOKUP(B304, Churches!H:H, 1, FALSE), "")</f>
        <v/>
      </c>
    </row>
    <row r="305" spans="1:7" x14ac:dyDescent="0.25">
      <c r="A305" t="s">
        <v>958</v>
      </c>
      <c r="B305" t="s">
        <v>2160</v>
      </c>
      <c r="C305">
        <v>51.431700200000002</v>
      </c>
      <c r="D305">
        <v>-0.16265279999999999</v>
      </c>
      <c r="F305">
        <v>1</v>
      </c>
      <c r="G305" t="str">
        <f>IFERROR(VLOOKUP(B305, Churches!H:H, 1, FALSE), "")</f>
        <v/>
      </c>
    </row>
    <row r="306" spans="1:7" x14ac:dyDescent="0.25">
      <c r="A306" t="s">
        <v>959</v>
      </c>
      <c r="B306" t="s">
        <v>2161</v>
      </c>
      <c r="C306">
        <v>51.591745899999999</v>
      </c>
      <c r="D306">
        <v>-0.3808724</v>
      </c>
      <c r="F306">
        <v>1</v>
      </c>
      <c r="G306" t="str">
        <f>IFERROR(VLOOKUP(B306, Churches!H:H, 1, FALSE), "")</f>
        <v/>
      </c>
    </row>
    <row r="307" spans="1:7" x14ac:dyDescent="0.25">
      <c r="A307" t="s">
        <v>960</v>
      </c>
      <c r="B307" t="s">
        <v>2162</v>
      </c>
      <c r="C307">
        <v>51.643930500000003</v>
      </c>
      <c r="D307">
        <v>-0.13193189999999999</v>
      </c>
      <c r="F307">
        <v>1</v>
      </c>
      <c r="G307" t="str">
        <f>IFERROR(VLOOKUP(B307, Churches!H:H, 1, FALSE), "")</f>
        <v/>
      </c>
    </row>
    <row r="308" spans="1:7" x14ac:dyDescent="0.25">
      <c r="A308" t="s">
        <v>961</v>
      </c>
      <c r="B308" t="s">
        <v>2163</v>
      </c>
      <c r="C308">
        <v>51.455252100000003</v>
      </c>
      <c r="D308">
        <v>1.8615799999999998E-2</v>
      </c>
      <c r="E308" t="s">
        <v>673</v>
      </c>
      <c r="F308">
        <v>1</v>
      </c>
      <c r="G308" t="str">
        <f>IFERROR(VLOOKUP(B308, Churches!H:H, 1, FALSE), "")</f>
        <v/>
      </c>
    </row>
    <row r="309" spans="1:7" x14ac:dyDescent="0.25">
      <c r="A309" t="s">
        <v>676</v>
      </c>
      <c r="B309" t="s">
        <v>2164</v>
      </c>
      <c r="C309">
        <v>51.500488099999998</v>
      </c>
      <c r="D309">
        <v>-3.4695900000000002E-2</v>
      </c>
      <c r="E309" t="s">
        <v>673</v>
      </c>
      <c r="F309">
        <v>1</v>
      </c>
      <c r="G309" t="str">
        <f>IFERROR(VLOOKUP(B309, Churches!H:H, 1, FALSE), "")</f>
        <v/>
      </c>
    </row>
    <row r="310" spans="1:7" x14ac:dyDescent="0.25">
      <c r="A310" t="s">
        <v>962</v>
      </c>
      <c r="B310" t="s">
        <v>2165</v>
      </c>
      <c r="C310">
        <v>51.5005101</v>
      </c>
      <c r="D310">
        <v>-0.21496129999999999</v>
      </c>
      <c r="E310" t="s">
        <v>673</v>
      </c>
      <c r="F310">
        <v>1</v>
      </c>
      <c r="G310" t="str">
        <f>IFERROR(VLOOKUP(B310, Churches!H:H, 1, FALSE), "")</f>
        <v/>
      </c>
    </row>
    <row r="311" spans="1:7" x14ac:dyDescent="0.25">
      <c r="A311" t="s">
        <v>963</v>
      </c>
      <c r="B311" t="s">
        <v>2166</v>
      </c>
      <c r="C311">
        <v>51.4743651</v>
      </c>
      <c r="D311">
        <v>-3.5660400000000002E-2</v>
      </c>
      <c r="F311">
        <v>1</v>
      </c>
      <c r="G311" t="str">
        <f>IFERROR(VLOOKUP(B311, Churches!H:H, 1, FALSE), "")</f>
        <v/>
      </c>
    </row>
    <row r="312" spans="1:7" x14ac:dyDescent="0.25">
      <c r="A312" t="s">
        <v>964</v>
      </c>
      <c r="B312" t="s">
        <v>2166</v>
      </c>
      <c r="C312">
        <v>51.474893399999999</v>
      </c>
      <c r="D312">
        <v>-3.5600399999999997E-2</v>
      </c>
      <c r="F312">
        <v>1</v>
      </c>
      <c r="G312" t="str">
        <f>IFERROR(VLOOKUP(B312, Churches!H:H, 1, FALSE), "")</f>
        <v/>
      </c>
    </row>
    <row r="313" spans="1:7" x14ac:dyDescent="0.25">
      <c r="A313" t="s">
        <v>965</v>
      </c>
      <c r="B313" t="s">
        <v>2167</v>
      </c>
      <c r="C313">
        <v>51.473939399999999</v>
      </c>
      <c r="D313">
        <v>-3.5399800000000002E-2</v>
      </c>
      <c r="F313">
        <v>1</v>
      </c>
      <c r="G313" t="str">
        <f>IFERROR(VLOOKUP(B313, Churches!H:H, 1, FALSE), "")</f>
        <v/>
      </c>
    </row>
    <row r="314" spans="1:7" x14ac:dyDescent="0.25">
      <c r="A314" t="s">
        <v>966</v>
      </c>
      <c r="B314" t="s">
        <v>2168</v>
      </c>
      <c r="C314">
        <v>51.645970699999999</v>
      </c>
      <c r="D314">
        <v>-4.7033100000000001E-2</v>
      </c>
      <c r="F314">
        <v>1</v>
      </c>
      <c r="G314" t="str">
        <f>IFERROR(VLOOKUP(B314, Churches!H:H, 1, FALSE), "")</f>
        <v/>
      </c>
    </row>
    <row r="315" spans="1:7" x14ac:dyDescent="0.25">
      <c r="A315" t="s">
        <v>880</v>
      </c>
      <c r="B315" t="s">
        <v>2169</v>
      </c>
      <c r="C315">
        <v>51.479317999999999</v>
      </c>
      <c r="D315">
        <v>-9.3923900000000005E-2</v>
      </c>
      <c r="F315">
        <v>1</v>
      </c>
      <c r="G315" t="str">
        <f>IFERROR(VLOOKUP(B315, Churches!H:H, 1, FALSE), "")</f>
        <v/>
      </c>
    </row>
    <row r="316" spans="1:7" x14ac:dyDescent="0.25">
      <c r="A316" t="s">
        <v>967</v>
      </c>
      <c r="B316" t="s">
        <v>2170</v>
      </c>
      <c r="C316">
        <v>51.591990299999999</v>
      </c>
      <c r="D316">
        <v>-0.33213819999999999</v>
      </c>
      <c r="F316">
        <v>1</v>
      </c>
      <c r="G316" t="str">
        <f>IFERROR(VLOOKUP(B316, Churches!H:H, 1, FALSE), "")</f>
        <v/>
      </c>
    </row>
    <row r="317" spans="1:7" x14ac:dyDescent="0.25">
      <c r="A317" t="s">
        <v>968</v>
      </c>
      <c r="B317" t="s">
        <v>2171</v>
      </c>
      <c r="C317">
        <v>51.584905300000003</v>
      </c>
      <c r="D317">
        <v>-0.33253110000000002</v>
      </c>
      <c r="F317">
        <v>1</v>
      </c>
      <c r="G317" t="str">
        <f>IFERROR(VLOOKUP(B317, Churches!H:H, 1, FALSE), "")</f>
        <v/>
      </c>
    </row>
    <row r="318" spans="1:7" x14ac:dyDescent="0.25">
      <c r="A318" t="s">
        <v>877</v>
      </c>
      <c r="B318" t="s">
        <v>2172</v>
      </c>
      <c r="C318">
        <v>51.661098899999999</v>
      </c>
      <c r="D318">
        <v>-8.7324299999999994E-2</v>
      </c>
      <c r="E318" t="s">
        <v>673</v>
      </c>
      <c r="F318">
        <v>1</v>
      </c>
      <c r="G318" t="str">
        <f>IFERROR(VLOOKUP(B318, Churches!H:H, 1, FALSE), "")</f>
        <v/>
      </c>
    </row>
    <row r="319" spans="1:7" x14ac:dyDescent="0.25">
      <c r="A319" t="s">
        <v>969</v>
      </c>
      <c r="B319" t="s">
        <v>2173</v>
      </c>
      <c r="C319">
        <v>51.498433200000001</v>
      </c>
      <c r="D319">
        <v>-1.00917E-2</v>
      </c>
      <c r="F319">
        <v>1</v>
      </c>
      <c r="G319" t="str">
        <f>IFERROR(VLOOKUP(B319, Churches!H:H, 1, FALSE), "")</f>
        <v/>
      </c>
    </row>
    <row r="320" spans="1:7" x14ac:dyDescent="0.25">
      <c r="A320" t="s">
        <v>970</v>
      </c>
      <c r="B320" t="s">
        <v>2174</v>
      </c>
      <c r="C320">
        <v>51.5101394</v>
      </c>
      <c r="D320">
        <v>-2.8361299999999999E-2</v>
      </c>
      <c r="F320">
        <v>1</v>
      </c>
      <c r="G320" t="str">
        <f>IFERROR(VLOOKUP(B320, Churches!H:H, 1, FALSE), "")</f>
        <v/>
      </c>
    </row>
    <row r="321" spans="1:7" x14ac:dyDescent="0.25">
      <c r="A321" t="s">
        <v>971</v>
      </c>
      <c r="B321" t="s">
        <v>2175</v>
      </c>
      <c r="C321">
        <v>51.5274395</v>
      </c>
      <c r="D321">
        <v>-2.12824E-2</v>
      </c>
      <c r="F321">
        <v>1</v>
      </c>
      <c r="G321" t="str">
        <f>IFERROR(VLOOKUP(B321, Churches!H:H, 1, FALSE), "")</f>
        <v/>
      </c>
    </row>
    <row r="322" spans="1:7" x14ac:dyDescent="0.25">
      <c r="A322" t="s">
        <v>972</v>
      </c>
      <c r="B322" t="s">
        <v>2176</v>
      </c>
      <c r="C322">
        <v>51.565406500000002</v>
      </c>
      <c r="D322">
        <v>-0.37339660000000002</v>
      </c>
      <c r="E322" t="s">
        <v>673</v>
      </c>
      <c r="F322">
        <v>1</v>
      </c>
      <c r="G322" t="str">
        <f>IFERROR(VLOOKUP(B322, Churches!H:H, 1, FALSE), "")</f>
        <v/>
      </c>
    </row>
    <row r="323" spans="1:7" x14ac:dyDescent="0.25">
      <c r="A323" t="s">
        <v>973</v>
      </c>
      <c r="B323" t="s">
        <v>2177</v>
      </c>
      <c r="C323">
        <v>51.550422900000001</v>
      </c>
      <c r="D323">
        <v>-0.33109050000000001</v>
      </c>
      <c r="F323">
        <v>1</v>
      </c>
      <c r="G323" t="str">
        <f>IFERROR(VLOOKUP(B323, Churches!H:H, 1, FALSE), "")</f>
        <v/>
      </c>
    </row>
    <row r="324" spans="1:7" x14ac:dyDescent="0.25">
      <c r="A324" t="s">
        <v>974</v>
      </c>
      <c r="B324" t="s">
        <v>2178</v>
      </c>
      <c r="C324">
        <v>51.578124299999999</v>
      </c>
      <c r="D324">
        <v>8.8236200000000001E-2</v>
      </c>
      <c r="F324">
        <v>1</v>
      </c>
      <c r="G324" t="str">
        <f>IFERROR(VLOOKUP(B324, Churches!H:H, 1, FALSE), "")</f>
        <v/>
      </c>
    </row>
    <row r="325" spans="1:7" x14ac:dyDescent="0.25">
      <c r="A325" t="s">
        <v>975</v>
      </c>
      <c r="B325" t="s">
        <v>2179</v>
      </c>
      <c r="C325">
        <v>51.568516700000004</v>
      </c>
      <c r="D325">
        <v>8.1824599999999997E-2</v>
      </c>
      <c r="E325" t="s">
        <v>673</v>
      </c>
      <c r="F325">
        <v>1</v>
      </c>
      <c r="G325" t="str">
        <f>IFERROR(VLOOKUP(B325, Churches!H:H, 1, FALSE), "")</f>
        <v/>
      </c>
    </row>
    <row r="326" spans="1:7" x14ac:dyDescent="0.25">
      <c r="A326" t="s">
        <v>976</v>
      </c>
      <c r="B326" t="s">
        <v>2180</v>
      </c>
      <c r="C326">
        <v>51.389512199999999</v>
      </c>
      <c r="D326">
        <v>8.2408099999999998E-2</v>
      </c>
      <c r="E326" t="s">
        <v>673</v>
      </c>
      <c r="F326">
        <v>1</v>
      </c>
      <c r="G326" t="str">
        <f>IFERROR(VLOOKUP(B326, Churches!H:H, 1, FALSE), "")</f>
        <v/>
      </c>
    </row>
    <row r="327" spans="1:7" x14ac:dyDescent="0.25">
      <c r="A327" t="s">
        <v>977</v>
      </c>
      <c r="B327" t="s">
        <v>2181</v>
      </c>
      <c r="C327">
        <v>51.481183999999999</v>
      </c>
      <c r="D327">
        <v>1.8990400000000001E-2</v>
      </c>
      <c r="E327" t="s">
        <v>673</v>
      </c>
      <c r="F327">
        <v>1</v>
      </c>
      <c r="G327" t="str">
        <f>IFERROR(VLOOKUP(B327, Churches!H:H, 1, FALSE), "")</f>
        <v/>
      </c>
    </row>
    <row r="328" spans="1:7" x14ac:dyDescent="0.25">
      <c r="A328" t="s">
        <v>978</v>
      </c>
      <c r="B328" t="s">
        <v>2182</v>
      </c>
      <c r="C328">
        <v>51.579932300000003</v>
      </c>
      <c r="D328">
        <v>-0.31613609999999998</v>
      </c>
      <c r="F328">
        <v>1</v>
      </c>
      <c r="G328" t="str">
        <f>IFERROR(VLOOKUP(B328, Churches!H:H, 1, FALSE), "")</f>
        <v/>
      </c>
    </row>
    <row r="329" spans="1:7" x14ac:dyDescent="0.25">
      <c r="A329" t="s">
        <v>979</v>
      </c>
      <c r="B329" t="s">
        <v>2183</v>
      </c>
      <c r="C329">
        <v>51.448746700000001</v>
      </c>
      <c r="D329">
        <v>-0.1240323</v>
      </c>
      <c r="F329">
        <v>1</v>
      </c>
      <c r="G329" t="str">
        <f>IFERROR(VLOOKUP(B329, Churches!H:H, 1, FALSE), "")</f>
        <v/>
      </c>
    </row>
    <row r="330" spans="1:7" x14ac:dyDescent="0.25">
      <c r="A330" t="s">
        <v>980</v>
      </c>
      <c r="B330" t="s">
        <v>2184</v>
      </c>
      <c r="C330">
        <v>51.525939100000002</v>
      </c>
      <c r="D330">
        <v>4.8611000000000001E-2</v>
      </c>
      <c r="E330" t="s">
        <v>673</v>
      </c>
      <c r="F330">
        <v>1</v>
      </c>
      <c r="G330" t="str">
        <f>IFERROR(VLOOKUP(B330, Churches!H:H, 1, FALSE), "")</f>
        <v/>
      </c>
    </row>
    <row r="331" spans="1:7" x14ac:dyDescent="0.25">
      <c r="A331" t="s">
        <v>981</v>
      </c>
      <c r="B331" t="s">
        <v>2185</v>
      </c>
      <c r="C331">
        <v>51.378366100000001</v>
      </c>
      <c r="D331">
        <v>1.8082999999999998E-2</v>
      </c>
      <c r="E331" t="s">
        <v>673</v>
      </c>
      <c r="F331">
        <v>1</v>
      </c>
      <c r="G331" t="str">
        <f>IFERROR(VLOOKUP(B331, Churches!H:H, 1, FALSE), "")</f>
        <v/>
      </c>
    </row>
    <row r="332" spans="1:7" x14ac:dyDescent="0.25">
      <c r="A332" t="s">
        <v>982</v>
      </c>
      <c r="B332" t="s">
        <v>2186</v>
      </c>
      <c r="C332">
        <v>51.473754100000001</v>
      </c>
      <c r="D332">
        <v>-6.7741200000000001E-2</v>
      </c>
      <c r="F332">
        <v>1</v>
      </c>
      <c r="G332" t="str">
        <f>IFERROR(VLOOKUP(B332, Churches!H:H, 1, FALSE), "")</f>
        <v/>
      </c>
    </row>
    <row r="333" spans="1:7" x14ac:dyDescent="0.25">
      <c r="A333" t="s">
        <v>983</v>
      </c>
      <c r="B333" t="s">
        <v>2187</v>
      </c>
      <c r="C333">
        <v>51.551539699999999</v>
      </c>
      <c r="D333">
        <v>-5.5517499999999997E-2</v>
      </c>
      <c r="F333">
        <v>1</v>
      </c>
      <c r="G333" t="str">
        <f>IFERROR(VLOOKUP(B333, Churches!H:H, 1, FALSE), "")</f>
        <v/>
      </c>
    </row>
    <row r="334" spans="1:7" x14ac:dyDescent="0.25">
      <c r="A334" t="s">
        <v>984</v>
      </c>
      <c r="B334" t="s">
        <v>2188</v>
      </c>
      <c r="C334">
        <v>51.473967399999999</v>
      </c>
      <c r="D334">
        <v>-0.11304210000000001</v>
      </c>
      <c r="F334">
        <v>1</v>
      </c>
      <c r="G334" t="str">
        <f>IFERROR(VLOOKUP(B334, Churches!H:H, 1, FALSE), "")</f>
        <v/>
      </c>
    </row>
    <row r="335" spans="1:7" x14ac:dyDescent="0.25">
      <c r="A335" t="s">
        <v>985</v>
      </c>
      <c r="B335" t="s">
        <v>2189</v>
      </c>
      <c r="C335">
        <v>51.658282499999999</v>
      </c>
      <c r="D335">
        <v>-0.2012285</v>
      </c>
      <c r="F335">
        <v>1</v>
      </c>
      <c r="G335" t="str">
        <f>IFERROR(VLOOKUP(B335, Churches!H:H, 1, FALSE), "")</f>
        <v/>
      </c>
    </row>
    <row r="336" spans="1:7" x14ac:dyDescent="0.25">
      <c r="A336" t="s">
        <v>986</v>
      </c>
      <c r="B336" t="s">
        <v>2190</v>
      </c>
      <c r="C336">
        <v>51.522870300000001</v>
      </c>
      <c r="D336">
        <v>-1.46564E-2</v>
      </c>
      <c r="F336">
        <v>1</v>
      </c>
      <c r="G336" t="str">
        <f>IFERROR(VLOOKUP(B336, Churches!H:H, 1, FALSE), "")</f>
        <v/>
      </c>
    </row>
    <row r="337" spans="1:7" x14ac:dyDescent="0.25">
      <c r="A337" t="s">
        <v>987</v>
      </c>
      <c r="B337" t="s">
        <v>2191</v>
      </c>
      <c r="C337">
        <v>51.536668200000001</v>
      </c>
      <c r="D337">
        <v>7.8259400000000007E-2</v>
      </c>
      <c r="F337">
        <v>1</v>
      </c>
      <c r="G337" t="str">
        <f>IFERROR(VLOOKUP(B337, Churches!H:H, 1, FALSE), "")</f>
        <v/>
      </c>
    </row>
    <row r="338" spans="1:7" x14ac:dyDescent="0.25">
      <c r="A338" t="s">
        <v>988</v>
      </c>
      <c r="B338" t="s">
        <v>2192</v>
      </c>
      <c r="C338">
        <v>51.5404774</v>
      </c>
      <c r="D338">
        <v>8.3118399999999995E-2</v>
      </c>
      <c r="F338">
        <v>1</v>
      </c>
      <c r="G338" t="str">
        <f>IFERROR(VLOOKUP(B338, Churches!H:H, 1, FALSE), "")</f>
        <v/>
      </c>
    </row>
    <row r="339" spans="1:7" x14ac:dyDescent="0.25">
      <c r="A339" t="s">
        <v>989</v>
      </c>
      <c r="B339" t="s">
        <v>2193</v>
      </c>
      <c r="C339">
        <v>51.520919399999997</v>
      </c>
      <c r="D339">
        <v>-0.3779111</v>
      </c>
      <c r="F339">
        <v>1</v>
      </c>
      <c r="G339" t="str">
        <f>IFERROR(VLOOKUP(B339, Churches!H:H, 1, FALSE), "")</f>
        <v/>
      </c>
    </row>
    <row r="340" spans="1:7" x14ac:dyDescent="0.25">
      <c r="A340" t="s">
        <v>990</v>
      </c>
      <c r="B340" t="s">
        <v>2194</v>
      </c>
      <c r="C340">
        <v>51.588704999999997</v>
      </c>
      <c r="D340">
        <v>-8.3006999999999997E-2</v>
      </c>
      <c r="F340">
        <v>1</v>
      </c>
      <c r="G340" t="str">
        <f>IFERROR(VLOOKUP(B340, Churches!H:H, 1, FALSE), "")</f>
        <v/>
      </c>
    </row>
    <row r="341" spans="1:7" x14ac:dyDescent="0.25">
      <c r="A341" t="s">
        <v>991</v>
      </c>
      <c r="B341" t="s">
        <v>2195</v>
      </c>
      <c r="C341">
        <v>51.423364800000002</v>
      </c>
      <c r="D341">
        <v>-0.1891293</v>
      </c>
      <c r="F341">
        <v>1</v>
      </c>
      <c r="G341" t="str">
        <f>IFERROR(VLOOKUP(B341, Churches!H:H, 1, FALSE), "")</f>
        <v/>
      </c>
    </row>
    <row r="342" spans="1:7" x14ac:dyDescent="0.25">
      <c r="A342" t="s">
        <v>992</v>
      </c>
      <c r="B342" t="s">
        <v>2196</v>
      </c>
      <c r="C342">
        <v>51.533859700000001</v>
      </c>
      <c r="D342">
        <v>2.4635500000000001E-2</v>
      </c>
      <c r="F342">
        <v>1</v>
      </c>
      <c r="G342" t="str">
        <f>IFERROR(VLOOKUP(B342, Churches!H:H, 1, FALSE), "")</f>
        <v/>
      </c>
    </row>
    <row r="343" spans="1:7" x14ac:dyDescent="0.25">
      <c r="A343" t="s">
        <v>993</v>
      </c>
      <c r="B343" t="s">
        <v>2197</v>
      </c>
      <c r="C343">
        <v>51.643563</v>
      </c>
      <c r="D343">
        <v>-4.3104400000000001E-2</v>
      </c>
      <c r="E343" t="s">
        <v>673</v>
      </c>
      <c r="F343">
        <v>1</v>
      </c>
      <c r="G343" t="str">
        <f>IFERROR(VLOOKUP(B343, Churches!H:H, 1, FALSE), "")</f>
        <v/>
      </c>
    </row>
    <row r="344" spans="1:7" x14ac:dyDescent="0.25">
      <c r="A344" t="s">
        <v>994</v>
      </c>
      <c r="B344" t="s">
        <v>2198</v>
      </c>
      <c r="C344">
        <v>51.542796000000003</v>
      </c>
      <c r="D344">
        <v>-0.26990399999999998</v>
      </c>
      <c r="F344">
        <v>1</v>
      </c>
      <c r="G344" t="str">
        <f>IFERROR(VLOOKUP(B344, Churches!H:H, 1, FALSE), "")</f>
        <v/>
      </c>
    </row>
    <row r="345" spans="1:7" x14ac:dyDescent="0.25">
      <c r="A345" t="s">
        <v>995</v>
      </c>
      <c r="B345" t="s">
        <v>2199</v>
      </c>
      <c r="C345">
        <v>51.504348</v>
      </c>
      <c r="D345">
        <v>-1.41745E-2</v>
      </c>
      <c r="F345">
        <v>1</v>
      </c>
      <c r="G345" t="str">
        <f>IFERROR(VLOOKUP(B345, Churches!H:H, 1, FALSE), "")</f>
        <v/>
      </c>
    </row>
    <row r="346" spans="1:7" x14ac:dyDescent="0.25">
      <c r="A346" t="s">
        <v>996</v>
      </c>
      <c r="B346" t="s">
        <v>2200</v>
      </c>
      <c r="C346">
        <v>51.532991000000003</v>
      </c>
      <c r="D346">
        <v>-0.19813829999999999</v>
      </c>
      <c r="F346">
        <v>1</v>
      </c>
      <c r="G346" t="str">
        <f>IFERROR(VLOOKUP(B346, Churches!H:H, 1, FALSE), "")</f>
        <v/>
      </c>
    </row>
    <row r="347" spans="1:7" x14ac:dyDescent="0.25">
      <c r="A347" t="s">
        <v>997</v>
      </c>
      <c r="B347" t="s">
        <v>2201</v>
      </c>
      <c r="C347">
        <v>51.476693599999997</v>
      </c>
      <c r="D347">
        <v>-0.20305690000000001</v>
      </c>
      <c r="F347">
        <v>1</v>
      </c>
      <c r="G347" t="str">
        <f>IFERROR(VLOOKUP(B347, Churches!H:H, 1, FALSE), "")</f>
        <v/>
      </c>
    </row>
    <row r="348" spans="1:7" x14ac:dyDescent="0.25">
      <c r="A348" t="s">
        <v>998</v>
      </c>
      <c r="B348" t="s">
        <v>2202</v>
      </c>
      <c r="C348">
        <v>51.5142168</v>
      </c>
      <c r="D348">
        <v>-0.12534480000000001</v>
      </c>
      <c r="F348">
        <v>1</v>
      </c>
      <c r="G348" t="str">
        <f>IFERROR(VLOOKUP(B348, Churches!H:H, 1, FALSE), "")</f>
        <v/>
      </c>
    </row>
    <row r="349" spans="1:7" x14ac:dyDescent="0.25">
      <c r="A349" t="s">
        <v>999</v>
      </c>
      <c r="B349" t="s">
        <v>2203</v>
      </c>
      <c r="C349">
        <v>51.5639623</v>
      </c>
      <c r="D349">
        <v>-0.11842759999999999</v>
      </c>
      <c r="F349">
        <v>1</v>
      </c>
      <c r="G349" t="str">
        <f>IFERROR(VLOOKUP(B349, Churches!H:H, 1, FALSE), "")</f>
        <v/>
      </c>
    </row>
    <row r="350" spans="1:7" x14ac:dyDescent="0.25">
      <c r="A350" t="s">
        <v>1000</v>
      </c>
      <c r="B350" t="s">
        <v>2204</v>
      </c>
      <c r="C350">
        <v>51.506360000000001</v>
      </c>
      <c r="D350">
        <v>-0.23138980000000001</v>
      </c>
      <c r="F350">
        <v>1</v>
      </c>
      <c r="G350" t="str">
        <f>IFERROR(VLOOKUP(B350, Churches!H:H, 1, FALSE), "")</f>
        <v/>
      </c>
    </row>
    <row r="351" spans="1:7" x14ac:dyDescent="0.25">
      <c r="A351" t="s">
        <v>1001</v>
      </c>
      <c r="B351" t="s">
        <v>2205</v>
      </c>
      <c r="C351">
        <v>51.570168500000001</v>
      </c>
      <c r="D351">
        <v>-2.5279699999999999E-2</v>
      </c>
      <c r="F351">
        <v>1</v>
      </c>
      <c r="G351" t="str">
        <f>IFERROR(VLOOKUP(B351, Churches!H:H, 1, FALSE), "")</f>
        <v/>
      </c>
    </row>
    <row r="352" spans="1:7" x14ac:dyDescent="0.25">
      <c r="A352" t="s">
        <v>1002</v>
      </c>
      <c r="B352" t="s">
        <v>2206</v>
      </c>
      <c r="C352">
        <v>51.512183700000001</v>
      </c>
      <c r="D352">
        <v>-0.10078280000000001</v>
      </c>
      <c r="F352">
        <v>1</v>
      </c>
      <c r="G352" t="str">
        <f>IFERROR(VLOOKUP(B352, Churches!H:H, 1, FALSE), "")</f>
        <v/>
      </c>
    </row>
    <row r="353" spans="1:7" x14ac:dyDescent="0.25">
      <c r="A353" t="s">
        <v>1003</v>
      </c>
      <c r="B353" t="s">
        <v>2207</v>
      </c>
      <c r="C353">
        <v>51.441961300000003</v>
      </c>
      <c r="D353">
        <v>-1.5087E-3</v>
      </c>
      <c r="F353">
        <v>1</v>
      </c>
      <c r="G353" t="str">
        <f>IFERROR(VLOOKUP(B353, Churches!H:H, 1, FALSE), "")</f>
        <v/>
      </c>
    </row>
    <row r="354" spans="1:7" x14ac:dyDescent="0.25">
      <c r="A354" t="s">
        <v>1004</v>
      </c>
      <c r="B354" t="s">
        <v>2208</v>
      </c>
      <c r="C354">
        <v>51.590859899999998</v>
      </c>
      <c r="D354">
        <v>-0.10229530000000001</v>
      </c>
      <c r="F354">
        <v>1</v>
      </c>
      <c r="G354" t="str">
        <f>IFERROR(VLOOKUP(B354, Churches!H:H, 1, FALSE), "")</f>
        <v/>
      </c>
    </row>
    <row r="355" spans="1:7" x14ac:dyDescent="0.25">
      <c r="A355" t="s">
        <v>1005</v>
      </c>
      <c r="B355" t="s">
        <v>2209</v>
      </c>
      <c r="C355">
        <v>51.431022599999999</v>
      </c>
      <c r="D355">
        <v>-2.3369600000000001E-2</v>
      </c>
      <c r="F355">
        <v>1</v>
      </c>
      <c r="G355" t="str">
        <f>IFERROR(VLOOKUP(B355, Churches!H:H, 1, FALSE), "")</f>
        <v/>
      </c>
    </row>
    <row r="356" spans="1:7" x14ac:dyDescent="0.25">
      <c r="A356" t="s">
        <v>1006</v>
      </c>
      <c r="B356" t="s">
        <v>2210</v>
      </c>
      <c r="C356">
        <v>51.5294813</v>
      </c>
      <c r="D356">
        <v>-1.58716E-2</v>
      </c>
      <c r="F356">
        <v>1</v>
      </c>
      <c r="G356" t="str">
        <f>IFERROR(VLOOKUP(B356, Churches!H:H, 1, FALSE), "")</f>
        <v/>
      </c>
    </row>
    <row r="357" spans="1:7" x14ac:dyDescent="0.25">
      <c r="A357" t="s">
        <v>1007</v>
      </c>
      <c r="B357" t="s">
        <v>2211</v>
      </c>
      <c r="C357">
        <v>51.442676200000001</v>
      </c>
      <c r="D357">
        <v>-1.3479400000000001E-2</v>
      </c>
      <c r="F357">
        <v>1</v>
      </c>
      <c r="G357" t="str">
        <f>IFERROR(VLOOKUP(B357, Churches!H:H, 1, FALSE), "")</f>
        <v/>
      </c>
    </row>
    <row r="358" spans="1:7" x14ac:dyDescent="0.25">
      <c r="A358" t="s">
        <v>1008</v>
      </c>
      <c r="B358" t="s">
        <v>2212</v>
      </c>
      <c r="C358">
        <v>51.520826599999999</v>
      </c>
      <c r="D358">
        <v>0.10854659999999999</v>
      </c>
      <c r="F358">
        <v>1</v>
      </c>
      <c r="G358" t="str">
        <f>IFERROR(VLOOKUP(B358, Churches!H:H, 1, FALSE), "")</f>
        <v/>
      </c>
    </row>
    <row r="359" spans="1:7" x14ac:dyDescent="0.25">
      <c r="A359" t="s">
        <v>1009</v>
      </c>
      <c r="B359" t="s">
        <v>2213</v>
      </c>
      <c r="C359">
        <v>51.590798499999998</v>
      </c>
      <c r="D359">
        <v>-3.8157700000000003E-2</v>
      </c>
      <c r="F359">
        <v>1</v>
      </c>
      <c r="G359" t="str">
        <f>IFERROR(VLOOKUP(B359, Churches!H:H, 1, FALSE), "")</f>
        <v/>
      </c>
    </row>
    <row r="360" spans="1:7" x14ac:dyDescent="0.25">
      <c r="A360" t="s">
        <v>1010</v>
      </c>
      <c r="B360" t="s">
        <v>2214</v>
      </c>
      <c r="C360">
        <v>51.578800100000002</v>
      </c>
      <c r="D360">
        <v>-3.01681E-2</v>
      </c>
      <c r="F360">
        <v>1</v>
      </c>
      <c r="G360" t="str">
        <f>IFERROR(VLOOKUP(B360, Churches!H:H, 1, FALSE), "")</f>
        <v/>
      </c>
    </row>
    <row r="361" spans="1:7" x14ac:dyDescent="0.25">
      <c r="A361" t="s">
        <v>1011</v>
      </c>
      <c r="B361" t="s">
        <v>2215</v>
      </c>
      <c r="C361">
        <v>51.5166197</v>
      </c>
      <c r="D361">
        <v>-0.1385894</v>
      </c>
      <c r="F361">
        <v>1</v>
      </c>
      <c r="G361" t="str">
        <f>IFERROR(VLOOKUP(B361, Churches!H:H, 1, FALSE), "")</f>
        <v/>
      </c>
    </row>
    <row r="362" spans="1:7" x14ac:dyDescent="0.25">
      <c r="A362" t="s">
        <v>1012</v>
      </c>
      <c r="B362" t="s">
        <v>2216</v>
      </c>
      <c r="C362">
        <v>51.531908399999999</v>
      </c>
      <c r="D362">
        <v>-4.2456399999999998E-2</v>
      </c>
      <c r="F362">
        <v>1</v>
      </c>
      <c r="G362" t="str">
        <f>IFERROR(VLOOKUP(B362, Churches!H:H, 1, FALSE), "")</f>
        <v/>
      </c>
    </row>
    <row r="363" spans="1:7" x14ac:dyDescent="0.25">
      <c r="A363" t="s">
        <v>1013</v>
      </c>
      <c r="B363" t="s">
        <v>2217</v>
      </c>
      <c r="C363">
        <v>51.473474099999997</v>
      </c>
      <c r="D363">
        <v>0.16187770000000001</v>
      </c>
      <c r="F363">
        <v>1</v>
      </c>
      <c r="G363" t="str">
        <f>IFERROR(VLOOKUP(B363, Churches!H:H, 1, FALSE), "")</f>
        <v/>
      </c>
    </row>
    <row r="364" spans="1:7" x14ac:dyDescent="0.25">
      <c r="A364" t="s">
        <v>1014</v>
      </c>
      <c r="B364" t="s">
        <v>2217</v>
      </c>
      <c r="C364">
        <v>51.4732895</v>
      </c>
      <c r="D364">
        <v>0.15964610000000001</v>
      </c>
      <c r="F364">
        <v>1</v>
      </c>
      <c r="G364" t="str">
        <f>IFERROR(VLOOKUP(B364, Churches!H:H, 1, FALSE), "")</f>
        <v/>
      </c>
    </row>
    <row r="365" spans="1:7" x14ac:dyDescent="0.25">
      <c r="A365" t="s">
        <v>1015</v>
      </c>
      <c r="B365" t="s">
        <v>2218</v>
      </c>
      <c r="C365">
        <v>51.518316900000002</v>
      </c>
      <c r="D365">
        <v>-7.7932699999999994E-2</v>
      </c>
      <c r="F365">
        <v>1</v>
      </c>
      <c r="G365" t="str">
        <f>IFERROR(VLOOKUP(B365, Churches!H:H, 1, FALSE), "")</f>
        <v/>
      </c>
    </row>
    <row r="366" spans="1:7" x14ac:dyDescent="0.25">
      <c r="A366" t="s">
        <v>1016</v>
      </c>
      <c r="B366" t="s">
        <v>2219</v>
      </c>
      <c r="C366">
        <v>51.567849699999996</v>
      </c>
      <c r="D366">
        <v>-0.1228732</v>
      </c>
      <c r="F366">
        <v>1</v>
      </c>
      <c r="G366" t="str">
        <f>IFERROR(VLOOKUP(B366, Churches!H:H, 1, FALSE), "")</f>
        <v/>
      </c>
    </row>
    <row r="367" spans="1:7" x14ac:dyDescent="0.25">
      <c r="A367" t="s">
        <v>1017</v>
      </c>
      <c r="B367" t="s">
        <v>2220</v>
      </c>
      <c r="C367">
        <v>51.544677900000003</v>
      </c>
      <c r="D367">
        <v>-5.4449699999999997E-2</v>
      </c>
      <c r="F367">
        <v>1</v>
      </c>
      <c r="G367" t="str">
        <f>IFERROR(VLOOKUP(B367, Churches!H:H, 1, FALSE), "")</f>
        <v/>
      </c>
    </row>
    <row r="368" spans="1:7" x14ac:dyDescent="0.25">
      <c r="A368" t="s">
        <v>1018</v>
      </c>
      <c r="B368" t="s">
        <v>2046</v>
      </c>
      <c r="C368">
        <v>51.491383300000003</v>
      </c>
      <c r="D368">
        <v>-9.0848999999999999E-2</v>
      </c>
      <c r="F368">
        <v>1</v>
      </c>
      <c r="G368" t="str">
        <f>IFERROR(VLOOKUP(B368, Churches!H:H, 1, FALSE), "")</f>
        <v/>
      </c>
    </row>
    <row r="369" spans="1:7" x14ac:dyDescent="0.25">
      <c r="A369" t="s">
        <v>1019</v>
      </c>
      <c r="B369" t="s">
        <v>2221</v>
      </c>
      <c r="C369">
        <v>51.514441900000001</v>
      </c>
      <c r="D369">
        <v>1.9423000000000001E-3</v>
      </c>
      <c r="F369">
        <v>1</v>
      </c>
      <c r="G369" t="str">
        <f>IFERROR(VLOOKUP(B369, Churches!H:H, 1, FALSE), "")</f>
        <v/>
      </c>
    </row>
    <row r="370" spans="1:7" x14ac:dyDescent="0.25">
      <c r="A370" t="s">
        <v>1020</v>
      </c>
      <c r="B370" t="s">
        <v>2222</v>
      </c>
      <c r="C370">
        <v>51.479211200000002</v>
      </c>
      <c r="D370">
        <v>7.77949E-2</v>
      </c>
      <c r="F370">
        <v>1</v>
      </c>
      <c r="G370" t="str">
        <f>IFERROR(VLOOKUP(B370, Churches!H:H, 1, FALSE), "")</f>
        <v/>
      </c>
    </row>
    <row r="371" spans="1:7" x14ac:dyDescent="0.25">
      <c r="A371" t="s">
        <v>1021</v>
      </c>
      <c r="B371" t="s">
        <v>2223</v>
      </c>
      <c r="C371">
        <v>51.620682299999999</v>
      </c>
      <c r="D371">
        <v>-6.2324900000000003E-2</v>
      </c>
      <c r="F371">
        <v>1</v>
      </c>
      <c r="G371" t="str">
        <f>IFERROR(VLOOKUP(B371, Churches!H:H, 1, FALSE), "")</f>
        <v/>
      </c>
    </row>
    <row r="372" spans="1:7" x14ac:dyDescent="0.25">
      <c r="A372" t="s">
        <v>850</v>
      </c>
      <c r="B372" t="s">
        <v>2223</v>
      </c>
      <c r="C372">
        <v>51.620974199999999</v>
      </c>
      <c r="D372">
        <v>-6.2224599999999998E-2</v>
      </c>
      <c r="F372">
        <v>1</v>
      </c>
      <c r="G372" t="str">
        <f>IFERROR(VLOOKUP(B372, Churches!H:H, 1, FALSE), "")</f>
        <v/>
      </c>
    </row>
    <row r="373" spans="1:7" x14ac:dyDescent="0.25">
      <c r="A373" t="s">
        <v>1022</v>
      </c>
      <c r="B373" t="s">
        <v>2224</v>
      </c>
      <c r="C373">
        <v>51.577592299999999</v>
      </c>
      <c r="D373">
        <v>-0.38275880000000001</v>
      </c>
      <c r="F373">
        <v>1</v>
      </c>
      <c r="G373" t="str">
        <f>IFERROR(VLOOKUP(B373, Churches!H:H, 1, FALSE), "")</f>
        <v/>
      </c>
    </row>
    <row r="374" spans="1:7" x14ac:dyDescent="0.25">
      <c r="A374" t="s">
        <v>1023</v>
      </c>
      <c r="B374" t="s">
        <v>2225</v>
      </c>
      <c r="C374">
        <v>51.364017699999998</v>
      </c>
      <c r="D374">
        <v>-0.1531827</v>
      </c>
      <c r="F374">
        <v>1</v>
      </c>
      <c r="G374" t="str">
        <f>IFERROR(VLOOKUP(B374, Churches!H:H, 1, FALSE), "")</f>
        <v/>
      </c>
    </row>
    <row r="375" spans="1:7" x14ac:dyDescent="0.25">
      <c r="A375" t="s">
        <v>1024</v>
      </c>
      <c r="B375" t="s">
        <v>2226</v>
      </c>
      <c r="C375">
        <v>51.525791699999999</v>
      </c>
      <c r="D375">
        <v>7.9674300000000003E-2</v>
      </c>
      <c r="F375">
        <v>1</v>
      </c>
      <c r="G375" t="str">
        <f>IFERROR(VLOOKUP(B375, Churches!H:H, 1, FALSE), "")</f>
        <v/>
      </c>
    </row>
    <row r="376" spans="1:7" x14ac:dyDescent="0.25">
      <c r="A376" t="s">
        <v>1025</v>
      </c>
      <c r="B376" t="s">
        <v>2227</v>
      </c>
      <c r="C376">
        <v>51.565696199999998</v>
      </c>
      <c r="D376">
        <v>-0.13162589999999999</v>
      </c>
      <c r="F376">
        <v>1</v>
      </c>
      <c r="G376" t="str">
        <f>IFERROR(VLOOKUP(B376, Churches!H:H, 1, FALSE), "")</f>
        <v/>
      </c>
    </row>
    <row r="377" spans="1:7" x14ac:dyDescent="0.25">
      <c r="A377" t="s">
        <v>1026</v>
      </c>
      <c r="B377" t="s">
        <v>2228</v>
      </c>
      <c r="C377">
        <v>51.5114485</v>
      </c>
      <c r="D377">
        <v>-0.1315704</v>
      </c>
      <c r="F377">
        <v>1</v>
      </c>
      <c r="G377" t="str">
        <f>IFERROR(VLOOKUP(B377, Churches!H:H, 1, FALSE), "")</f>
        <v/>
      </c>
    </row>
    <row r="378" spans="1:7" x14ac:dyDescent="0.25">
      <c r="A378" t="s">
        <v>1027</v>
      </c>
      <c r="B378" t="s">
        <v>2229</v>
      </c>
      <c r="C378">
        <v>51.465753100000001</v>
      </c>
      <c r="D378">
        <v>-0.42170039999999998</v>
      </c>
      <c r="E378" t="s">
        <v>673</v>
      </c>
      <c r="F378">
        <v>1</v>
      </c>
      <c r="G378" t="str">
        <f>IFERROR(VLOOKUP(B378, Churches!H:H, 1, FALSE), "")</f>
        <v/>
      </c>
    </row>
    <row r="379" spans="1:7" x14ac:dyDescent="0.25">
      <c r="A379" t="s">
        <v>1028</v>
      </c>
      <c r="B379" t="s">
        <v>2230</v>
      </c>
      <c r="C379">
        <v>51.528136699999997</v>
      </c>
      <c r="D379">
        <v>-0.172514</v>
      </c>
      <c r="F379">
        <v>1</v>
      </c>
      <c r="G379" t="str">
        <f>IFERROR(VLOOKUP(B379, Churches!H:H, 1, FALSE), "")</f>
        <v/>
      </c>
    </row>
    <row r="380" spans="1:7" x14ac:dyDescent="0.25">
      <c r="A380" t="s">
        <v>842</v>
      </c>
      <c r="B380" t="s">
        <v>2231</v>
      </c>
      <c r="C380">
        <v>51.466337899999999</v>
      </c>
      <c r="D380">
        <v>-0.10190630000000001</v>
      </c>
      <c r="F380">
        <v>1</v>
      </c>
      <c r="G380" t="str">
        <f>IFERROR(VLOOKUP(B380, Churches!H:H, 1, FALSE), "")</f>
        <v/>
      </c>
    </row>
    <row r="381" spans="1:7" x14ac:dyDescent="0.25">
      <c r="A381" t="s">
        <v>1029</v>
      </c>
      <c r="B381" t="s">
        <v>2232</v>
      </c>
      <c r="C381">
        <v>51.575406100000002</v>
      </c>
      <c r="D381">
        <v>-6.5916799999999998E-2</v>
      </c>
      <c r="F381">
        <v>1</v>
      </c>
      <c r="G381" t="str">
        <f>IFERROR(VLOOKUP(B381, Churches!H:H, 1, FALSE), "")</f>
        <v/>
      </c>
    </row>
    <row r="382" spans="1:7" x14ac:dyDescent="0.25">
      <c r="A382" t="s">
        <v>1030</v>
      </c>
      <c r="B382" t="s">
        <v>2233</v>
      </c>
      <c r="C382">
        <v>51.586411300000002</v>
      </c>
      <c r="D382">
        <v>-0.3324606</v>
      </c>
      <c r="F382">
        <v>1</v>
      </c>
      <c r="G382" t="str">
        <f>IFERROR(VLOOKUP(B382, Churches!H:H, 1, FALSE), "")</f>
        <v/>
      </c>
    </row>
    <row r="383" spans="1:7" x14ac:dyDescent="0.25">
      <c r="A383" t="s">
        <v>1031</v>
      </c>
      <c r="B383" t="s">
        <v>2234</v>
      </c>
      <c r="C383">
        <v>51.496468100000001</v>
      </c>
      <c r="D383">
        <v>-0.12868850000000001</v>
      </c>
      <c r="F383">
        <v>1</v>
      </c>
      <c r="G383" t="str">
        <f>IFERROR(VLOOKUP(B383, Churches!H:H, 1, FALSE), "")</f>
        <v/>
      </c>
    </row>
    <row r="384" spans="1:7" x14ac:dyDescent="0.25">
      <c r="A384" t="s">
        <v>1032</v>
      </c>
      <c r="B384" t="s">
        <v>2235</v>
      </c>
      <c r="C384">
        <v>51.573635600000003</v>
      </c>
      <c r="D384">
        <v>-6.4404500000000003E-2</v>
      </c>
      <c r="F384">
        <v>1</v>
      </c>
      <c r="G384" t="str">
        <f>IFERROR(VLOOKUP(B384, Churches!H:H, 1, FALSE), "")</f>
        <v/>
      </c>
    </row>
    <row r="385" spans="1:7" x14ac:dyDescent="0.25">
      <c r="A385" t="s">
        <v>1033</v>
      </c>
      <c r="B385" t="s">
        <v>2236</v>
      </c>
      <c r="C385">
        <v>51.591107399999999</v>
      </c>
      <c r="D385">
        <v>-0.4476154</v>
      </c>
      <c r="F385">
        <v>1</v>
      </c>
      <c r="G385" t="str">
        <f>IFERROR(VLOOKUP(B385, Churches!H:H, 1, FALSE), "")</f>
        <v/>
      </c>
    </row>
    <row r="386" spans="1:7" x14ac:dyDescent="0.25">
      <c r="A386" t="s">
        <v>1034</v>
      </c>
      <c r="B386" t="s">
        <v>2237</v>
      </c>
      <c r="C386">
        <v>51.503785999999998</v>
      </c>
      <c r="D386">
        <v>0.1166591</v>
      </c>
      <c r="F386">
        <v>1</v>
      </c>
      <c r="G386" t="str">
        <f>IFERROR(VLOOKUP(B386, Churches!H:H, 1, FALSE), "")</f>
        <v/>
      </c>
    </row>
    <row r="387" spans="1:7" x14ac:dyDescent="0.25">
      <c r="A387" t="s">
        <v>1035</v>
      </c>
      <c r="B387" t="s">
        <v>2238</v>
      </c>
      <c r="C387">
        <v>51.581334599999998</v>
      </c>
      <c r="D387">
        <v>0.17699909999999999</v>
      </c>
      <c r="F387">
        <v>1</v>
      </c>
      <c r="G387" t="str">
        <f>IFERROR(VLOOKUP(B387, Churches!H:H, 1, FALSE), "")</f>
        <v/>
      </c>
    </row>
    <row r="388" spans="1:7" x14ac:dyDescent="0.25">
      <c r="A388" t="s">
        <v>1036</v>
      </c>
      <c r="B388" t="s">
        <v>2239</v>
      </c>
      <c r="C388">
        <v>51.595241700000003</v>
      </c>
      <c r="D388">
        <v>-0.17087369999999999</v>
      </c>
      <c r="F388">
        <v>1</v>
      </c>
      <c r="G388" t="str">
        <f>IFERROR(VLOOKUP(B388, Churches!H:H, 1, FALSE), "")</f>
        <v/>
      </c>
    </row>
    <row r="389" spans="1:7" x14ac:dyDescent="0.25">
      <c r="A389" t="s">
        <v>1037</v>
      </c>
      <c r="B389" t="s">
        <v>2240</v>
      </c>
      <c r="C389">
        <v>51.501539200000003</v>
      </c>
      <c r="D389">
        <v>-0.1667254</v>
      </c>
      <c r="F389">
        <v>1</v>
      </c>
      <c r="G389" t="str">
        <f>IFERROR(VLOOKUP(B389, Churches!H:H, 1, FALSE), "")</f>
        <v/>
      </c>
    </row>
    <row r="390" spans="1:7" x14ac:dyDescent="0.25">
      <c r="A390" t="s">
        <v>1038</v>
      </c>
      <c r="B390" t="s">
        <v>2241</v>
      </c>
      <c r="C390">
        <v>51.571616499999998</v>
      </c>
      <c r="D390">
        <v>-0.193549</v>
      </c>
      <c r="F390">
        <v>1</v>
      </c>
      <c r="G390" t="str">
        <f>IFERROR(VLOOKUP(B390, Churches!H:H, 1, FALSE), "")</f>
        <v/>
      </c>
    </row>
    <row r="391" spans="1:7" x14ac:dyDescent="0.25">
      <c r="A391" t="s">
        <v>1039</v>
      </c>
      <c r="B391" t="s">
        <v>2242</v>
      </c>
      <c r="C391">
        <v>51.598010600000002</v>
      </c>
      <c r="D391">
        <v>0.1546447</v>
      </c>
      <c r="F391">
        <v>1</v>
      </c>
      <c r="G391" t="str">
        <f>IFERROR(VLOOKUP(B391, Churches!H:H, 1, FALSE), "")</f>
        <v/>
      </c>
    </row>
    <row r="392" spans="1:7" x14ac:dyDescent="0.25">
      <c r="A392" t="s">
        <v>1040</v>
      </c>
      <c r="B392" t="s">
        <v>2243</v>
      </c>
      <c r="C392">
        <v>51.392204499999998</v>
      </c>
      <c r="D392">
        <v>-0.11758440000000001</v>
      </c>
      <c r="F392">
        <v>1</v>
      </c>
      <c r="G392" t="str">
        <f>IFERROR(VLOOKUP(B392, Churches!H:H, 1, FALSE), "")</f>
        <v/>
      </c>
    </row>
    <row r="393" spans="1:7" x14ac:dyDescent="0.25">
      <c r="A393" t="s">
        <v>1041</v>
      </c>
      <c r="B393" t="s">
        <v>2244</v>
      </c>
      <c r="C393">
        <v>51.470085699999998</v>
      </c>
      <c r="D393">
        <v>-6.61688E-2</v>
      </c>
      <c r="F393">
        <v>1</v>
      </c>
      <c r="G393" t="str">
        <f>IFERROR(VLOOKUP(B393, Churches!H:H, 1, FALSE), "")</f>
        <v/>
      </c>
    </row>
    <row r="394" spans="1:7" x14ac:dyDescent="0.25">
      <c r="A394" t="s">
        <v>1042</v>
      </c>
      <c r="B394" t="s">
        <v>2245</v>
      </c>
      <c r="C394">
        <v>51.543152399999997</v>
      </c>
      <c r="D394">
        <v>-5.40157E-2</v>
      </c>
      <c r="F394">
        <v>1</v>
      </c>
      <c r="G394" t="str">
        <f>IFERROR(VLOOKUP(B394, Churches!H:H, 1, FALSE), "")</f>
        <v/>
      </c>
    </row>
    <row r="395" spans="1:7" x14ac:dyDescent="0.25">
      <c r="A395" t="s">
        <v>1043</v>
      </c>
      <c r="B395" t="s">
        <v>2246</v>
      </c>
      <c r="C395">
        <v>51.481253700000003</v>
      </c>
      <c r="D395">
        <v>-5.82576E-2</v>
      </c>
      <c r="F395">
        <v>1</v>
      </c>
      <c r="G395" t="str">
        <f>IFERROR(VLOOKUP(B395, Churches!H:H, 1, FALSE), "")</f>
        <v/>
      </c>
    </row>
    <row r="396" spans="1:7" x14ac:dyDescent="0.25">
      <c r="A396" t="s">
        <v>1044</v>
      </c>
      <c r="B396" t="s">
        <v>2247</v>
      </c>
      <c r="C396">
        <v>51.480252</v>
      </c>
      <c r="D396">
        <v>-5.78901E-2</v>
      </c>
      <c r="F396">
        <v>1</v>
      </c>
      <c r="G396" t="str">
        <f>IFERROR(VLOOKUP(B396, Churches!H:H, 1, FALSE), "")</f>
        <v/>
      </c>
    </row>
    <row r="397" spans="1:7" x14ac:dyDescent="0.25">
      <c r="A397" t="s">
        <v>1045</v>
      </c>
      <c r="B397" t="s">
        <v>2248</v>
      </c>
      <c r="C397">
        <v>51.479947199999998</v>
      </c>
      <c r="D397">
        <v>-5.7148499999999998E-2</v>
      </c>
      <c r="F397">
        <v>1</v>
      </c>
      <c r="G397" t="str">
        <f>IFERROR(VLOOKUP(B397, Churches!H:H, 1, FALSE), "")</f>
        <v/>
      </c>
    </row>
    <row r="398" spans="1:7" x14ac:dyDescent="0.25">
      <c r="A398" t="s">
        <v>1046</v>
      </c>
      <c r="B398" t="s">
        <v>2249</v>
      </c>
      <c r="C398">
        <v>51.512800599999998</v>
      </c>
      <c r="D398">
        <v>-0.37157580000000001</v>
      </c>
      <c r="F398">
        <v>1</v>
      </c>
      <c r="G398" t="str">
        <f>IFERROR(VLOOKUP(B398, Churches!H:H, 1, FALSE), "")</f>
        <v/>
      </c>
    </row>
    <row r="399" spans="1:7" x14ac:dyDescent="0.25">
      <c r="A399" t="s">
        <v>1047</v>
      </c>
      <c r="B399" t="s">
        <v>2250</v>
      </c>
      <c r="C399">
        <v>51.544314800000002</v>
      </c>
      <c r="D399">
        <v>-4.6922899999999997E-2</v>
      </c>
      <c r="F399">
        <v>1</v>
      </c>
      <c r="G399" t="str">
        <f>IFERROR(VLOOKUP(B399, Churches!H:H, 1, FALSE), "")</f>
        <v/>
      </c>
    </row>
    <row r="400" spans="1:7" x14ac:dyDescent="0.25">
      <c r="A400" t="s">
        <v>1048</v>
      </c>
      <c r="B400" t="s">
        <v>2251</v>
      </c>
      <c r="C400">
        <v>51.529496899999998</v>
      </c>
      <c r="D400">
        <v>-8.3677399999999999E-2</v>
      </c>
      <c r="F400">
        <v>1</v>
      </c>
      <c r="G400" t="str">
        <f>IFERROR(VLOOKUP(B400, Churches!H:H, 1, FALSE), "")</f>
        <v/>
      </c>
    </row>
    <row r="401" spans="1:7" x14ac:dyDescent="0.25">
      <c r="A401" t="s">
        <v>1049</v>
      </c>
      <c r="B401" t="s">
        <v>2252</v>
      </c>
      <c r="C401">
        <v>51.5595705</v>
      </c>
      <c r="D401">
        <v>-0.25048880000000001</v>
      </c>
      <c r="F401">
        <v>1</v>
      </c>
      <c r="G401" t="str">
        <f>IFERROR(VLOOKUP(B401, Churches!H:H, 1, FALSE), "")</f>
        <v/>
      </c>
    </row>
    <row r="402" spans="1:7" x14ac:dyDescent="0.25">
      <c r="A402" t="s">
        <v>1050</v>
      </c>
      <c r="B402" t="s">
        <v>2253</v>
      </c>
      <c r="C402">
        <v>51.505580600000002</v>
      </c>
      <c r="D402">
        <v>-0.37712859999999998</v>
      </c>
      <c r="F402">
        <v>1</v>
      </c>
      <c r="G402" t="str">
        <f>IFERROR(VLOOKUP(B402, Churches!H:H, 1, FALSE), "")</f>
        <v/>
      </c>
    </row>
    <row r="403" spans="1:7" x14ac:dyDescent="0.25">
      <c r="A403" t="s">
        <v>1051</v>
      </c>
      <c r="B403" t="s">
        <v>2254</v>
      </c>
      <c r="C403">
        <v>51.551022500000002</v>
      </c>
      <c r="D403">
        <v>0.19947980000000001</v>
      </c>
      <c r="F403">
        <v>1</v>
      </c>
      <c r="G403" t="str">
        <f>IFERROR(VLOOKUP(B403, Churches!H:H, 1, FALSE), "")</f>
        <v/>
      </c>
    </row>
    <row r="404" spans="1:7" x14ac:dyDescent="0.25">
      <c r="A404" t="s">
        <v>1052</v>
      </c>
      <c r="B404" t="s">
        <v>2255</v>
      </c>
      <c r="C404">
        <v>51.496662800000003</v>
      </c>
      <c r="D404">
        <v>-0.42774970000000001</v>
      </c>
      <c r="F404">
        <v>1</v>
      </c>
      <c r="G404" t="str">
        <f>IFERROR(VLOOKUP(B404, Churches!H:H, 1, FALSE), "")</f>
        <v/>
      </c>
    </row>
    <row r="405" spans="1:7" x14ac:dyDescent="0.25">
      <c r="A405" t="s">
        <v>1053</v>
      </c>
      <c r="B405" t="s">
        <v>2256</v>
      </c>
      <c r="C405">
        <v>51.433496300000002</v>
      </c>
      <c r="D405">
        <v>-0.162851</v>
      </c>
      <c r="F405">
        <v>1</v>
      </c>
      <c r="G405" t="str">
        <f>IFERROR(VLOOKUP(B405, Churches!H:H, 1, FALSE), "")</f>
        <v/>
      </c>
    </row>
    <row r="406" spans="1:7" x14ac:dyDescent="0.25">
      <c r="A406" t="s">
        <v>1054</v>
      </c>
      <c r="B406" t="s">
        <v>2257</v>
      </c>
      <c r="C406">
        <v>51.481631800000002</v>
      </c>
      <c r="D406">
        <v>-2.73656E-2</v>
      </c>
      <c r="F406">
        <v>1</v>
      </c>
      <c r="G406" t="str">
        <f>IFERROR(VLOOKUP(B406, Churches!H:H, 1, FALSE), "")</f>
        <v/>
      </c>
    </row>
    <row r="407" spans="1:7" x14ac:dyDescent="0.25">
      <c r="A407" t="s">
        <v>1055</v>
      </c>
      <c r="B407" t="s">
        <v>2258</v>
      </c>
      <c r="C407">
        <v>51.590817199999996</v>
      </c>
      <c r="D407">
        <v>-1.90058E-2</v>
      </c>
      <c r="F407">
        <v>1</v>
      </c>
      <c r="G407" t="str">
        <f>IFERROR(VLOOKUP(B407, Churches!H:H, 1, FALSE), "")</f>
        <v/>
      </c>
    </row>
    <row r="408" spans="1:7" x14ac:dyDescent="0.25">
      <c r="A408" t="s">
        <v>1056</v>
      </c>
      <c r="B408" t="s">
        <v>2259</v>
      </c>
      <c r="C408">
        <v>51.556385300000002</v>
      </c>
      <c r="D408">
        <v>7.3063600000000006E-2</v>
      </c>
      <c r="F408">
        <v>1</v>
      </c>
      <c r="G408" t="str">
        <f>IFERROR(VLOOKUP(B408, Churches!H:H, 1, FALSE), "")</f>
        <v/>
      </c>
    </row>
    <row r="409" spans="1:7" x14ac:dyDescent="0.25">
      <c r="A409" t="s">
        <v>1057</v>
      </c>
      <c r="B409" t="s">
        <v>2260</v>
      </c>
      <c r="C409">
        <v>51.511384300000003</v>
      </c>
      <c r="D409">
        <v>-9.6849599999999994E-2</v>
      </c>
      <c r="F409">
        <v>1</v>
      </c>
      <c r="G409" t="str">
        <f>IFERROR(VLOOKUP(B409, Churches!H:H, 1, FALSE), "")</f>
        <v/>
      </c>
    </row>
    <row r="410" spans="1:7" x14ac:dyDescent="0.25">
      <c r="A410" t="s">
        <v>1058</v>
      </c>
      <c r="B410" t="s">
        <v>2261</v>
      </c>
      <c r="C410">
        <v>51.4006343</v>
      </c>
      <c r="D410">
        <v>-0.23839940000000001</v>
      </c>
      <c r="F410">
        <v>1</v>
      </c>
      <c r="G410" t="str">
        <f>IFERROR(VLOOKUP(B410, Churches!H:H, 1, FALSE), "")</f>
        <v/>
      </c>
    </row>
    <row r="411" spans="1:7" x14ac:dyDescent="0.25">
      <c r="A411" t="s">
        <v>1059</v>
      </c>
      <c r="B411" t="s">
        <v>2262</v>
      </c>
      <c r="C411">
        <v>51.4944901</v>
      </c>
      <c r="D411">
        <v>-0.15897159999999999</v>
      </c>
      <c r="F411">
        <v>1</v>
      </c>
      <c r="G411" t="str">
        <f>IFERROR(VLOOKUP(B411, Churches!H:H, 1, FALSE), "")</f>
        <v/>
      </c>
    </row>
    <row r="412" spans="1:7" x14ac:dyDescent="0.25">
      <c r="A412" t="s">
        <v>1060</v>
      </c>
      <c r="B412" t="s">
        <v>2263</v>
      </c>
      <c r="C412">
        <v>51.593654600000001</v>
      </c>
      <c r="D412">
        <v>-0.33381899999999998</v>
      </c>
      <c r="F412">
        <v>1</v>
      </c>
      <c r="G412" t="str">
        <f>IFERROR(VLOOKUP(B412, Churches!H:H, 1, FALSE), "")</f>
        <v/>
      </c>
    </row>
    <row r="413" spans="1:7" x14ac:dyDescent="0.25">
      <c r="A413" t="s">
        <v>1061</v>
      </c>
      <c r="B413" t="s">
        <v>2264</v>
      </c>
      <c r="C413">
        <v>51.438139999999997</v>
      </c>
      <c r="D413">
        <v>7.2010000000000005E-2</v>
      </c>
      <c r="F413">
        <v>1</v>
      </c>
      <c r="G413" t="str">
        <f>IFERROR(VLOOKUP(B413, Churches!H:H, 1, FALSE), "")</f>
        <v/>
      </c>
    </row>
    <row r="414" spans="1:7" x14ac:dyDescent="0.25">
      <c r="A414" t="s">
        <v>1062</v>
      </c>
      <c r="B414" t="s">
        <v>2265</v>
      </c>
      <c r="C414">
        <v>51.517724899999997</v>
      </c>
      <c r="D414">
        <v>-0.1889083</v>
      </c>
      <c r="F414">
        <v>1</v>
      </c>
      <c r="G414" t="str">
        <f>IFERROR(VLOOKUP(B414, Churches!H:H, 1, FALSE), "")</f>
        <v/>
      </c>
    </row>
    <row r="415" spans="1:7" x14ac:dyDescent="0.25">
      <c r="A415" t="s">
        <v>1063</v>
      </c>
      <c r="B415" t="s">
        <v>2266</v>
      </c>
      <c r="C415">
        <v>51.5188633</v>
      </c>
      <c r="D415">
        <v>-0.1961552</v>
      </c>
      <c r="F415">
        <v>1</v>
      </c>
      <c r="G415" t="str">
        <f>IFERROR(VLOOKUP(B415, Churches!H:H, 1, FALSE), "")</f>
        <v/>
      </c>
    </row>
    <row r="416" spans="1:7" x14ac:dyDescent="0.25">
      <c r="A416" t="s">
        <v>1064</v>
      </c>
      <c r="B416" t="s">
        <v>2267</v>
      </c>
      <c r="C416">
        <v>51.441766000000001</v>
      </c>
      <c r="D416">
        <v>7.9516100000000006E-2</v>
      </c>
      <c r="F416">
        <v>1</v>
      </c>
      <c r="G416" t="str">
        <f>IFERROR(VLOOKUP(B416, Churches!H:H, 1, FALSE), "")</f>
        <v/>
      </c>
    </row>
    <row r="417" spans="1:7" x14ac:dyDescent="0.25">
      <c r="A417" t="s">
        <v>1065</v>
      </c>
      <c r="B417" t="s">
        <v>2268</v>
      </c>
      <c r="C417">
        <v>51.608009099999997</v>
      </c>
      <c r="D417">
        <v>-0.27377499999999999</v>
      </c>
      <c r="F417">
        <v>1</v>
      </c>
      <c r="G417" t="str">
        <f>IFERROR(VLOOKUP(B417, Churches!H:H, 1, FALSE), "")</f>
        <v/>
      </c>
    </row>
    <row r="418" spans="1:7" x14ac:dyDescent="0.25">
      <c r="A418" t="s">
        <v>1066</v>
      </c>
      <c r="B418" t="s">
        <v>2269</v>
      </c>
      <c r="C418">
        <v>51.528095800000003</v>
      </c>
      <c r="D418">
        <v>-5.5768199999999997E-2</v>
      </c>
      <c r="F418">
        <v>1</v>
      </c>
      <c r="G418" t="str">
        <f>IFERROR(VLOOKUP(B418, Churches!H:H, 1, FALSE), "")</f>
        <v/>
      </c>
    </row>
    <row r="419" spans="1:7" x14ac:dyDescent="0.25">
      <c r="A419" t="s">
        <v>1067</v>
      </c>
      <c r="B419" t="s">
        <v>2270</v>
      </c>
      <c r="C419">
        <v>51.513749099999899</v>
      </c>
      <c r="D419">
        <v>-0.105579275</v>
      </c>
      <c r="F419">
        <v>8</v>
      </c>
      <c r="G419" t="str">
        <f>IFERROR(VLOOKUP(B419, Churches!H:H, 1, FALSE), "")</f>
        <v/>
      </c>
    </row>
    <row r="420" spans="1:7" x14ac:dyDescent="0.25">
      <c r="A420" t="s">
        <v>1068</v>
      </c>
      <c r="B420" t="s">
        <v>2271</v>
      </c>
      <c r="C420">
        <v>51.426873539999903</v>
      </c>
      <c r="D420">
        <v>9.8744799999999997E-3</v>
      </c>
      <c r="F420">
        <v>5</v>
      </c>
      <c r="G420" t="str">
        <f>IFERROR(VLOOKUP(B420, Churches!H:H, 1, FALSE), "")</f>
        <v/>
      </c>
    </row>
    <row r="421" spans="1:7" x14ac:dyDescent="0.25">
      <c r="A421" t="s">
        <v>1069</v>
      </c>
      <c r="B421" t="s">
        <v>235</v>
      </c>
      <c r="C421">
        <v>51.538415166666603</v>
      </c>
      <c r="D421">
        <v>-0.10168621111111099</v>
      </c>
      <c r="E421" t="s">
        <v>673</v>
      </c>
      <c r="F421">
        <v>9</v>
      </c>
    </row>
    <row r="422" spans="1:7" x14ac:dyDescent="0.25">
      <c r="A422" t="s">
        <v>1070</v>
      </c>
      <c r="B422" t="s">
        <v>2272</v>
      </c>
      <c r="C422">
        <v>51.481116419999999</v>
      </c>
      <c r="D422">
        <v>-0.19881795999999999</v>
      </c>
      <c r="E422" t="s">
        <v>673</v>
      </c>
      <c r="F422">
        <v>5</v>
      </c>
      <c r="G422" t="str">
        <f>IFERROR(VLOOKUP(B422, Churches!H:H, 1, FALSE), "")</f>
        <v/>
      </c>
    </row>
    <row r="423" spans="1:7" x14ac:dyDescent="0.25">
      <c r="A423" t="s">
        <v>1071</v>
      </c>
      <c r="B423" t="s">
        <v>2273</v>
      </c>
      <c r="C423">
        <v>51.528995142105202</v>
      </c>
      <c r="D423">
        <v>-0.16523555263157799</v>
      </c>
      <c r="F423">
        <v>19</v>
      </c>
      <c r="G423" t="str">
        <f>IFERROR(VLOOKUP(B423, Churches!H:H, 1, FALSE), "")</f>
        <v/>
      </c>
    </row>
    <row r="424" spans="1:7" x14ac:dyDescent="0.25">
      <c r="A424" t="s">
        <v>1072</v>
      </c>
      <c r="B424" t="s">
        <v>2274</v>
      </c>
      <c r="C424">
        <v>51.4560615555555</v>
      </c>
      <c r="D424">
        <v>-0.35963775555555499</v>
      </c>
      <c r="F424">
        <v>9</v>
      </c>
      <c r="G424" t="str">
        <f>IFERROR(VLOOKUP(B424, Churches!H:H, 1, FALSE), "")</f>
        <v/>
      </c>
    </row>
    <row r="425" spans="1:7" x14ac:dyDescent="0.25">
      <c r="A425" t="s">
        <v>1073</v>
      </c>
      <c r="B425" t="s">
        <v>2275</v>
      </c>
      <c r="C425">
        <v>51.516856993333299</v>
      </c>
      <c r="D425">
        <v>-4.1634026666666601E-2</v>
      </c>
      <c r="F425">
        <v>15</v>
      </c>
      <c r="G425" t="str">
        <f>IFERROR(VLOOKUP(B425, Churches!H:H, 1, FALSE), "")</f>
        <v/>
      </c>
    </row>
    <row r="426" spans="1:7" x14ac:dyDescent="0.25">
      <c r="A426" t="s">
        <v>1074</v>
      </c>
      <c r="B426" t="s">
        <v>2276</v>
      </c>
      <c r="C426">
        <v>51.667564766666601</v>
      </c>
      <c r="D426">
        <v>-8.4701100000000001E-2</v>
      </c>
      <c r="E426" t="s">
        <v>673</v>
      </c>
      <c r="F426">
        <v>9</v>
      </c>
      <c r="G426" t="str">
        <f>IFERROR(VLOOKUP(B426, Churches!H:H, 1, FALSE), "")</f>
        <v/>
      </c>
    </row>
    <row r="427" spans="1:7" x14ac:dyDescent="0.25">
      <c r="A427" t="s">
        <v>1075</v>
      </c>
      <c r="B427" t="s">
        <v>2277</v>
      </c>
      <c r="C427">
        <v>51.429550917646999</v>
      </c>
      <c r="D427">
        <v>-0.1314458</v>
      </c>
      <c r="E427" t="s">
        <v>673</v>
      </c>
      <c r="F427">
        <v>17</v>
      </c>
      <c r="G427" t="str">
        <f>IFERROR(VLOOKUP(B427, Churches!H:H, 1, FALSE), "")</f>
        <v/>
      </c>
    </row>
    <row r="428" spans="1:7" x14ac:dyDescent="0.25">
      <c r="A428" t="s">
        <v>750</v>
      </c>
      <c r="B428" t="s">
        <v>2278</v>
      </c>
      <c r="C428">
        <v>51.492096123076898</v>
      </c>
      <c r="D428">
        <v>-0.265020015384615</v>
      </c>
      <c r="E428" t="s">
        <v>673</v>
      </c>
      <c r="F428">
        <v>13</v>
      </c>
      <c r="G428" t="str">
        <f>IFERROR(VLOOKUP(B428, Churches!H:H, 1, FALSE), "")</f>
        <v/>
      </c>
    </row>
    <row r="429" spans="1:7" x14ac:dyDescent="0.25">
      <c r="A429" t="s">
        <v>1076</v>
      </c>
      <c r="B429" t="s">
        <v>2275</v>
      </c>
      <c r="C429">
        <v>51.585030022222199</v>
      </c>
      <c r="D429">
        <v>-1.18722999999999E-2</v>
      </c>
      <c r="E429" t="s">
        <v>673</v>
      </c>
      <c r="F429">
        <v>9</v>
      </c>
      <c r="G429" t="str">
        <f>IFERROR(VLOOKUP(B429, Churches!H:H, 1, FALSE), "")</f>
        <v/>
      </c>
    </row>
    <row r="430" spans="1:7" x14ac:dyDescent="0.25">
      <c r="A430" t="s">
        <v>674</v>
      </c>
      <c r="B430" t="s">
        <v>2279</v>
      </c>
      <c r="C430">
        <v>51.410430630769199</v>
      </c>
      <c r="D430">
        <v>-0.30609180000000002</v>
      </c>
      <c r="E430" t="s">
        <v>673</v>
      </c>
      <c r="F430">
        <v>13</v>
      </c>
      <c r="G430" t="str">
        <f>IFERROR(VLOOKUP(B430, Churches!H:H, 1, FALSE), "")</f>
        <v/>
      </c>
    </row>
    <row r="431" spans="1:7" x14ac:dyDescent="0.25">
      <c r="A431" t="s">
        <v>1077</v>
      </c>
      <c r="B431" t="s">
        <v>2280</v>
      </c>
      <c r="C431">
        <v>51.5305860307692</v>
      </c>
      <c r="D431">
        <v>-0.168414876923076</v>
      </c>
      <c r="E431" t="s">
        <v>673</v>
      </c>
      <c r="F431">
        <v>13</v>
      </c>
      <c r="G431" t="str">
        <f>IFERROR(VLOOKUP(B431, Churches!H:H, 1, FALSE), "")</f>
        <v/>
      </c>
    </row>
    <row r="432" spans="1:7" x14ac:dyDescent="0.25">
      <c r="A432" t="s">
        <v>386</v>
      </c>
      <c r="B432" t="s">
        <v>603</v>
      </c>
      <c r="C432">
        <v>51.51004502</v>
      </c>
      <c r="D432">
        <v>-5.9791660000000003E-2</v>
      </c>
      <c r="E432" t="s">
        <v>673</v>
      </c>
      <c r="F432">
        <v>5</v>
      </c>
    </row>
    <row r="433" spans="1:7" x14ac:dyDescent="0.25">
      <c r="A433" t="s">
        <v>1078</v>
      </c>
      <c r="B433" t="s">
        <v>2275</v>
      </c>
      <c r="C433">
        <v>51.509410661538404</v>
      </c>
      <c r="D433">
        <v>-5.20504076923076E-2</v>
      </c>
      <c r="E433" t="s">
        <v>673</v>
      </c>
      <c r="F433">
        <v>13</v>
      </c>
      <c r="G433" t="str">
        <f>IFERROR(VLOOKUP(B433, Churches!H:H, 1, FALSE), "")</f>
        <v/>
      </c>
    </row>
    <row r="434" spans="1:7" x14ac:dyDescent="0.25">
      <c r="A434" t="s">
        <v>1079</v>
      </c>
      <c r="B434" t="s">
        <v>2281</v>
      </c>
      <c r="C434">
        <v>51.3625817</v>
      </c>
      <c r="D434">
        <v>-0.19489606000000001</v>
      </c>
      <c r="E434" t="s">
        <v>673</v>
      </c>
      <c r="F434">
        <v>25</v>
      </c>
      <c r="G434" t="str">
        <f>IFERROR(VLOOKUP(B434, Churches!H:H, 1, FALSE), "")</f>
        <v/>
      </c>
    </row>
    <row r="435" spans="1:7" x14ac:dyDescent="0.25">
      <c r="A435" t="s">
        <v>725</v>
      </c>
      <c r="B435" t="s">
        <v>2282</v>
      </c>
      <c r="C435">
        <v>51.530067699999996</v>
      </c>
      <c r="D435">
        <v>-0.108702338461538</v>
      </c>
      <c r="F435">
        <v>13</v>
      </c>
      <c r="G435" t="str">
        <f>IFERROR(VLOOKUP(B435, Churches!H:H, 1, FALSE), "")</f>
        <v/>
      </c>
    </row>
    <row r="436" spans="1:7" x14ac:dyDescent="0.25">
      <c r="A436" t="s">
        <v>1080</v>
      </c>
      <c r="B436" t="s">
        <v>2283</v>
      </c>
      <c r="C436">
        <v>51.459696520000001</v>
      </c>
      <c r="D436">
        <v>-0.11602532</v>
      </c>
      <c r="E436" t="s">
        <v>673</v>
      </c>
      <c r="F436">
        <v>5</v>
      </c>
      <c r="G436" t="str">
        <f>IFERROR(VLOOKUP(B436, Churches!H:H, 1, FALSE), "")</f>
        <v/>
      </c>
    </row>
    <row r="437" spans="1:7" x14ac:dyDescent="0.25">
      <c r="A437" t="s">
        <v>1081</v>
      </c>
      <c r="B437" t="s">
        <v>2284</v>
      </c>
      <c r="C437">
        <v>51.457676219999897</v>
      </c>
      <c r="D437">
        <v>-0.13269422</v>
      </c>
      <c r="E437" t="s">
        <v>673</v>
      </c>
      <c r="F437">
        <v>5</v>
      </c>
      <c r="G437" t="str">
        <f>IFERROR(VLOOKUP(B437, Churches!H:H, 1, FALSE), "")</f>
        <v/>
      </c>
    </row>
    <row r="438" spans="1:7" x14ac:dyDescent="0.25">
      <c r="A438" t="s">
        <v>1082</v>
      </c>
      <c r="B438" t="s">
        <v>2285</v>
      </c>
      <c r="C438">
        <v>51.513119302272699</v>
      </c>
      <c r="D438">
        <v>-0.11376555454545401</v>
      </c>
      <c r="E438" t="s">
        <v>673</v>
      </c>
      <c r="F438">
        <v>44</v>
      </c>
      <c r="G438" t="str">
        <f>IFERROR(VLOOKUP(B438, Churches!H:H, 1, FALSE), "")</f>
        <v/>
      </c>
    </row>
    <row r="439" spans="1:7" x14ac:dyDescent="0.25">
      <c r="A439" t="s">
        <v>1083</v>
      </c>
      <c r="B439" t="s">
        <v>2286</v>
      </c>
      <c r="C439">
        <v>51.512223710000001</v>
      </c>
      <c r="D439">
        <v>-0.11675268999999899</v>
      </c>
      <c r="E439" t="s">
        <v>673</v>
      </c>
      <c r="F439">
        <v>10</v>
      </c>
      <c r="G439" t="str">
        <f>IFERROR(VLOOKUP(B439, Churches!H:H, 1, FALSE), "")</f>
        <v/>
      </c>
    </row>
    <row r="440" spans="1:7" x14ac:dyDescent="0.25">
      <c r="A440" t="s">
        <v>1084</v>
      </c>
      <c r="B440" t="s">
        <v>2287</v>
      </c>
      <c r="C440">
        <v>51.4957832714285</v>
      </c>
      <c r="D440">
        <v>-0.26303910000000003</v>
      </c>
      <c r="E440" t="s">
        <v>673</v>
      </c>
      <c r="F440">
        <v>7</v>
      </c>
      <c r="G440" t="str">
        <f>IFERROR(VLOOKUP(B440, Churches!H:H, 1, FALSE), "")</f>
        <v/>
      </c>
    </row>
    <row r="441" spans="1:7" x14ac:dyDescent="0.25">
      <c r="A441" t="s">
        <v>1085</v>
      </c>
      <c r="B441" t="s">
        <v>2288</v>
      </c>
      <c r="C441">
        <v>51.500388280000003</v>
      </c>
      <c r="D441">
        <v>-0.13527439999999999</v>
      </c>
      <c r="F441">
        <v>5</v>
      </c>
      <c r="G441" t="str">
        <f>IFERROR(VLOOKUP(B441, Churches!H:H, 1, FALSE), "")</f>
        <v/>
      </c>
    </row>
    <row r="442" spans="1:7" x14ac:dyDescent="0.25">
      <c r="A442" t="s">
        <v>1086</v>
      </c>
      <c r="B442" t="s">
        <v>2289</v>
      </c>
      <c r="C442">
        <v>51.534895480000003</v>
      </c>
      <c r="D442">
        <v>-0.13022413999999999</v>
      </c>
      <c r="E442" t="s">
        <v>673</v>
      </c>
      <c r="F442">
        <v>5</v>
      </c>
      <c r="G442" t="str">
        <f>IFERROR(VLOOKUP(B442, Churches!H:H, 1, FALSE), "")</f>
        <v/>
      </c>
    </row>
    <row r="443" spans="1:7" x14ac:dyDescent="0.25">
      <c r="A443" t="s">
        <v>1087</v>
      </c>
      <c r="B443" t="s">
        <v>2290</v>
      </c>
      <c r="C443">
        <v>51.533768844444403</v>
      </c>
      <c r="D443">
        <v>-0.146703911111111</v>
      </c>
      <c r="F443">
        <v>9</v>
      </c>
      <c r="G443" t="str">
        <f>IFERROR(VLOOKUP(B443, Churches!H:H, 1, FALSE), "")</f>
        <v/>
      </c>
    </row>
    <row r="444" spans="1:7" x14ac:dyDescent="0.25">
      <c r="A444" t="s">
        <v>824</v>
      </c>
      <c r="B444" t="s">
        <v>2291</v>
      </c>
      <c r="C444">
        <v>51.548424676470503</v>
      </c>
      <c r="D444">
        <v>-0.13378030784313699</v>
      </c>
      <c r="F444">
        <v>51</v>
      </c>
      <c r="G444" t="str">
        <f>IFERROR(VLOOKUP(B444, Churches!H:H, 1, FALSE), "")</f>
        <v/>
      </c>
    </row>
    <row r="445" spans="1:7" x14ac:dyDescent="0.25">
      <c r="A445" t="s">
        <v>1088</v>
      </c>
      <c r="B445" t="s">
        <v>2275</v>
      </c>
      <c r="C445">
        <v>51.463000011111099</v>
      </c>
      <c r="D445">
        <v>-9.7952855555555496E-2</v>
      </c>
      <c r="E445" t="s">
        <v>673</v>
      </c>
      <c r="F445">
        <v>9</v>
      </c>
      <c r="G445" t="str">
        <f>IFERROR(VLOOKUP(B445, Churches!H:H, 1, FALSE), "")</f>
        <v/>
      </c>
    </row>
    <row r="446" spans="1:7" x14ac:dyDescent="0.25">
      <c r="A446" t="s">
        <v>1089</v>
      </c>
      <c r="B446" t="s">
        <v>2292</v>
      </c>
      <c r="C446">
        <v>51.404678140000001</v>
      </c>
      <c r="D446">
        <v>-0.12523020000000001</v>
      </c>
      <c r="E446" t="s">
        <v>673</v>
      </c>
      <c r="F446">
        <v>5</v>
      </c>
      <c r="G446" t="str">
        <f>IFERROR(VLOOKUP(B446, Churches!H:H, 1, FALSE), "")</f>
        <v/>
      </c>
    </row>
    <row r="447" spans="1:7" x14ac:dyDescent="0.25">
      <c r="A447" t="s">
        <v>1090</v>
      </c>
      <c r="B447" t="s">
        <v>2293</v>
      </c>
      <c r="C447">
        <v>51.493388400000001</v>
      </c>
      <c r="D447">
        <v>-0.178029825</v>
      </c>
      <c r="F447">
        <v>8</v>
      </c>
      <c r="G447" t="str">
        <f>IFERROR(VLOOKUP(B447, Churches!H:H, 1, FALSE), "")</f>
        <v/>
      </c>
    </row>
    <row r="448" spans="1:7" x14ac:dyDescent="0.25">
      <c r="A448" t="s">
        <v>676</v>
      </c>
      <c r="B448" t="s">
        <v>2294</v>
      </c>
      <c r="C448">
        <v>51.468765599999998</v>
      </c>
      <c r="D448">
        <v>-0.36428969999999999</v>
      </c>
      <c r="E448" t="s">
        <v>673</v>
      </c>
      <c r="F448">
        <v>9</v>
      </c>
      <c r="G448" t="str">
        <f>IFERROR(VLOOKUP(B448, Churches!H:H, 1, FALSE), "")</f>
        <v/>
      </c>
    </row>
    <row r="449" spans="1:7" x14ac:dyDescent="0.25">
      <c r="A449" t="s">
        <v>842</v>
      </c>
      <c r="B449" t="s">
        <v>2295</v>
      </c>
      <c r="C449">
        <v>51.53740054</v>
      </c>
      <c r="D449">
        <v>-0.10822917999999999</v>
      </c>
      <c r="F449">
        <v>5</v>
      </c>
      <c r="G449" t="str">
        <f>IFERROR(VLOOKUP(B449, Churches!H:H, 1, FALSE), "")</f>
        <v/>
      </c>
    </row>
    <row r="450" spans="1:7" x14ac:dyDescent="0.25">
      <c r="A450" t="s">
        <v>1091</v>
      </c>
      <c r="B450" t="s">
        <v>2296</v>
      </c>
      <c r="C450">
        <v>51.54337005</v>
      </c>
      <c r="D450">
        <v>-0.29810120000000001</v>
      </c>
      <c r="F450">
        <v>6</v>
      </c>
      <c r="G450" t="str">
        <f>IFERROR(VLOOKUP(B450, Churches!H:H, 1, FALSE), "")</f>
        <v/>
      </c>
    </row>
    <row r="451" spans="1:7" x14ac:dyDescent="0.25">
      <c r="A451" t="s">
        <v>676</v>
      </c>
      <c r="B451" t="s">
        <v>2297</v>
      </c>
      <c r="C451">
        <v>51.500090058333299</v>
      </c>
      <c r="D451">
        <v>-0.178858516666666</v>
      </c>
      <c r="F451">
        <v>12</v>
      </c>
      <c r="G451" t="str">
        <f>IFERROR(VLOOKUP(B451, Churches!H:H, 1, FALSE), "")</f>
        <v/>
      </c>
    </row>
    <row r="452" spans="1:7" x14ac:dyDescent="0.25">
      <c r="A452" t="s">
        <v>1092</v>
      </c>
      <c r="B452" t="s">
        <v>2298</v>
      </c>
      <c r="C452">
        <v>51.544746041666599</v>
      </c>
      <c r="D452">
        <v>-0.102377333333333</v>
      </c>
      <c r="F452">
        <v>12</v>
      </c>
      <c r="G452" t="str">
        <f>IFERROR(VLOOKUP(B452, Churches!H:H, 1, FALSE), "")</f>
        <v/>
      </c>
    </row>
    <row r="453" spans="1:7" x14ac:dyDescent="0.25">
      <c r="A453" t="s">
        <v>1093</v>
      </c>
      <c r="B453" t="s">
        <v>2299</v>
      </c>
      <c r="C453">
        <v>51.389787447058801</v>
      </c>
      <c r="D453">
        <v>-0.29243965882352901</v>
      </c>
      <c r="E453" t="s">
        <v>673</v>
      </c>
      <c r="F453">
        <v>17</v>
      </c>
      <c r="G453" t="str">
        <f>IFERROR(VLOOKUP(B453, Churches!H:H, 1, FALSE), "")</f>
        <v/>
      </c>
    </row>
    <row r="454" spans="1:7" x14ac:dyDescent="0.25">
      <c r="A454" t="s">
        <v>1094</v>
      </c>
      <c r="B454" t="s">
        <v>2300</v>
      </c>
      <c r="C454">
        <v>51.410850057142802</v>
      </c>
      <c r="D454">
        <v>-0.29646048571428502</v>
      </c>
      <c r="F454">
        <v>7</v>
      </c>
      <c r="G454" t="str">
        <f>IFERROR(VLOOKUP(B454, Churches!H:H, 1, FALSE), "")</f>
        <v/>
      </c>
    </row>
    <row r="455" spans="1:7" x14ac:dyDescent="0.25">
      <c r="A455" t="s">
        <v>1095</v>
      </c>
      <c r="B455" t="s">
        <v>2261</v>
      </c>
      <c r="C455">
        <v>51.395270500000002</v>
      </c>
      <c r="D455">
        <v>-0.25477003999999998</v>
      </c>
      <c r="E455" t="s">
        <v>673</v>
      </c>
      <c r="F455">
        <v>5</v>
      </c>
      <c r="G455" t="str">
        <f>IFERROR(VLOOKUP(B455, Churches!H:H, 1, FALSE), "")</f>
        <v/>
      </c>
    </row>
    <row r="456" spans="1:7" x14ac:dyDescent="0.25">
      <c r="A456" t="s">
        <v>1096</v>
      </c>
      <c r="B456" t="s">
        <v>2301</v>
      </c>
      <c r="C456">
        <v>51.518089878571402</v>
      </c>
      <c r="D456">
        <v>-0.14310592857142801</v>
      </c>
      <c r="E456" t="s">
        <v>673</v>
      </c>
      <c r="F456">
        <v>28</v>
      </c>
      <c r="G456" t="str">
        <f>IFERROR(VLOOKUP(B456, Churches!H:H, 1, FALSE), "")</f>
        <v/>
      </c>
    </row>
    <row r="457" spans="1:7" x14ac:dyDescent="0.25">
      <c r="A457" t="s">
        <v>1097</v>
      </c>
      <c r="B457" t="s">
        <v>2275</v>
      </c>
      <c r="C457">
        <v>51.470864769230701</v>
      </c>
      <c r="D457">
        <v>-5.3934992307692303E-2</v>
      </c>
      <c r="E457" t="s">
        <v>673</v>
      </c>
      <c r="F457">
        <v>13</v>
      </c>
      <c r="G457" t="str">
        <f>IFERROR(VLOOKUP(B457, Churches!H:H, 1, FALSE), "")</f>
        <v/>
      </c>
    </row>
    <row r="458" spans="1:7" x14ac:dyDescent="0.25">
      <c r="A458" t="s">
        <v>880</v>
      </c>
      <c r="B458" t="s">
        <v>2302</v>
      </c>
      <c r="C458">
        <v>51.5524914571428</v>
      </c>
      <c r="D458">
        <v>-0.14244712857142799</v>
      </c>
      <c r="F458">
        <v>7</v>
      </c>
      <c r="G458" t="str">
        <f>IFERROR(VLOOKUP(B458, Churches!H:H, 1, FALSE), "")</f>
        <v/>
      </c>
    </row>
    <row r="459" spans="1:7" x14ac:dyDescent="0.25">
      <c r="A459" t="s">
        <v>1098</v>
      </c>
      <c r="B459" t="s">
        <v>2275</v>
      </c>
      <c r="C459">
        <v>51.568774219999902</v>
      </c>
      <c r="D459">
        <v>1.0974413333333301E-2</v>
      </c>
      <c r="E459" t="s">
        <v>673</v>
      </c>
      <c r="F459">
        <v>30</v>
      </c>
      <c r="G459" t="str">
        <f>IFERROR(VLOOKUP(B459, Churches!H:H, 1, FALSE), "")</f>
        <v/>
      </c>
    </row>
    <row r="460" spans="1:7" x14ac:dyDescent="0.25">
      <c r="A460" t="s">
        <v>1099</v>
      </c>
      <c r="B460" t="s">
        <v>2275</v>
      </c>
      <c r="C460">
        <v>51.545322157142799</v>
      </c>
      <c r="D460">
        <v>-3.04833571428571E-2</v>
      </c>
      <c r="F460">
        <v>7</v>
      </c>
      <c r="G460" t="str">
        <f>IFERROR(VLOOKUP(B460, Churches!H:H, 1, FALSE), "")</f>
        <v/>
      </c>
    </row>
    <row r="461" spans="1:7" x14ac:dyDescent="0.25">
      <c r="A461" t="s">
        <v>1100</v>
      </c>
      <c r="B461" t="s">
        <v>2303</v>
      </c>
      <c r="C461">
        <v>51.574184831999901</v>
      </c>
      <c r="D461">
        <v>-0.33735474799999998</v>
      </c>
      <c r="E461" t="s">
        <v>673</v>
      </c>
      <c r="F461">
        <v>25</v>
      </c>
      <c r="G461" t="str">
        <f>IFERROR(VLOOKUP(B461, Churches!H:H, 1, FALSE), "")</f>
        <v/>
      </c>
    </row>
    <row r="462" spans="1:7" x14ac:dyDescent="0.25">
      <c r="A462" t="s">
        <v>1101</v>
      </c>
      <c r="B462" t="s">
        <v>2304</v>
      </c>
      <c r="C462">
        <v>51.5210574785714</v>
      </c>
      <c r="D462">
        <v>-0.13545767857142799</v>
      </c>
      <c r="F462">
        <v>14</v>
      </c>
      <c r="G462" t="str">
        <f>IFERROR(VLOOKUP(B462, Churches!H:H, 1, FALSE), "")</f>
        <v/>
      </c>
    </row>
    <row r="463" spans="1:7" x14ac:dyDescent="0.25">
      <c r="A463" t="s">
        <v>1102</v>
      </c>
      <c r="B463" t="s">
        <v>2305</v>
      </c>
      <c r="C463">
        <v>51.462434639999998</v>
      </c>
      <c r="D463">
        <v>-0.14199365999999899</v>
      </c>
      <c r="E463" t="s">
        <v>673</v>
      </c>
      <c r="F463">
        <v>5</v>
      </c>
      <c r="G463" t="str">
        <f>IFERROR(VLOOKUP(B463, Churches!H:H, 1, FALSE), "")</f>
        <v/>
      </c>
    </row>
    <row r="464" spans="1:7" x14ac:dyDescent="0.25">
      <c r="A464" t="s">
        <v>1103</v>
      </c>
      <c r="B464" t="s">
        <v>2306</v>
      </c>
      <c r="C464">
        <v>51.556877499999999</v>
      </c>
      <c r="D464">
        <v>-0.12662644000000001</v>
      </c>
      <c r="F464">
        <v>5</v>
      </c>
      <c r="G464" t="str">
        <f>IFERROR(VLOOKUP(B464, Churches!H:H, 1, FALSE), "")</f>
        <v/>
      </c>
    </row>
    <row r="465" spans="1:7" x14ac:dyDescent="0.25">
      <c r="A465" t="s">
        <v>1104</v>
      </c>
      <c r="B465" t="s">
        <v>2307</v>
      </c>
      <c r="C465">
        <v>51.533432650000002</v>
      </c>
      <c r="D465">
        <v>-0.11193975</v>
      </c>
      <c r="E465" t="s">
        <v>673</v>
      </c>
      <c r="F465">
        <v>10</v>
      </c>
      <c r="G465" t="str">
        <f>IFERROR(VLOOKUP(B465, Churches!H:H, 1, FALSE), "")</f>
        <v/>
      </c>
    </row>
    <row r="466" spans="1:7" x14ac:dyDescent="0.25">
      <c r="A466" t="s">
        <v>327</v>
      </c>
      <c r="B466" t="s">
        <v>2275</v>
      </c>
      <c r="C466">
        <v>51.552575915789397</v>
      </c>
      <c r="D466">
        <v>-9.8705942105263095E-2</v>
      </c>
      <c r="E466" t="s">
        <v>673</v>
      </c>
      <c r="F466">
        <v>19</v>
      </c>
      <c r="G466" t="str">
        <f>IFERROR(VLOOKUP(B466, Churches!H:H, 1, FALSE), "")</f>
        <v/>
      </c>
    </row>
    <row r="467" spans="1:7" x14ac:dyDescent="0.25">
      <c r="A467" t="s">
        <v>1105</v>
      </c>
      <c r="B467" t="s">
        <v>2308</v>
      </c>
      <c r="C467">
        <v>51.517269874999997</v>
      </c>
      <c r="D467">
        <v>-0.106653515</v>
      </c>
      <c r="E467" t="s">
        <v>673</v>
      </c>
      <c r="F467">
        <v>20</v>
      </c>
      <c r="G467" t="str">
        <f>IFERROR(VLOOKUP(B467, Churches!H:H, 1, FALSE), "")</f>
        <v/>
      </c>
    </row>
    <row r="468" spans="1:7" x14ac:dyDescent="0.25">
      <c r="A468" t="s">
        <v>1106</v>
      </c>
      <c r="B468" t="s">
        <v>2309</v>
      </c>
      <c r="C468">
        <v>51.562527879999998</v>
      </c>
      <c r="D468">
        <v>-6.660758E-2</v>
      </c>
      <c r="E468" t="s">
        <v>673</v>
      </c>
      <c r="F468">
        <v>5</v>
      </c>
      <c r="G468" t="str">
        <f>IFERROR(VLOOKUP(B468, Churches!H:H, 1, FALSE), "")</f>
        <v/>
      </c>
    </row>
    <row r="469" spans="1:7" x14ac:dyDescent="0.25">
      <c r="A469" t="s">
        <v>1107</v>
      </c>
      <c r="B469" t="s">
        <v>2310</v>
      </c>
      <c r="C469">
        <v>51.458504060000003</v>
      </c>
      <c r="D469">
        <v>-0.20634755999999899</v>
      </c>
      <c r="E469" t="s">
        <v>673</v>
      </c>
      <c r="F469">
        <v>5</v>
      </c>
      <c r="G469" t="str">
        <f>IFERROR(VLOOKUP(B469, Churches!H:H, 1, FALSE), "")</f>
        <v/>
      </c>
    </row>
    <row r="470" spans="1:7" x14ac:dyDescent="0.25">
      <c r="A470" t="s">
        <v>1108</v>
      </c>
      <c r="B470" t="s">
        <v>2275</v>
      </c>
      <c r="C470">
        <v>51.540967088888799</v>
      </c>
      <c r="D470">
        <v>-9.7206333333333297E-2</v>
      </c>
      <c r="E470" t="s">
        <v>673</v>
      </c>
      <c r="F470">
        <v>9</v>
      </c>
      <c r="G470" t="str">
        <f>IFERROR(VLOOKUP(B470, Churches!H:H, 1, FALSE), "")</f>
        <v/>
      </c>
    </row>
    <row r="471" spans="1:7" x14ac:dyDescent="0.25">
      <c r="A471" t="s">
        <v>1109</v>
      </c>
      <c r="B471" t="s">
        <v>2311</v>
      </c>
      <c r="C471">
        <v>51.508836959999996</v>
      </c>
      <c r="D471">
        <v>-0.12671062</v>
      </c>
      <c r="E471" t="s">
        <v>673</v>
      </c>
      <c r="F471">
        <v>5</v>
      </c>
      <c r="G471" t="str">
        <f>IFERROR(VLOOKUP(B471, Churches!H:H, 1, FALSE), "")</f>
        <v/>
      </c>
    </row>
    <row r="472" spans="1:7" x14ac:dyDescent="0.25">
      <c r="A472" t="s">
        <v>708</v>
      </c>
      <c r="B472" t="s">
        <v>237</v>
      </c>
      <c r="C472">
        <v>51.565143499999998</v>
      </c>
      <c r="D472">
        <v>-0.11581909999999999</v>
      </c>
      <c r="F472">
        <v>5</v>
      </c>
    </row>
    <row r="473" spans="1:7" x14ac:dyDescent="0.25">
      <c r="A473" t="s">
        <v>724</v>
      </c>
      <c r="B473" t="s">
        <v>2275</v>
      </c>
      <c r="C473">
        <v>51.416601940908997</v>
      </c>
      <c r="D473">
        <v>-5.4874281818181797E-2</v>
      </c>
      <c r="E473" t="s">
        <v>673</v>
      </c>
      <c r="F473">
        <v>22</v>
      </c>
      <c r="G473" t="str">
        <f>IFERROR(VLOOKUP(B473, Churches!H:H, 1, FALSE), "")</f>
        <v/>
      </c>
    </row>
    <row r="474" spans="1:7" x14ac:dyDescent="0.25">
      <c r="A474" t="s">
        <v>1110</v>
      </c>
      <c r="B474" t="s">
        <v>2312</v>
      </c>
      <c r="C474">
        <v>51.516706800000001</v>
      </c>
      <c r="D474">
        <v>-0.102274921428571</v>
      </c>
      <c r="E474" t="s">
        <v>673</v>
      </c>
      <c r="F474">
        <v>14</v>
      </c>
      <c r="G474" t="str">
        <f>IFERROR(VLOOKUP(B474, Churches!H:H, 1, FALSE), "")</f>
        <v/>
      </c>
    </row>
    <row r="475" spans="1:7" x14ac:dyDescent="0.25">
      <c r="A475" t="s">
        <v>1111</v>
      </c>
      <c r="B475" t="s">
        <v>2275</v>
      </c>
      <c r="C475">
        <v>51.518927687804798</v>
      </c>
      <c r="D475">
        <v>-9.9538575609756097E-2</v>
      </c>
      <c r="E475" t="s">
        <v>673</v>
      </c>
      <c r="F475">
        <v>41</v>
      </c>
      <c r="G475" t="str">
        <f>IFERROR(VLOOKUP(B475, Churches!H:H, 1, FALSE), "")</f>
        <v/>
      </c>
    </row>
    <row r="476" spans="1:7" x14ac:dyDescent="0.25">
      <c r="A476" t="s">
        <v>1112</v>
      </c>
      <c r="B476" t="s">
        <v>2313</v>
      </c>
      <c r="C476">
        <v>51.535922242857097</v>
      </c>
      <c r="D476">
        <v>-0.110739399999999</v>
      </c>
      <c r="F476">
        <v>7</v>
      </c>
      <c r="G476" t="str">
        <f>IFERROR(VLOOKUP(B476, Churches!H:H, 1, FALSE), "")</f>
        <v/>
      </c>
    </row>
    <row r="477" spans="1:7" x14ac:dyDescent="0.25">
      <c r="A477" t="s">
        <v>1113</v>
      </c>
      <c r="B477" t="s">
        <v>2314</v>
      </c>
      <c r="C477">
        <v>51.549523814285699</v>
      </c>
      <c r="D477">
        <v>-0.10785255714285701</v>
      </c>
      <c r="F477">
        <v>7</v>
      </c>
      <c r="G477" t="str">
        <f>IFERROR(VLOOKUP(B477, Churches!H:H, 1, FALSE), "")</f>
        <v/>
      </c>
    </row>
    <row r="478" spans="1:7" x14ac:dyDescent="0.25">
      <c r="A478" t="s">
        <v>1114</v>
      </c>
      <c r="B478" t="s">
        <v>2315</v>
      </c>
      <c r="C478">
        <v>51.411791940000001</v>
      </c>
      <c r="D478">
        <v>-0.31272654</v>
      </c>
      <c r="F478">
        <v>5</v>
      </c>
      <c r="G478" t="str">
        <f>IFERROR(VLOOKUP(B478, Churches!H:H, 1, FALSE), "")</f>
        <v/>
      </c>
    </row>
    <row r="479" spans="1:7" x14ac:dyDescent="0.25">
      <c r="A479" t="s">
        <v>1115</v>
      </c>
      <c r="B479" t="s">
        <v>2316</v>
      </c>
      <c r="C479">
        <v>51.481381676470498</v>
      </c>
      <c r="D479">
        <v>-0.11179507647058801</v>
      </c>
      <c r="E479" t="s">
        <v>673</v>
      </c>
      <c r="F479">
        <v>17</v>
      </c>
      <c r="G479" t="str">
        <f>IFERROR(VLOOKUP(B479, Churches!H:H, 1, FALSE), "")</f>
        <v/>
      </c>
    </row>
    <row r="480" spans="1:7" x14ac:dyDescent="0.25">
      <c r="A480" t="s">
        <v>1116</v>
      </c>
      <c r="B480" t="s">
        <v>2317</v>
      </c>
      <c r="C480">
        <v>51.514591379999999</v>
      </c>
      <c r="D480">
        <v>-0.24294974</v>
      </c>
      <c r="F480">
        <v>5</v>
      </c>
      <c r="G480" t="str">
        <f>IFERROR(VLOOKUP(B480, Churches!H:H, 1, FALSE), "")</f>
        <v/>
      </c>
    </row>
    <row r="481" spans="1:7" x14ac:dyDescent="0.25">
      <c r="A481" t="s">
        <v>1117</v>
      </c>
      <c r="B481" t="s">
        <v>2275</v>
      </c>
      <c r="C481">
        <v>51.409176917948699</v>
      </c>
      <c r="D481">
        <v>-2.4561053846153799E-2</v>
      </c>
      <c r="F481">
        <v>39</v>
      </c>
      <c r="G481" t="str">
        <f>IFERROR(VLOOKUP(B481, Churches!H:H, 1, FALSE), "")</f>
        <v/>
      </c>
    </row>
    <row r="482" spans="1:7" x14ac:dyDescent="0.25">
      <c r="A482" t="s">
        <v>1118</v>
      </c>
      <c r="B482" t="s">
        <v>2318</v>
      </c>
      <c r="C482">
        <v>51.462403382142803</v>
      </c>
      <c r="D482">
        <v>-7.2126549999999998E-2</v>
      </c>
      <c r="E482" t="s">
        <v>673</v>
      </c>
      <c r="F482">
        <v>28</v>
      </c>
      <c r="G482" t="str">
        <f>IFERROR(VLOOKUP(B482, Churches!H:H, 1, FALSE), "")</f>
        <v/>
      </c>
    </row>
    <row r="483" spans="1:7" x14ac:dyDescent="0.25">
      <c r="A483" t="s">
        <v>725</v>
      </c>
      <c r="B483" t="s">
        <v>2319</v>
      </c>
      <c r="C483">
        <v>51.395164442857102</v>
      </c>
      <c r="D483">
        <v>-0.30050526666666599</v>
      </c>
      <c r="E483" t="s">
        <v>673</v>
      </c>
      <c r="F483">
        <v>21</v>
      </c>
      <c r="G483" t="str">
        <f>IFERROR(VLOOKUP(B483, Churches!H:H, 1, FALSE), "")</f>
        <v/>
      </c>
    </row>
    <row r="484" spans="1:7" x14ac:dyDescent="0.25">
      <c r="A484" t="s">
        <v>1119</v>
      </c>
      <c r="B484" t="s">
        <v>2320</v>
      </c>
      <c r="C484">
        <v>51.403713323809498</v>
      </c>
      <c r="D484">
        <v>-0.21254286190476099</v>
      </c>
      <c r="E484" t="s">
        <v>673</v>
      </c>
      <c r="F484">
        <v>21</v>
      </c>
      <c r="G484" t="str">
        <f>IFERROR(VLOOKUP(B484, Churches!H:H, 1, FALSE), "")</f>
        <v/>
      </c>
    </row>
    <row r="485" spans="1:7" x14ac:dyDescent="0.25">
      <c r="A485" t="s">
        <v>1120</v>
      </c>
      <c r="B485" t="s">
        <v>2275</v>
      </c>
      <c r="C485">
        <v>51.4569046857142</v>
      </c>
      <c r="D485">
        <v>-6.6679385714285694E-2</v>
      </c>
      <c r="F485">
        <v>7</v>
      </c>
      <c r="G485" t="str">
        <f>IFERROR(VLOOKUP(B485, Churches!H:H, 1, FALSE), "")</f>
        <v/>
      </c>
    </row>
    <row r="486" spans="1:7" x14ac:dyDescent="0.25">
      <c r="A486" t="s">
        <v>1121</v>
      </c>
      <c r="B486" t="s">
        <v>2321</v>
      </c>
      <c r="C486">
        <v>51.482020499999997</v>
      </c>
      <c r="D486">
        <v>-0.15906217142857099</v>
      </c>
      <c r="F486">
        <v>21</v>
      </c>
      <c r="G486" t="str">
        <f>IFERROR(VLOOKUP(B486, Churches!H:H, 1, FALSE), "")</f>
        <v/>
      </c>
    </row>
    <row r="487" spans="1:7" x14ac:dyDescent="0.25">
      <c r="A487" t="s">
        <v>776</v>
      </c>
      <c r="B487" t="s">
        <v>2275</v>
      </c>
      <c r="C487">
        <v>51.537176959999996</v>
      </c>
      <c r="D487">
        <v>-9.5737419999999906E-2</v>
      </c>
      <c r="F487">
        <v>5</v>
      </c>
      <c r="G487" t="str">
        <f>IFERROR(VLOOKUP(B487, Churches!H:H, 1, FALSE), "")</f>
        <v/>
      </c>
    </row>
    <row r="488" spans="1:7" x14ac:dyDescent="0.25">
      <c r="A488" t="s">
        <v>894</v>
      </c>
      <c r="B488" t="s">
        <v>2275</v>
      </c>
      <c r="C488">
        <v>51.527824033333303</v>
      </c>
      <c r="D488">
        <v>-9.7521433333333296E-2</v>
      </c>
      <c r="E488" t="s">
        <v>673</v>
      </c>
      <c r="F488">
        <v>9</v>
      </c>
      <c r="G488" t="str">
        <f>IFERROR(VLOOKUP(B488, Churches!H:H, 1, FALSE), "")</f>
        <v/>
      </c>
    </row>
    <row r="489" spans="1:7" x14ac:dyDescent="0.25">
      <c r="A489" t="s">
        <v>821</v>
      </c>
      <c r="B489" t="s">
        <v>2322</v>
      </c>
      <c r="C489">
        <v>51.469370499999897</v>
      </c>
      <c r="D489">
        <v>-6.9347925000000005E-2</v>
      </c>
      <c r="E489" t="s">
        <v>673</v>
      </c>
      <c r="F489">
        <v>20</v>
      </c>
      <c r="G489" t="str">
        <f>IFERROR(VLOOKUP(B489, Churches!H:H, 1, FALSE), "")</f>
        <v/>
      </c>
    </row>
    <row r="490" spans="1:7" x14ac:dyDescent="0.25">
      <c r="A490" t="s">
        <v>1122</v>
      </c>
      <c r="B490" t="s">
        <v>2323</v>
      </c>
      <c r="C490">
        <v>51.512066733333299</v>
      </c>
      <c r="D490">
        <v>-0.21577828666666601</v>
      </c>
      <c r="E490" t="s">
        <v>673</v>
      </c>
      <c r="F490">
        <v>30</v>
      </c>
      <c r="G490" t="str">
        <f>IFERROR(VLOOKUP(B490, Churches!H:H, 1, FALSE), "")</f>
        <v/>
      </c>
    </row>
    <row r="491" spans="1:7" x14ac:dyDescent="0.25">
      <c r="A491" t="s">
        <v>1123</v>
      </c>
      <c r="B491" t="s">
        <v>2324</v>
      </c>
      <c r="C491">
        <v>51.512463339999996</v>
      </c>
      <c r="D491">
        <v>-0.23066274</v>
      </c>
      <c r="E491" t="s">
        <v>673</v>
      </c>
      <c r="F491">
        <v>5</v>
      </c>
      <c r="G491" t="str">
        <f>IFERROR(VLOOKUP(B491, Churches!H:H, 1, FALSE), "")</f>
        <v/>
      </c>
    </row>
    <row r="492" spans="1:7" x14ac:dyDescent="0.25">
      <c r="A492" t="s">
        <v>1124</v>
      </c>
      <c r="B492" t="s">
        <v>2275</v>
      </c>
      <c r="C492">
        <v>51.453154378787801</v>
      </c>
      <c r="D492">
        <v>-6.8623960606060602E-2</v>
      </c>
      <c r="E492" t="s">
        <v>673</v>
      </c>
      <c r="F492">
        <v>33</v>
      </c>
      <c r="G492" t="str">
        <f>IFERROR(VLOOKUP(B492, Churches!H:H, 1, FALSE), "")</f>
        <v/>
      </c>
    </row>
    <row r="493" spans="1:7" x14ac:dyDescent="0.25">
      <c r="A493" t="s">
        <v>1125</v>
      </c>
      <c r="B493" t="s">
        <v>2325</v>
      </c>
      <c r="C493">
        <v>51.546104</v>
      </c>
      <c r="D493">
        <v>-0.215140445454545</v>
      </c>
      <c r="F493">
        <v>11</v>
      </c>
      <c r="G493" t="str">
        <f>IFERROR(VLOOKUP(B493, Churches!H:H, 1, FALSE), "")</f>
        <v/>
      </c>
    </row>
    <row r="494" spans="1:7" x14ac:dyDescent="0.25">
      <c r="A494" t="s">
        <v>1126</v>
      </c>
      <c r="B494" t="s">
        <v>2326</v>
      </c>
      <c r="C494">
        <v>51.497877445454499</v>
      </c>
      <c r="D494">
        <v>-0.16979820909090901</v>
      </c>
      <c r="E494" t="s">
        <v>673</v>
      </c>
      <c r="F494">
        <v>11</v>
      </c>
      <c r="G494" t="str">
        <f>IFERROR(VLOOKUP(B494, Churches!H:H, 1, FALSE), "")</f>
        <v/>
      </c>
    </row>
    <row r="495" spans="1:7" x14ac:dyDescent="0.25">
      <c r="A495" t="s">
        <v>1127</v>
      </c>
      <c r="B495" t="s">
        <v>2327</v>
      </c>
      <c r="C495">
        <v>51.545874900000001</v>
      </c>
      <c r="D495">
        <v>-0.191666335294117</v>
      </c>
      <c r="E495" t="s">
        <v>673</v>
      </c>
      <c r="F495">
        <v>17</v>
      </c>
      <c r="G495" t="str">
        <f>IFERROR(VLOOKUP(B495, Churches!H:H, 1, FALSE), "")</f>
        <v/>
      </c>
    </row>
    <row r="496" spans="1:7" x14ac:dyDescent="0.25">
      <c r="A496" t="s">
        <v>1128</v>
      </c>
      <c r="B496" t="s">
        <v>2275</v>
      </c>
      <c r="C496">
        <v>51.442361787499998</v>
      </c>
      <c r="D496">
        <v>-1.9853274999999899E-2</v>
      </c>
      <c r="E496" t="s">
        <v>673</v>
      </c>
      <c r="F496">
        <v>16</v>
      </c>
      <c r="G496" t="str">
        <f>IFERROR(VLOOKUP(B496, Churches!H:H, 1, FALSE), "")</f>
        <v/>
      </c>
    </row>
    <row r="497" spans="1:7" x14ac:dyDescent="0.25">
      <c r="A497" t="s">
        <v>1129</v>
      </c>
      <c r="B497" t="s">
        <v>2275</v>
      </c>
      <c r="C497">
        <v>51.404974164285697</v>
      </c>
      <c r="D497">
        <v>1.3077121428571399E-2</v>
      </c>
      <c r="E497" t="s">
        <v>673</v>
      </c>
      <c r="F497">
        <v>14</v>
      </c>
      <c r="G497" t="str">
        <f>IFERROR(VLOOKUP(B497, Churches!H:H, 1, FALSE), "")</f>
        <v/>
      </c>
    </row>
    <row r="498" spans="1:7" x14ac:dyDescent="0.25">
      <c r="A498" t="s">
        <v>1130</v>
      </c>
      <c r="B498" t="s">
        <v>2328</v>
      </c>
      <c r="C498">
        <v>51.446718927272698</v>
      </c>
      <c r="D498">
        <v>-0.30122084545454503</v>
      </c>
      <c r="E498" t="s">
        <v>673</v>
      </c>
      <c r="F498">
        <v>11</v>
      </c>
      <c r="G498" t="str">
        <f>IFERROR(VLOOKUP(B498, Churches!H:H, 1, FALSE), "")</f>
        <v/>
      </c>
    </row>
    <row r="499" spans="1:7" x14ac:dyDescent="0.25">
      <c r="A499" t="s">
        <v>1131</v>
      </c>
      <c r="B499" t="s">
        <v>2329</v>
      </c>
      <c r="C499">
        <v>51.485589019999999</v>
      </c>
      <c r="D499">
        <v>-0.16389628000000001</v>
      </c>
      <c r="F499">
        <v>5</v>
      </c>
      <c r="G499" t="str">
        <f>IFERROR(VLOOKUP(B499, Churches!H:H, 1, FALSE), "")</f>
        <v/>
      </c>
    </row>
    <row r="500" spans="1:7" x14ac:dyDescent="0.25">
      <c r="A500" t="s">
        <v>1132</v>
      </c>
      <c r="B500" t="s">
        <v>2330</v>
      </c>
      <c r="C500">
        <v>51.497991939999999</v>
      </c>
      <c r="D500">
        <v>-0.14902969333333299</v>
      </c>
      <c r="E500" t="s">
        <v>673</v>
      </c>
      <c r="F500">
        <v>15</v>
      </c>
      <c r="G500" t="str">
        <f>IFERROR(VLOOKUP(B500, Churches!H:H, 1, FALSE), "")</f>
        <v/>
      </c>
    </row>
    <row r="501" spans="1:7" x14ac:dyDescent="0.25">
      <c r="A501" t="s">
        <v>717</v>
      </c>
      <c r="B501" t="s">
        <v>2331</v>
      </c>
      <c r="C501">
        <v>51.4896363454545</v>
      </c>
      <c r="D501">
        <v>-0.16922931818181799</v>
      </c>
      <c r="E501" t="s">
        <v>673</v>
      </c>
      <c r="F501">
        <v>11</v>
      </c>
      <c r="G501" t="str">
        <f>IFERROR(VLOOKUP(B501, Churches!H:H, 1, FALSE), "")</f>
        <v/>
      </c>
    </row>
    <row r="502" spans="1:7" x14ac:dyDescent="0.25">
      <c r="A502" t="s">
        <v>1133</v>
      </c>
      <c r="B502" t="s">
        <v>2332</v>
      </c>
      <c r="C502">
        <v>51.512554733333303</v>
      </c>
      <c r="D502">
        <v>-0.14274838666666601</v>
      </c>
      <c r="F502">
        <v>15</v>
      </c>
      <c r="G502" t="str">
        <f>IFERROR(VLOOKUP(B502, Churches!H:H, 1, FALSE), "")</f>
        <v/>
      </c>
    </row>
    <row r="503" spans="1:7" x14ac:dyDescent="0.25">
      <c r="A503" t="s">
        <v>788</v>
      </c>
      <c r="B503" t="s">
        <v>2333</v>
      </c>
      <c r="C503">
        <v>51.491471093333303</v>
      </c>
      <c r="D503">
        <v>-0.22559409999999999</v>
      </c>
      <c r="E503" t="s">
        <v>673</v>
      </c>
      <c r="F503">
        <v>15</v>
      </c>
      <c r="G503" t="str">
        <f>IFERROR(VLOOKUP(B503, Churches!H:H, 1, FALSE), "")</f>
        <v/>
      </c>
    </row>
    <row r="504" spans="1:7" x14ac:dyDescent="0.25">
      <c r="A504" t="s">
        <v>821</v>
      </c>
      <c r="B504" t="s">
        <v>2275</v>
      </c>
      <c r="C504">
        <v>51.411122919999997</v>
      </c>
      <c r="D504">
        <v>-8.6937859999999895E-2</v>
      </c>
      <c r="E504" t="s">
        <v>673</v>
      </c>
      <c r="F504">
        <v>5</v>
      </c>
      <c r="G504" t="str">
        <f>IFERROR(VLOOKUP(B504, Churches!H:H, 1, FALSE), "")</f>
        <v/>
      </c>
    </row>
    <row r="505" spans="1:7" x14ac:dyDescent="0.25">
      <c r="A505" t="s">
        <v>1134</v>
      </c>
      <c r="B505" t="s">
        <v>2275</v>
      </c>
      <c r="C505">
        <v>51.442511272222198</v>
      </c>
      <c r="D505">
        <v>-6.6941544444444404E-2</v>
      </c>
      <c r="F505">
        <v>18</v>
      </c>
      <c r="G505" t="str">
        <f>IFERROR(VLOOKUP(B505, Churches!H:H, 1, FALSE), "")</f>
        <v/>
      </c>
    </row>
    <row r="506" spans="1:7" x14ac:dyDescent="0.25">
      <c r="A506" t="s">
        <v>1135</v>
      </c>
      <c r="B506" t="s">
        <v>2334</v>
      </c>
      <c r="C506">
        <v>51.571323040000003</v>
      </c>
      <c r="D506">
        <v>3.250658E-2</v>
      </c>
      <c r="E506" t="s">
        <v>673</v>
      </c>
      <c r="F506">
        <v>5</v>
      </c>
      <c r="G506" t="str">
        <f>IFERROR(VLOOKUP(B506, Churches!H:H, 1, FALSE), "")</f>
        <v/>
      </c>
    </row>
    <row r="507" spans="1:7" x14ac:dyDescent="0.25">
      <c r="A507" t="s">
        <v>1136</v>
      </c>
      <c r="B507" t="s">
        <v>2335</v>
      </c>
      <c r="C507">
        <v>51.46743678</v>
      </c>
      <c r="D507">
        <v>-0.10912503999999899</v>
      </c>
      <c r="E507" t="s">
        <v>673</v>
      </c>
      <c r="F507">
        <v>5</v>
      </c>
      <c r="G507" t="str">
        <f>IFERROR(VLOOKUP(B507, Churches!H:H, 1, FALSE), "")</f>
        <v/>
      </c>
    </row>
    <row r="508" spans="1:7" x14ac:dyDescent="0.25">
      <c r="A508" t="s">
        <v>1137</v>
      </c>
      <c r="B508" t="s">
        <v>2336</v>
      </c>
      <c r="C508">
        <v>51.468923480000001</v>
      </c>
      <c r="D508">
        <v>-9.8880560000000006E-2</v>
      </c>
      <c r="E508" t="s">
        <v>673</v>
      </c>
      <c r="F508">
        <v>5</v>
      </c>
      <c r="G508" t="str">
        <f>IFERROR(VLOOKUP(B508, Churches!H:H, 1, FALSE), "")</f>
        <v/>
      </c>
    </row>
    <row r="509" spans="1:7" x14ac:dyDescent="0.25">
      <c r="A509" t="s">
        <v>1138</v>
      </c>
      <c r="B509" t="s">
        <v>2337</v>
      </c>
      <c r="C509">
        <v>51.467427267999902</v>
      </c>
      <c r="D509">
        <v>-6.9467427999999998E-2</v>
      </c>
      <c r="F509">
        <v>25</v>
      </c>
      <c r="G509" t="str">
        <f>IFERROR(VLOOKUP(B509, Churches!H:H, 1, FALSE), "")</f>
        <v/>
      </c>
    </row>
    <row r="510" spans="1:7" x14ac:dyDescent="0.25">
      <c r="A510" t="s">
        <v>1139</v>
      </c>
      <c r="B510" t="s">
        <v>2338</v>
      </c>
      <c r="C510">
        <v>51.464933825000003</v>
      </c>
      <c r="D510">
        <v>-6.9393949999999996E-2</v>
      </c>
      <c r="F510">
        <v>8</v>
      </c>
      <c r="G510" t="str">
        <f>IFERROR(VLOOKUP(B510, Churches!H:H, 1, FALSE), "")</f>
        <v/>
      </c>
    </row>
    <row r="511" spans="1:7" x14ac:dyDescent="0.25">
      <c r="A511" t="s">
        <v>821</v>
      </c>
      <c r="B511" t="s">
        <v>2339</v>
      </c>
      <c r="C511">
        <v>51.517342341666598</v>
      </c>
      <c r="D511">
        <v>-0.13895891666666599</v>
      </c>
      <c r="E511" t="s">
        <v>673</v>
      </c>
      <c r="F511">
        <v>12</v>
      </c>
      <c r="G511" t="str">
        <f>IFERROR(VLOOKUP(B511, Churches!H:H, 1, FALSE), "")</f>
        <v/>
      </c>
    </row>
    <row r="512" spans="1:7" x14ac:dyDescent="0.25">
      <c r="A512" t="s">
        <v>1140</v>
      </c>
      <c r="B512" t="s">
        <v>2340</v>
      </c>
      <c r="C512">
        <v>51.460656499999999</v>
      </c>
      <c r="D512">
        <v>5.8627400000000003E-2</v>
      </c>
      <c r="E512" t="s">
        <v>673</v>
      </c>
      <c r="F512">
        <v>7</v>
      </c>
      <c r="G512" t="str">
        <f>IFERROR(VLOOKUP(B512, Churches!H:H, 1, FALSE), "")</f>
        <v/>
      </c>
    </row>
    <row r="513" spans="1:7" x14ac:dyDescent="0.25">
      <c r="A513" t="s">
        <v>1141</v>
      </c>
      <c r="B513" t="s">
        <v>2341</v>
      </c>
      <c r="C513">
        <v>51.603300300000001</v>
      </c>
      <c r="D513">
        <v>-7.5776540000000003E-2</v>
      </c>
      <c r="F513">
        <v>5</v>
      </c>
      <c r="G513" t="str">
        <f>IFERROR(VLOOKUP(B513, Churches!H:H, 1, FALSE), "")</f>
        <v/>
      </c>
    </row>
    <row r="514" spans="1:7" x14ac:dyDescent="0.25">
      <c r="A514" t="s">
        <v>1142</v>
      </c>
      <c r="B514" t="s">
        <v>2275</v>
      </c>
      <c r="C514">
        <v>51.600749877777702</v>
      </c>
      <c r="D514">
        <v>-7.6651533333333299E-2</v>
      </c>
      <c r="F514">
        <v>9</v>
      </c>
      <c r="G514" t="str">
        <f>IFERROR(VLOOKUP(B514, Churches!H:H, 1, FALSE), "")</f>
        <v/>
      </c>
    </row>
    <row r="515" spans="1:7" x14ac:dyDescent="0.25">
      <c r="A515" t="s">
        <v>1143</v>
      </c>
      <c r="B515" t="s">
        <v>225</v>
      </c>
      <c r="C515">
        <v>51.523588066666598</v>
      </c>
      <c r="D515">
        <v>-0.105674266666666</v>
      </c>
      <c r="E515" t="s">
        <v>673</v>
      </c>
      <c r="F515">
        <v>9</v>
      </c>
    </row>
    <row r="516" spans="1:7" x14ac:dyDescent="0.25">
      <c r="A516" t="s">
        <v>1144</v>
      </c>
      <c r="B516" t="s">
        <v>2342</v>
      </c>
      <c r="C516">
        <v>51.549171679999901</v>
      </c>
      <c r="D516">
        <v>0.227184839999999</v>
      </c>
      <c r="F516">
        <v>5</v>
      </c>
      <c r="G516" t="str">
        <f>IFERROR(VLOOKUP(B516, Churches!H:H, 1, FALSE), "")</f>
        <v/>
      </c>
    </row>
    <row r="517" spans="1:7" x14ac:dyDescent="0.25">
      <c r="A517" t="s">
        <v>1145</v>
      </c>
      <c r="B517" t="s">
        <v>2343</v>
      </c>
      <c r="C517">
        <v>51.569840159999998</v>
      </c>
      <c r="D517">
        <v>-6.4196379999999997E-2</v>
      </c>
      <c r="E517" t="s">
        <v>673</v>
      </c>
      <c r="F517">
        <v>5</v>
      </c>
      <c r="G517" t="str">
        <f>IFERROR(VLOOKUP(B517, Churches!H:H, 1, FALSE), "")</f>
        <v/>
      </c>
    </row>
    <row r="518" spans="1:7" x14ac:dyDescent="0.25">
      <c r="A518" t="s">
        <v>1146</v>
      </c>
      <c r="B518" t="s">
        <v>2344</v>
      </c>
      <c r="C518">
        <v>51.537833219999897</v>
      </c>
      <c r="D518">
        <v>-0.15218302</v>
      </c>
      <c r="E518" t="s">
        <v>673</v>
      </c>
      <c r="F518">
        <v>5</v>
      </c>
      <c r="G518" t="str">
        <f>IFERROR(VLOOKUP(B518, Churches!H:H, 1, FALSE), "")</f>
        <v/>
      </c>
    </row>
    <row r="519" spans="1:7" x14ac:dyDescent="0.25">
      <c r="A519" t="s">
        <v>1147</v>
      </c>
      <c r="B519" t="s">
        <v>2345</v>
      </c>
      <c r="C519">
        <v>51.576992019999999</v>
      </c>
      <c r="D519">
        <v>-0.35080306</v>
      </c>
      <c r="E519" t="s">
        <v>673</v>
      </c>
      <c r="F519">
        <v>5</v>
      </c>
      <c r="G519" t="str">
        <f>IFERROR(VLOOKUP(B519, Churches!H:H, 1, FALSE), "")</f>
        <v/>
      </c>
    </row>
    <row r="520" spans="1:7" x14ac:dyDescent="0.25">
      <c r="A520" t="s">
        <v>1148</v>
      </c>
      <c r="B520" t="s">
        <v>2346</v>
      </c>
      <c r="C520">
        <v>51.535843479999997</v>
      </c>
      <c r="D520">
        <v>-0.13183726000000001</v>
      </c>
      <c r="F520">
        <v>5</v>
      </c>
      <c r="G520" t="str">
        <f>IFERROR(VLOOKUP(B520, Churches!H:H, 1, FALSE), "")</f>
        <v/>
      </c>
    </row>
    <row r="521" spans="1:7" x14ac:dyDescent="0.25">
      <c r="A521" t="s">
        <v>724</v>
      </c>
      <c r="B521" t="s">
        <v>2275</v>
      </c>
      <c r="C521">
        <v>51.411447152000001</v>
      </c>
      <c r="D521">
        <v>-8.0090879999999906E-2</v>
      </c>
      <c r="E521" t="s">
        <v>673</v>
      </c>
      <c r="F521">
        <v>25</v>
      </c>
      <c r="G521" t="str">
        <f>IFERROR(VLOOKUP(B521, Churches!H:H, 1, FALSE), "")</f>
        <v/>
      </c>
    </row>
    <row r="522" spans="1:7" x14ac:dyDescent="0.25">
      <c r="A522" t="s">
        <v>1149</v>
      </c>
      <c r="B522" t="s">
        <v>2347</v>
      </c>
      <c r="C522">
        <v>51.490982090909</v>
      </c>
      <c r="D522">
        <v>-0.310776118181818</v>
      </c>
      <c r="E522" t="s">
        <v>673</v>
      </c>
      <c r="F522">
        <v>11</v>
      </c>
      <c r="G522" t="str">
        <f>IFERROR(VLOOKUP(B522, Churches!H:H, 1, FALSE), "")</f>
        <v/>
      </c>
    </row>
    <row r="523" spans="1:7" x14ac:dyDescent="0.25">
      <c r="A523" t="s">
        <v>1150</v>
      </c>
      <c r="B523" t="s">
        <v>2348</v>
      </c>
      <c r="C523">
        <v>51.482370461538402</v>
      </c>
      <c r="D523">
        <v>-0.31021423846153801</v>
      </c>
      <c r="F523">
        <v>13</v>
      </c>
      <c r="G523" t="str">
        <f>IFERROR(VLOOKUP(B523, Churches!H:H, 1, FALSE), "")</f>
        <v/>
      </c>
    </row>
    <row r="524" spans="1:7" x14ac:dyDescent="0.25">
      <c r="A524" t="s">
        <v>1151</v>
      </c>
      <c r="B524" t="s">
        <v>2349</v>
      </c>
      <c r="C524">
        <v>51.542669919047597</v>
      </c>
      <c r="D524">
        <v>-0.36397195714285702</v>
      </c>
      <c r="F524">
        <v>21</v>
      </c>
      <c r="G524" t="str">
        <f>IFERROR(VLOOKUP(B524, Churches!H:H, 1, FALSE), "")</f>
        <v/>
      </c>
    </row>
    <row r="525" spans="1:7" x14ac:dyDescent="0.25">
      <c r="A525" t="s">
        <v>1152</v>
      </c>
      <c r="B525" t="s">
        <v>2350</v>
      </c>
      <c r="C525">
        <v>51.5255029538461</v>
      </c>
      <c r="D525">
        <v>-0.109210807692307</v>
      </c>
      <c r="E525" t="s">
        <v>673</v>
      </c>
      <c r="F525">
        <v>13</v>
      </c>
      <c r="G525" t="str">
        <f>IFERROR(VLOOKUP(B525, Churches!H:H, 1, FALSE), "")</f>
        <v/>
      </c>
    </row>
    <row r="526" spans="1:7" x14ac:dyDescent="0.25">
      <c r="A526" t="s">
        <v>1153</v>
      </c>
      <c r="B526" t="s">
        <v>2351</v>
      </c>
      <c r="C526">
        <v>51.496036799999999</v>
      </c>
      <c r="D526">
        <v>-0.25482378750000001</v>
      </c>
      <c r="E526" t="s">
        <v>673</v>
      </c>
      <c r="F526">
        <v>8</v>
      </c>
      <c r="G526" t="str">
        <f>IFERROR(VLOOKUP(B526, Churches!H:H, 1, FALSE), "")</f>
        <v/>
      </c>
    </row>
    <row r="527" spans="1:7" x14ac:dyDescent="0.25">
      <c r="A527" t="s">
        <v>1154</v>
      </c>
      <c r="B527" t="s">
        <v>2275</v>
      </c>
      <c r="C527">
        <v>51.486605859999997</v>
      </c>
      <c r="D527">
        <v>-9.2594439999999903E-2</v>
      </c>
      <c r="E527" t="s">
        <v>673</v>
      </c>
      <c r="F527">
        <v>5</v>
      </c>
      <c r="G527" t="str">
        <f>IFERROR(VLOOKUP(B527, Churches!H:H, 1, FALSE), "")</f>
        <v/>
      </c>
    </row>
    <row r="528" spans="1:7" x14ac:dyDescent="0.25">
      <c r="A528" t="s">
        <v>1155</v>
      </c>
      <c r="B528" t="s">
        <v>2352</v>
      </c>
      <c r="C528">
        <v>51.504537239999898</v>
      </c>
      <c r="D528">
        <v>-0.11206548</v>
      </c>
      <c r="E528" t="s">
        <v>673</v>
      </c>
      <c r="F528">
        <v>5</v>
      </c>
      <c r="G528" t="str">
        <f>IFERROR(VLOOKUP(B528, Churches!H:H, 1, FALSE), "")</f>
        <v/>
      </c>
    </row>
    <row r="529" spans="1:7" x14ac:dyDescent="0.25">
      <c r="A529" t="s">
        <v>1156</v>
      </c>
      <c r="B529" t="s">
        <v>2275</v>
      </c>
      <c r="C529">
        <v>51.5112478</v>
      </c>
      <c r="D529">
        <v>3.7225419999999898E-2</v>
      </c>
      <c r="E529" t="s">
        <v>673</v>
      </c>
      <c r="F529">
        <v>5</v>
      </c>
      <c r="G529" t="str">
        <f>IFERROR(VLOOKUP(B529, Churches!H:H, 1, FALSE), "")</f>
        <v/>
      </c>
    </row>
    <row r="530" spans="1:7" x14ac:dyDescent="0.25">
      <c r="A530" t="s">
        <v>1157</v>
      </c>
      <c r="B530" t="s">
        <v>2353</v>
      </c>
      <c r="C530">
        <v>51.581158879999997</v>
      </c>
      <c r="D530">
        <v>-0.19089724</v>
      </c>
      <c r="F530">
        <v>5</v>
      </c>
      <c r="G530" t="str">
        <f>IFERROR(VLOOKUP(B530, Churches!H:H, 1, FALSE), "")</f>
        <v/>
      </c>
    </row>
    <row r="531" spans="1:7" x14ac:dyDescent="0.25">
      <c r="A531" t="s">
        <v>1158</v>
      </c>
      <c r="B531" t="s">
        <v>2275</v>
      </c>
      <c r="C531">
        <v>51.465780119999998</v>
      </c>
      <c r="D531">
        <v>-7.7219139999999895E-2</v>
      </c>
      <c r="E531" t="s">
        <v>1159</v>
      </c>
      <c r="F531">
        <v>5</v>
      </c>
      <c r="G531" t="str">
        <f>IFERROR(VLOOKUP(B531, Churches!H:H, 1, FALSE), "")</f>
        <v/>
      </c>
    </row>
    <row r="532" spans="1:7" x14ac:dyDescent="0.25">
      <c r="A532" t="s">
        <v>1160</v>
      </c>
      <c r="B532" t="s">
        <v>2275</v>
      </c>
      <c r="C532">
        <v>51.540824411111103</v>
      </c>
      <c r="D532">
        <v>-8.0052555555555502E-2</v>
      </c>
      <c r="E532" t="s">
        <v>673</v>
      </c>
      <c r="F532">
        <v>9</v>
      </c>
      <c r="G532" t="str">
        <f>IFERROR(VLOOKUP(B532, Churches!H:H, 1, FALSE), "")</f>
        <v/>
      </c>
    </row>
    <row r="533" spans="1:7" x14ac:dyDescent="0.25">
      <c r="A533" t="s">
        <v>1161</v>
      </c>
      <c r="B533" t="s">
        <v>2354</v>
      </c>
      <c r="C533">
        <v>51.437662039999999</v>
      </c>
      <c r="D533">
        <v>4.9112740000000002E-2</v>
      </c>
      <c r="F533">
        <v>5</v>
      </c>
      <c r="G533" t="str">
        <f>IFERROR(VLOOKUP(B533, Churches!H:H, 1, FALSE), "")</f>
        <v/>
      </c>
    </row>
    <row r="534" spans="1:7" x14ac:dyDescent="0.25">
      <c r="A534" t="s">
        <v>1162</v>
      </c>
      <c r="B534" t="s">
        <v>2355</v>
      </c>
      <c r="C534">
        <v>51.527283007692297</v>
      </c>
      <c r="D534">
        <v>-0.12977090769230701</v>
      </c>
      <c r="F534">
        <v>39</v>
      </c>
      <c r="G534" t="str">
        <f>IFERROR(VLOOKUP(B534, Churches!H:H, 1, FALSE), "")</f>
        <v/>
      </c>
    </row>
    <row r="535" spans="1:7" x14ac:dyDescent="0.25">
      <c r="A535" t="s">
        <v>1163</v>
      </c>
      <c r="B535" t="s">
        <v>2356</v>
      </c>
      <c r="C535">
        <v>51.517717619999999</v>
      </c>
      <c r="D535">
        <v>-0.124715086666666</v>
      </c>
      <c r="E535" t="s">
        <v>673</v>
      </c>
      <c r="F535">
        <v>15</v>
      </c>
      <c r="G535" t="str">
        <f>IFERROR(VLOOKUP(B535, Churches!H:H, 1, FALSE), "")</f>
        <v/>
      </c>
    </row>
    <row r="536" spans="1:7" x14ac:dyDescent="0.25">
      <c r="A536" t="s">
        <v>971</v>
      </c>
      <c r="B536" t="s">
        <v>2275</v>
      </c>
      <c r="C536">
        <v>51.528527299999901</v>
      </c>
      <c r="D536">
        <v>-2.8857553846153801E-2</v>
      </c>
      <c r="F536">
        <v>13</v>
      </c>
      <c r="G536" t="str">
        <f>IFERROR(VLOOKUP(B536, Churches!H:H, 1, FALSE), "")</f>
        <v/>
      </c>
    </row>
    <row r="537" spans="1:7" x14ac:dyDescent="0.25">
      <c r="A537" t="s">
        <v>1164</v>
      </c>
      <c r="B537" t="s">
        <v>2357</v>
      </c>
      <c r="C537">
        <v>51.393288923076902</v>
      </c>
      <c r="D537">
        <v>-0.30887485384615299</v>
      </c>
      <c r="E537" t="s">
        <v>673</v>
      </c>
      <c r="F537">
        <v>13</v>
      </c>
      <c r="G537" t="str">
        <f>IFERROR(VLOOKUP(B537, Churches!H:H, 1, FALSE), "")</f>
        <v/>
      </c>
    </row>
    <row r="538" spans="1:7" x14ac:dyDescent="0.25">
      <c r="A538" t="s">
        <v>1165</v>
      </c>
      <c r="B538" t="s">
        <v>2275</v>
      </c>
      <c r="C538">
        <v>51.5157567428571</v>
      </c>
      <c r="D538">
        <v>1.9475142857142799E-2</v>
      </c>
      <c r="F538">
        <v>7</v>
      </c>
      <c r="G538" t="str">
        <f>IFERROR(VLOOKUP(B538, Churches!H:H, 1, FALSE), "")</f>
        <v/>
      </c>
    </row>
    <row r="539" spans="1:7" x14ac:dyDescent="0.25">
      <c r="A539" t="s">
        <v>1166</v>
      </c>
      <c r="B539" t="s">
        <v>2275</v>
      </c>
      <c r="C539">
        <v>51.479634220000001</v>
      </c>
      <c r="D539">
        <v>-2.4523029999999901E-2</v>
      </c>
      <c r="E539" t="s">
        <v>673</v>
      </c>
      <c r="F539">
        <v>10</v>
      </c>
      <c r="G539" t="str">
        <f>IFERROR(VLOOKUP(B539, Churches!H:H, 1, FALSE), "")</f>
        <v/>
      </c>
    </row>
    <row r="540" spans="1:7" x14ac:dyDescent="0.25">
      <c r="A540" t="s">
        <v>1167</v>
      </c>
      <c r="B540" t="s">
        <v>2358</v>
      </c>
      <c r="C540">
        <v>51.525923379999902</v>
      </c>
      <c r="D540">
        <v>-3.3160719999999998E-2</v>
      </c>
      <c r="F540">
        <v>5</v>
      </c>
      <c r="G540" t="str">
        <f>IFERROR(VLOOKUP(B540, Churches!H:H, 1, FALSE), "")</f>
        <v/>
      </c>
    </row>
    <row r="541" spans="1:7" x14ac:dyDescent="0.25">
      <c r="A541" t="s">
        <v>1168</v>
      </c>
      <c r="B541" t="s">
        <v>2359</v>
      </c>
      <c r="C541">
        <v>51.484987147619002</v>
      </c>
      <c r="D541">
        <v>-0.10081866190476101</v>
      </c>
      <c r="E541" t="s">
        <v>673</v>
      </c>
      <c r="F541">
        <v>21</v>
      </c>
      <c r="G541" t="str">
        <f>IFERROR(VLOOKUP(B541, Churches!H:H, 1, FALSE), "")</f>
        <v/>
      </c>
    </row>
    <row r="542" spans="1:7" x14ac:dyDescent="0.25">
      <c r="A542" t="s">
        <v>1169</v>
      </c>
      <c r="B542" t="s">
        <v>2360</v>
      </c>
      <c r="C542">
        <v>51.390446420000004</v>
      </c>
      <c r="D542">
        <v>5.1765199999999997E-2</v>
      </c>
      <c r="F542">
        <v>5</v>
      </c>
      <c r="G542" t="str">
        <f>IFERROR(VLOOKUP(B542, Churches!H:H, 1, FALSE), "")</f>
        <v/>
      </c>
    </row>
    <row r="543" spans="1:7" x14ac:dyDescent="0.25">
      <c r="A543" t="s">
        <v>1170</v>
      </c>
      <c r="B543" t="s">
        <v>2350</v>
      </c>
      <c r="C543">
        <v>51.519650513333303</v>
      </c>
      <c r="D543">
        <v>-0.11081245333333301</v>
      </c>
      <c r="E543" t="s">
        <v>673</v>
      </c>
      <c r="F543">
        <v>15</v>
      </c>
      <c r="G543" t="str">
        <f>IFERROR(VLOOKUP(B543, Churches!H:H, 1, FALSE), "")</f>
        <v/>
      </c>
    </row>
    <row r="544" spans="1:7" x14ac:dyDescent="0.25">
      <c r="A544" t="s">
        <v>1171</v>
      </c>
      <c r="B544" t="s">
        <v>2361</v>
      </c>
      <c r="C544">
        <v>51.499871095000003</v>
      </c>
      <c r="D544">
        <v>-0.12678483500000001</v>
      </c>
      <c r="E544" t="s">
        <v>673</v>
      </c>
      <c r="F544">
        <v>20</v>
      </c>
      <c r="G544" t="str">
        <f>IFERROR(VLOOKUP(B544, Churches!H:H, 1, FALSE), "")</f>
        <v/>
      </c>
    </row>
    <row r="545" spans="1:7" x14ac:dyDescent="0.25">
      <c r="A545" t="s">
        <v>1172</v>
      </c>
      <c r="B545" t="s">
        <v>2362</v>
      </c>
      <c r="C545">
        <v>51.519325185714202</v>
      </c>
      <c r="D545">
        <v>-0.111441114285714</v>
      </c>
      <c r="F545">
        <v>7</v>
      </c>
      <c r="G545" t="str">
        <f>IFERROR(VLOOKUP(B545, Churches!H:H, 1, FALSE), "")</f>
        <v/>
      </c>
    </row>
    <row r="546" spans="1:7" x14ac:dyDescent="0.25">
      <c r="A546" t="s">
        <v>1173</v>
      </c>
      <c r="B546" t="s">
        <v>2363</v>
      </c>
      <c r="C546">
        <v>51.483796889473602</v>
      </c>
      <c r="D546">
        <v>-0.287841478947368</v>
      </c>
      <c r="E546" t="s">
        <v>673</v>
      </c>
      <c r="F546">
        <v>19</v>
      </c>
      <c r="G546" t="str">
        <f>IFERROR(VLOOKUP(B546, Churches!H:H, 1, FALSE), "")</f>
        <v/>
      </c>
    </row>
    <row r="547" spans="1:7" x14ac:dyDescent="0.25">
      <c r="A547" t="s">
        <v>676</v>
      </c>
      <c r="B547" t="s">
        <v>2364</v>
      </c>
      <c r="C547">
        <v>51.448285980000001</v>
      </c>
      <c r="D547">
        <v>6.4488480000000001E-2</v>
      </c>
      <c r="E547" t="s">
        <v>673</v>
      </c>
      <c r="F547">
        <v>5</v>
      </c>
      <c r="G547" t="str">
        <f>IFERROR(VLOOKUP(B547, Churches!H:H, 1, FALSE), "")</f>
        <v/>
      </c>
    </row>
    <row r="548" spans="1:7" x14ac:dyDescent="0.25">
      <c r="A548" t="s">
        <v>1174</v>
      </c>
      <c r="B548" t="s">
        <v>2365</v>
      </c>
      <c r="C548">
        <v>51.538855859999899</v>
      </c>
      <c r="D548">
        <v>-6.5012899999999998E-2</v>
      </c>
      <c r="F548">
        <v>5</v>
      </c>
      <c r="G548" t="str">
        <f>IFERROR(VLOOKUP(B548, Churches!H:H, 1, FALSE), "")</f>
        <v/>
      </c>
    </row>
    <row r="549" spans="1:7" x14ac:dyDescent="0.25">
      <c r="A549" t="s">
        <v>1164</v>
      </c>
      <c r="B549" t="s">
        <v>2366</v>
      </c>
      <c r="C549">
        <v>51.560360984210497</v>
      </c>
      <c r="D549">
        <v>0.226013505263157</v>
      </c>
      <c r="E549" t="s">
        <v>673</v>
      </c>
      <c r="F549">
        <v>19</v>
      </c>
      <c r="G549" t="str">
        <f>IFERROR(VLOOKUP(B549, Churches!H:H, 1, FALSE), "")</f>
        <v/>
      </c>
    </row>
    <row r="550" spans="1:7" x14ac:dyDescent="0.25">
      <c r="A550" t="s">
        <v>1175</v>
      </c>
      <c r="B550" t="s">
        <v>2367</v>
      </c>
      <c r="C550">
        <v>51.542184816666598</v>
      </c>
      <c r="D550">
        <v>-0.162695216666666</v>
      </c>
      <c r="E550" t="s">
        <v>673</v>
      </c>
      <c r="F550">
        <v>6</v>
      </c>
      <c r="G550" t="str">
        <f>IFERROR(VLOOKUP(B550, Churches!H:H, 1, FALSE), "")</f>
        <v/>
      </c>
    </row>
    <row r="551" spans="1:7" x14ac:dyDescent="0.25">
      <c r="A551" t="s">
        <v>1176</v>
      </c>
      <c r="B551" t="s">
        <v>2368</v>
      </c>
      <c r="C551">
        <v>51.532106751999997</v>
      </c>
      <c r="D551">
        <v>-0.182324503999999</v>
      </c>
      <c r="E551" t="s">
        <v>673</v>
      </c>
      <c r="F551">
        <v>25</v>
      </c>
      <c r="G551" t="str">
        <f>IFERROR(VLOOKUP(B551, Churches!H:H, 1, FALSE), "")</f>
        <v/>
      </c>
    </row>
    <row r="552" spans="1:7" x14ac:dyDescent="0.25">
      <c r="A552" t="s">
        <v>1177</v>
      </c>
      <c r="B552" t="s">
        <v>2369</v>
      </c>
      <c r="C552">
        <v>51.520442395238</v>
      </c>
      <c r="D552">
        <v>-0.17520853809523801</v>
      </c>
      <c r="F552">
        <v>21</v>
      </c>
      <c r="G552" t="str">
        <f>IFERROR(VLOOKUP(B552, Churches!H:H, 1, FALSE), "")</f>
        <v/>
      </c>
    </row>
    <row r="553" spans="1:7" x14ac:dyDescent="0.25">
      <c r="A553" t="s">
        <v>1178</v>
      </c>
      <c r="B553" t="s">
        <v>230</v>
      </c>
      <c r="C553">
        <v>51.554603599999901</v>
      </c>
      <c r="D553">
        <v>-9.1981960000000001E-2</v>
      </c>
      <c r="E553" t="s">
        <v>673</v>
      </c>
      <c r="F553">
        <v>5</v>
      </c>
    </row>
    <row r="554" spans="1:7" x14ac:dyDescent="0.25">
      <c r="A554" t="s">
        <v>1179</v>
      </c>
      <c r="B554" t="s">
        <v>221</v>
      </c>
      <c r="C554">
        <v>51.552542940000002</v>
      </c>
      <c r="D554">
        <v>-7.9378000000000004E-2</v>
      </c>
      <c r="E554" t="s">
        <v>673</v>
      </c>
      <c r="F554">
        <v>5</v>
      </c>
    </row>
    <row r="555" spans="1:7" x14ac:dyDescent="0.25">
      <c r="A555" t="s">
        <v>1180</v>
      </c>
      <c r="B555" t="s">
        <v>2370</v>
      </c>
      <c r="C555">
        <v>51.54865882</v>
      </c>
      <c r="D555">
        <v>-8.6832859999999998E-2</v>
      </c>
      <c r="F555">
        <v>5</v>
      </c>
      <c r="G555" t="str">
        <f>IFERROR(VLOOKUP(B555, Churches!H:H, 1, FALSE), "")</f>
        <v/>
      </c>
    </row>
    <row r="556" spans="1:7" x14ac:dyDescent="0.25">
      <c r="A556" t="s">
        <v>1181</v>
      </c>
      <c r="B556" t="s">
        <v>2275</v>
      </c>
      <c r="C556">
        <v>51.548803933333303</v>
      </c>
      <c r="D556">
        <v>-8.00139111111111E-2</v>
      </c>
      <c r="E556" t="s">
        <v>673</v>
      </c>
      <c r="F556">
        <v>9</v>
      </c>
      <c r="G556" t="str">
        <f>IFERROR(VLOOKUP(B556, Churches!H:H, 1, FALSE), "")</f>
        <v/>
      </c>
    </row>
    <row r="557" spans="1:7" x14ac:dyDescent="0.25">
      <c r="A557" t="s">
        <v>1182</v>
      </c>
      <c r="B557" t="s">
        <v>2371</v>
      </c>
      <c r="C557">
        <v>51.56420206</v>
      </c>
      <c r="D557">
        <v>-8.6260320000000001E-2</v>
      </c>
      <c r="F557">
        <v>5</v>
      </c>
      <c r="G557" t="str">
        <f>IFERROR(VLOOKUP(B557, Churches!H:H, 1, FALSE), "")</f>
        <v/>
      </c>
    </row>
    <row r="558" spans="1:7" x14ac:dyDescent="0.25">
      <c r="A558" t="s">
        <v>1183</v>
      </c>
      <c r="B558" t="s">
        <v>2275</v>
      </c>
      <c r="C558">
        <v>51.560820217391303</v>
      </c>
      <c r="D558">
        <v>-8.4411191304347793E-2</v>
      </c>
      <c r="F558">
        <v>23</v>
      </c>
      <c r="G558" t="str">
        <f>IFERROR(VLOOKUP(B558, Churches!H:H, 1, FALSE), "")</f>
        <v/>
      </c>
    </row>
    <row r="559" spans="1:7" x14ac:dyDescent="0.25">
      <c r="A559" t="s">
        <v>1184</v>
      </c>
      <c r="B559" t="s">
        <v>2275</v>
      </c>
      <c r="C559">
        <v>51.561392099999999</v>
      </c>
      <c r="D559">
        <v>-8.4623711111111097E-2</v>
      </c>
      <c r="F559">
        <v>9</v>
      </c>
      <c r="G559" t="str">
        <f>IFERROR(VLOOKUP(B559, Churches!H:H, 1, FALSE), "")</f>
        <v/>
      </c>
    </row>
    <row r="560" spans="1:7" x14ac:dyDescent="0.25">
      <c r="A560" t="s">
        <v>1185</v>
      </c>
      <c r="B560" t="s">
        <v>238</v>
      </c>
      <c r="C560">
        <v>51.559063585714199</v>
      </c>
      <c r="D560">
        <v>-0.11423558571428501</v>
      </c>
      <c r="E560" t="s">
        <v>673</v>
      </c>
      <c r="F560">
        <v>7</v>
      </c>
    </row>
    <row r="561" spans="1:7" x14ac:dyDescent="0.25">
      <c r="A561" t="s">
        <v>1186</v>
      </c>
      <c r="B561" t="s">
        <v>2372</v>
      </c>
      <c r="C561">
        <v>51.566678420000002</v>
      </c>
      <c r="D561">
        <v>-0.12222519999999901</v>
      </c>
      <c r="F561">
        <v>5</v>
      </c>
      <c r="G561" t="str">
        <f>IFERROR(VLOOKUP(B561, Churches!H:H, 1, FALSE), "")</f>
        <v/>
      </c>
    </row>
    <row r="562" spans="1:7" x14ac:dyDescent="0.25">
      <c r="A562" t="s">
        <v>1076</v>
      </c>
      <c r="B562" t="s">
        <v>233</v>
      </c>
      <c r="C562">
        <v>51.571279474999997</v>
      </c>
      <c r="D562">
        <v>-0.12294780999999901</v>
      </c>
      <c r="F562">
        <v>20</v>
      </c>
    </row>
    <row r="563" spans="1:7" x14ac:dyDescent="0.25">
      <c r="A563" t="s">
        <v>1187</v>
      </c>
      <c r="B563" t="s">
        <v>2373</v>
      </c>
      <c r="C563">
        <v>51.574989199999997</v>
      </c>
      <c r="D563">
        <v>-0.11112975999999999</v>
      </c>
      <c r="E563" t="s">
        <v>673</v>
      </c>
      <c r="F563">
        <v>5</v>
      </c>
      <c r="G563" t="str">
        <f>IFERROR(VLOOKUP(B563, Churches!H:H, 1, FALSE), "")</f>
        <v/>
      </c>
    </row>
    <row r="564" spans="1:7" x14ac:dyDescent="0.25">
      <c r="A564" t="s">
        <v>1188</v>
      </c>
      <c r="B564" t="s">
        <v>2046</v>
      </c>
      <c r="C564">
        <v>51.490569228571403</v>
      </c>
      <c r="D564">
        <v>-8.5521700000000006E-2</v>
      </c>
      <c r="E564" t="s">
        <v>673</v>
      </c>
      <c r="F564">
        <v>7</v>
      </c>
      <c r="G564" t="str">
        <f>IFERROR(VLOOKUP(B564, Churches!H:H, 1, FALSE), "")</f>
        <v/>
      </c>
    </row>
    <row r="565" spans="1:7" x14ac:dyDescent="0.25">
      <c r="A565" t="s">
        <v>1189</v>
      </c>
      <c r="B565" t="s">
        <v>2374</v>
      </c>
      <c r="C565">
        <v>51.4775686083333</v>
      </c>
      <c r="D565">
        <v>-0.106234866666666</v>
      </c>
      <c r="E565" t="s">
        <v>673</v>
      </c>
      <c r="F565">
        <v>12</v>
      </c>
      <c r="G565" t="str">
        <f>IFERROR(VLOOKUP(B565, Churches!H:H, 1, FALSE), "")</f>
        <v/>
      </c>
    </row>
    <row r="566" spans="1:7" x14ac:dyDescent="0.25">
      <c r="A566" t="s">
        <v>713</v>
      </c>
      <c r="B566" t="s">
        <v>2375</v>
      </c>
      <c r="C566">
        <v>51.522404127272701</v>
      </c>
      <c r="D566">
        <v>-0.18891787272727201</v>
      </c>
      <c r="E566" t="s">
        <v>673</v>
      </c>
      <c r="F566">
        <v>11</v>
      </c>
      <c r="G566" t="str">
        <f>IFERROR(VLOOKUP(B566, Churches!H:H, 1, FALSE), "")</f>
        <v/>
      </c>
    </row>
    <row r="567" spans="1:7" x14ac:dyDescent="0.25">
      <c r="A567" t="s">
        <v>1190</v>
      </c>
      <c r="B567" t="s">
        <v>2376</v>
      </c>
      <c r="C567">
        <v>51.525500563636299</v>
      </c>
      <c r="D567">
        <v>-0.19711161818181799</v>
      </c>
      <c r="E567" t="s">
        <v>673</v>
      </c>
      <c r="F567">
        <v>11</v>
      </c>
      <c r="G567" t="str">
        <f>IFERROR(VLOOKUP(B567, Churches!H:H, 1, FALSE), "")</f>
        <v/>
      </c>
    </row>
    <row r="568" spans="1:7" x14ac:dyDescent="0.25">
      <c r="A568" t="s">
        <v>1191</v>
      </c>
      <c r="B568" t="s">
        <v>2377</v>
      </c>
      <c r="C568">
        <v>51.597910484615298</v>
      </c>
      <c r="D568">
        <v>2.0147823076923001E-2</v>
      </c>
      <c r="E568" t="s">
        <v>673</v>
      </c>
      <c r="F568">
        <v>13</v>
      </c>
      <c r="G568" t="str">
        <f>IFERROR(VLOOKUP(B568, Churches!H:H, 1, FALSE), "")</f>
        <v/>
      </c>
    </row>
    <row r="569" spans="1:7" x14ac:dyDescent="0.25">
      <c r="A569" t="s">
        <v>1192</v>
      </c>
      <c r="B569" t="s">
        <v>2378</v>
      </c>
      <c r="C569">
        <v>51.594906279999996</v>
      </c>
      <c r="D569">
        <v>1.8685179999999999E-2</v>
      </c>
      <c r="F569">
        <v>5</v>
      </c>
      <c r="G569" t="str">
        <f>IFERROR(VLOOKUP(B569, Churches!H:H, 1, FALSE), "")</f>
        <v/>
      </c>
    </row>
    <row r="570" spans="1:7" x14ac:dyDescent="0.25">
      <c r="A570" t="s">
        <v>1193</v>
      </c>
      <c r="B570" t="s">
        <v>2379</v>
      </c>
      <c r="C570">
        <v>51.5448587461538</v>
      </c>
      <c r="D570">
        <v>-0.15794545384615299</v>
      </c>
      <c r="E570" t="s">
        <v>673</v>
      </c>
      <c r="F570">
        <v>13</v>
      </c>
      <c r="G570" t="str">
        <f>IFERROR(VLOOKUP(B570, Churches!H:H, 1, FALSE), "")</f>
        <v/>
      </c>
    </row>
    <row r="571" spans="1:7" x14ac:dyDescent="0.25">
      <c r="A571" t="s">
        <v>1194</v>
      </c>
      <c r="B571" t="s">
        <v>2275</v>
      </c>
      <c r="C571">
        <v>51.509310159999899</v>
      </c>
      <c r="D571">
        <v>-7.9225166666666597E-2</v>
      </c>
      <c r="E571" t="s">
        <v>673</v>
      </c>
      <c r="F571">
        <v>15</v>
      </c>
      <c r="G571" t="str">
        <f>IFERROR(VLOOKUP(B571, Churches!H:H, 1, FALSE), "")</f>
        <v/>
      </c>
    </row>
    <row r="572" spans="1:7" x14ac:dyDescent="0.25">
      <c r="A572" t="s">
        <v>1195</v>
      </c>
      <c r="B572" t="s">
        <v>2380</v>
      </c>
      <c r="C572">
        <v>51.664994280000002</v>
      </c>
      <c r="D572">
        <v>-8.7432339999999997E-2</v>
      </c>
      <c r="F572">
        <v>5</v>
      </c>
      <c r="G572" t="str">
        <f>IFERROR(VLOOKUP(B572, Churches!H:H, 1, FALSE), "")</f>
        <v/>
      </c>
    </row>
    <row r="573" spans="1:7" x14ac:dyDescent="0.25">
      <c r="A573" t="s">
        <v>1196</v>
      </c>
      <c r="B573" t="s">
        <v>2381</v>
      </c>
      <c r="C573">
        <v>51.633851869230703</v>
      </c>
      <c r="D573">
        <v>-0.132333015384615</v>
      </c>
      <c r="E573" t="s">
        <v>673</v>
      </c>
      <c r="F573">
        <v>13</v>
      </c>
      <c r="G573" t="str">
        <f>IFERROR(VLOOKUP(B573, Churches!H:H, 1, FALSE), "")</f>
        <v/>
      </c>
    </row>
    <row r="574" spans="1:7" x14ac:dyDescent="0.25">
      <c r="A574" t="s">
        <v>1197</v>
      </c>
      <c r="B574" t="s">
        <v>2382</v>
      </c>
      <c r="C574">
        <v>51.443447776923001</v>
      </c>
      <c r="D574">
        <v>-0.36432739999999902</v>
      </c>
      <c r="E574" t="s">
        <v>673</v>
      </c>
      <c r="F574">
        <v>13</v>
      </c>
      <c r="G574" t="str">
        <f>IFERROR(VLOOKUP(B574, Churches!H:H, 1, FALSE), "")</f>
        <v/>
      </c>
    </row>
    <row r="575" spans="1:7" x14ac:dyDescent="0.25">
      <c r="A575" t="s">
        <v>1198</v>
      </c>
      <c r="B575" t="s">
        <v>2383</v>
      </c>
      <c r="C575">
        <v>51.552394419999999</v>
      </c>
      <c r="D575">
        <v>-0.21796879999999999</v>
      </c>
      <c r="E575" t="s">
        <v>673</v>
      </c>
      <c r="F575">
        <v>5</v>
      </c>
      <c r="G575" t="str">
        <f>IFERROR(VLOOKUP(B575, Churches!H:H, 1, FALSE), "")</f>
        <v/>
      </c>
    </row>
    <row r="576" spans="1:7" x14ac:dyDescent="0.25">
      <c r="A576" t="s">
        <v>1199</v>
      </c>
      <c r="B576" t="s">
        <v>2384</v>
      </c>
      <c r="C576">
        <v>51.555629195833298</v>
      </c>
      <c r="D576">
        <v>-0.2163999875</v>
      </c>
      <c r="F576">
        <v>24</v>
      </c>
      <c r="G576" t="str">
        <f>IFERROR(VLOOKUP(B576, Churches!H:H, 1, FALSE), "")</f>
        <v/>
      </c>
    </row>
    <row r="577" spans="1:7" x14ac:dyDescent="0.25">
      <c r="A577" t="s">
        <v>1200</v>
      </c>
      <c r="B577" t="s">
        <v>2385</v>
      </c>
      <c r="C577">
        <v>51.571218539999997</v>
      </c>
      <c r="D577">
        <v>-9.3740959999999998E-2</v>
      </c>
      <c r="E577" t="s">
        <v>673</v>
      </c>
      <c r="F577">
        <v>5</v>
      </c>
      <c r="G577" t="str">
        <f>IFERROR(VLOOKUP(B577, Churches!H:H, 1, FALSE), "")</f>
        <v/>
      </c>
    </row>
    <row r="578" spans="1:7" x14ac:dyDescent="0.25">
      <c r="A578" t="s">
        <v>1200</v>
      </c>
      <c r="B578" t="s">
        <v>2385</v>
      </c>
      <c r="C578">
        <v>51.571095999999997</v>
      </c>
      <c r="D578">
        <v>-9.4356659999999995E-2</v>
      </c>
      <c r="E578" t="s">
        <v>673</v>
      </c>
      <c r="F578">
        <v>5</v>
      </c>
      <c r="G578" t="str">
        <f>IFERROR(VLOOKUP(B578, Churches!H:H, 1, FALSE), "")</f>
        <v/>
      </c>
    </row>
    <row r="579" spans="1:7" x14ac:dyDescent="0.25">
      <c r="A579" t="s">
        <v>890</v>
      </c>
      <c r="B579" t="s">
        <v>2275</v>
      </c>
      <c r="C579">
        <v>51.335914905882298</v>
      </c>
      <c r="D579">
        <v>5.4395223529411701E-2</v>
      </c>
      <c r="E579" t="s">
        <v>673</v>
      </c>
      <c r="F579">
        <v>17</v>
      </c>
      <c r="G579" t="str">
        <f>IFERROR(VLOOKUP(B579, Churches!H:H, 1, FALSE), "")</f>
        <v/>
      </c>
    </row>
    <row r="580" spans="1:7" x14ac:dyDescent="0.25">
      <c r="A580" t="s">
        <v>821</v>
      </c>
      <c r="B580" t="s">
        <v>2386</v>
      </c>
      <c r="C580">
        <v>51.56184476</v>
      </c>
      <c r="D580">
        <v>-0.19970524000000001</v>
      </c>
      <c r="E580" t="s">
        <v>673</v>
      </c>
      <c r="F580">
        <v>5</v>
      </c>
      <c r="G580" t="str">
        <f>IFERROR(VLOOKUP(B580, Churches!H:H, 1, FALSE), "")</f>
        <v/>
      </c>
    </row>
    <row r="581" spans="1:7" x14ac:dyDescent="0.25">
      <c r="A581" t="s">
        <v>955</v>
      </c>
      <c r="B581" t="s">
        <v>2387</v>
      </c>
      <c r="C581">
        <v>51.500536259999997</v>
      </c>
      <c r="D581">
        <v>-0.21493058000000001</v>
      </c>
      <c r="E581" t="s">
        <v>673</v>
      </c>
      <c r="F581">
        <v>5</v>
      </c>
      <c r="G581" t="str">
        <f>IFERROR(VLOOKUP(B581, Churches!H:H, 1, FALSE), "")</f>
        <v/>
      </c>
    </row>
    <row r="582" spans="1:7" x14ac:dyDescent="0.25">
      <c r="A582" t="s">
        <v>1201</v>
      </c>
      <c r="B582" t="s">
        <v>2388</v>
      </c>
      <c r="C582">
        <v>51.497008639999997</v>
      </c>
      <c r="D582">
        <v>-0.20275594</v>
      </c>
      <c r="F582">
        <v>5</v>
      </c>
      <c r="G582" t="str">
        <f>IFERROR(VLOOKUP(B582, Churches!H:H, 1, FALSE), "")</f>
        <v/>
      </c>
    </row>
    <row r="583" spans="1:7" x14ac:dyDescent="0.25">
      <c r="A583" t="s">
        <v>1202</v>
      </c>
      <c r="B583" t="s">
        <v>2389</v>
      </c>
      <c r="C583">
        <v>51.524262771428504</v>
      </c>
      <c r="D583">
        <v>-0.16649820714285701</v>
      </c>
      <c r="E583" t="s">
        <v>673</v>
      </c>
      <c r="F583">
        <v>14</v>
      </c>
      <c r="G583" t="str">
        <f>IFERROR(VLOOKUP(B583, Churches!H:H, 1, FALSE), "")</f>
        <v/>
      </c>
    </row>
    <row r="584" spans="1:7" x14ac:dyDescent="0.25">
      <c r="A584" t="s">
        <v>1203</v>
      </c>
      <c r="B584" t="s">
        <v>2390</v>
      </c>
      <c r="C584">
        <v>51.571018146153797</v>
      </c>
      <c r="D584">
        <v>-0.19284496923076899</v>
      </c>
      <c r="E584" t="s">
        <v>673</v>
      </c>
      <c r="F584">
        <v>13</v>
      </c>
      <c r="G584" t="str">
        <f>IFERROR(VLOOKUP(B584, Churches!H:H, 1, FALSE), "")</f>
        <v/>
      </c>
    </row>
    <row r="585" spans="1:7" x14ac:dyDescent="0.25">
      <c r="A585" t="s">
        <v>1204</v>
      </c>
      <c r="B585" t="s">
        <v>2275</v>
      </c>
      <c r="C585">
        <v>51.457003280000002</v>
      </c>
      <c r="D585">
        <v>-7.5038319999999895E-2</v>
      </c>
      <c r="F585">
        <v>5</v>
      </c>
      <c r="G585" t="str">
        <f>IFERROR(VLOOKUP(B585, Churches!H:H, 1, FALSE), "")</f>
        <v/>
      </c>
    </row>
    <row r="586" spans="1:7" x14ac:dyDescent="0.25">
      <c r="A586" t="s">
        <v>1205</v>
      </c>
      <c r="B586" t="s">
        <v>2391</v>
      </c>
      <c r="C586">
        <v>51.541041358823499</v>
      </c>
      <c r="D586">
        <v>-0.1892403</v>
      </c>
      <c r="E586" t="s">
        <v>673</v>
      </c>
      <c r="F586">
        <v>17</v>
      </c>
      <c r="G586" t="str">
        <f>IFERROR(VLOOKUP(B586, Churches!H:H, 1, FALSE), "")</f>
        <v/>
      </c>
    </row>
    <row r="587" spans="1:7" x14ac:dyDescent="0.25">
      <c r="A587" t="s">
        <v>868</v>
      </c>
      <c r="B587" t="s">
        <v>2275</v>
      </c>
      <c r="C587">
        <v>51.6122482142857</v>
      </c>
      <c r="D587">
        <v>-5.3897528571428502E-2</v>
      </c>
      <c r="E587" t="s">
        <v>673</v>
      </c>
      <c r="F587">
        <v>7</v>
      </c>
      <c r="G587" t="str">
        <f>IFERROR(VLOOKUP(B587, Churches!H:H, 1, FALSE), "")</f>
        <v/>
      </c>
    </row>
    <row r="588" spans="1:7" x14ac:dyDescent="0.25">
      <c r="A588" t="s">
        <v>1206</v>
      </c>
      <c r="B588" t="s">
        <v>2392</v>
      </c>
      <c r="C588">
        <v>51.532799379999901</v>
      </c>
      <c r="D588">
        <v>-0.20125599999999899</v>
      </c>
      <c r="F588">
        <v>5</v>
      </c>
      <c r="G588" t="str">
        <f>IFERROR(VLOOKUP(B588, Churches!H:H, 1, FALSE), "")</f>
        <v/>
      </c>
    </row>
    <row r="589" spans="1:7" x14ac:dyDescent="0.25">
      <c r="A589" t="s">
        <v>1207</v>
      </c>
      <c r="B589" t="s">
        <v>2393</v>
      </c>
      <c r="C589">
        <v>51.483268951851798</v>
      </c>
      <c r="D589">
        <v>-0.188985329629629</v>
      </c>
      <c r="F589">
        <v>27</v>
      </c>
      <c r="G589" t="str">
        <f>IFERROR(VLOOKUP(B589, Churches!H:H, 1, FALSE), "")</f>
        <v/>
      </c>
    </row>
    <row r="590" spans="1:7" x14ac:dyDescent="0.25">
      <c r="A590" t="s">
        <v>1135</v>
      </c>
      <c r="B590" t="s">
        <v>2394</v>
      </c>
      <c r="C590">
        <v>51.495157200000001</v>
      </c>
      <c r="D590">
        <v>-0.36650741428571398</v>
      </c>
      <c r="E590" t="s">
        <v>673</v>
      </c>
      <c r="F590">
        <v>7</v>
      </c>
      <c r="G590" t="str">
        <f>IFERROR(VLOOKUP(B590, Churches!H:H, 1, FALSE), "")</f>
        <v/>
      </c>
    </row>
    <row r="591" spans="1:7" x14ac:dyDescent="0.25">
      <c r="A591" t="s">
        <v>1208</v>
      </c>
      <c r="B591" t="s">
        <v>2395</v>
      </c>
      <c r="C591">
        <v>51.457405340000001</v>
      </c>
      <c r="D591">
        <v>-7.2649939999999996E-2</v>
      </c>
      <c r="F591">
        <v>5</v>
      </c>
      <c r="G591" t="str">
        <f>IFERROR(VLOOKUP(B591, Churches!H:H, 1, FALSE), "")</f>
        <v/>
      </c>
    </row>
    <row r="592" spans="1:7" x14ac:dyDescent="0.25">
      <c r="A592" t="s">
        <v>1014</v>
      </c>
      <c r="B592" t="s">
        <v>247</v>
      </c>
      <c r="C592">
        <v>51.533188924999997</v>
      </c>
      <c r="D592">
        <v>-3.2259162500000001E-2</v>
      </c>
      <c r="E592" t="s">
        <v>673</v>
      </c>
      <c r="F592">
        <v>8</v>
      </c>
    </row>
    <row r="593" spans="1:7" x14ac:dyDescent="0.25">
      <c r="A593" t="s">
        <v>1209</v>
      </c>
      <c r="B593" t="s">
        <v>2396</v>
      </c>
      <c r="C593">
        <v>51.602186828571398</v>
      </c>
      <c r="D593">
        <v>-0.14848725714285699</v>
      </c>
      <c r="E593" t="s">
        <v>673</v>
      </c>
      <c r="F593">
        <v>7</v>
      </c>
      <c r="G593" t="str">
        <f>IFERROR(VLOOKUP(B593, Churches!H:H, 1, FALSE), "")</f>
        <v/>
      </c>
    </row>
    <row r="594" spans="1:7" x14ac:dyDescent="0.25">
      <c r="A594" t="s">
        <v>1210</v>
      </c>
      <c r="B594" t="s">
        <v>2397</v>
      </c>
      <c r="C594">
        <v>51.537399176923003</v>
      </c>
      <c r="D594">
        <v>-0.195937507692307</v>
      </c>
      <c r="F594">
        <v>13</v>
      </c>
      <c r="G594" t="str">
        <f>IFERROR(VLOOKUP(B594, Churches!H:H, 1, FALSE), "")</f>
        <v/>
      </c>
    </row>
    <row r="595" spans="1:7" x14ac:dyDescent="0.25">
      <c r="A595" t="s">
        <v>1211</v>
      </c>
      <c r="B595" t="s">
        <v>2398</v>
      </c>
      <c r="C595">
        <v>51.583245569230698</v>
      </c>
      <c r="D595">
        <v>-0.117834069230769</v>
      </c>
      <c r="E595" t="s">
        <v>673</v>
      </c>
      <c r="F595">
        <v>13</v>
      </c>
      <c r="G595" t="str">
        <f>IFERROR(VLOOKUP(B595, Churches!H:H, 1, FALSE), "")</f>
        <v/>
      </c>
    </row>
    <row r="596" spans="1:7" x14ac:dyDescent="0.25">
      <c r="A596" t="s">
        <v>1212</v>
      </c>
      <c r="B596" t="s">
        <v>2399</v>
      </c>
      <c r="C596">
        <v>51.563654459999903</v>
      </c>
      <c r="D596">
        <v>-0.22769296</v>
      </c>
      <c r="F596">
        <v>5</v>
      </c>
      <c r="G596" t="str">
        <f>IFERROR(VLOOKUP(B596, Churches!H:H, 1, FALSE), "")</f>
        <v/>
      </c>
    </row>
    <row r="597" spans="1:7" x14ac:dyDescent="0.25">
      <c r="A597" t="s">
        <v>1213</v>
      </c>
      <c r="B597" t="s">
        <v>2400</v>
      </c>
      <c r="C597">
        <v>51.483239359999999</v>
      </c>
      <c r="D597">
        <v>-0.1066377</v>
      </c>
      <c r="E597" t="s">
        <v>673</v>
      </c>
      <c r="F597">
        <v>5</v>
      </c>
      <c r="G597" t="str">
        <f>IFERROR(VLOOKUP(B597, Churches!H:H, 1, FALSE), "")</f>
        <v/>
      </c>
    </row>
    <row r="598" spans="1:7" x14ac:dyDescent="0.25">
      <c r="A598" t="s">
        <v>1214</v>
      </c>
      <c r="B598" t="s">
        <v>2401</v>
      </c>
      <c r="C598">
        <v>51.490664747619</v>
      </c>
      <c r="D598">
        <v>-0.135111542857142</v>
      </c>
      <c r="E598" t="s">
        <v>673</v>
      </c>
      <c r="F598">
        <v>21</v>
      </c>
      <c r="G598" t="str">
        <f>IFERROR(VLOOKUP(B598, Churches!H:H, 1, FALSE), "")</f>
        <v/>
      </c>
    </row>
    <row r="599" spans="1:7" x14ac:dyDescent="0.25">
      <c r="A599" t="s">
        <v>1215</v>
      </c>
      <c r="B599" t="s">
        <v>2402</v>
      </c>
      <c r="C599">
        <v>51.495959890908999</v>
      </c>
      <c r="D599">
        <v>-0.112748854545454</v>
      </c>
      <c r="E599" t="s">
        <v>1216</v>
      </c>
      <c r="F599">
        <v>11</v>
      </c>
      <c r="G599" t="str">
        <f>IFERROR(VLOOKUP(B599, Churches!H:H, 1, FALSE), "")</f>
        <v/>
      </c>
    </row>
    <row r="600" spans="1:7" x14ac:dyDescent="0.25">
      <c r="A600" t="s">
        <v>1074</v>
      </c>
      <c r="B600" t="s">
        <v>2403</v>
      </c>
      <c r="C600">
        <v>51.47798272</v>
      </c>
      <c r="D600">
        <v>-7.82302E-2</v>
      </c>
      <c r="E600" t="s">
        <v>673</v>
      </c>
      <c r="F600">
        <v>5</v>
      </c>
      <c r="G600" t="str">
        <f>IFERROR(VLOOKUP(B600, Churches!H:H, 1, FALSE), "")</f>
        <v/>
      </c>
    </row>
    <row r="601" spans="1:7" x14ac:dyDescent="0.25">
      <c r="A601" t="s">
        <v>1217</v>
      </c>
      <c r="B601" t="s">
        <v>2404</v>
      </c>
      <c r="C601">
        <v>51.48256542</v>
      </c>
      <c r="D601">
        <v>-7.3546319999999998E-2</v>
      </c>
      <c r="F601">
        <v>5</v>
      </c>
      <c r="G601" t="str">
        <f>IFERROR(VLOOKUP(B601, Churches!H:H, 1, FALSE), "")</f>
        <v/>
      </c>
    </row>
    <row r="602" spans="1:7" x14ac:dyDescent="0.25">
      <c r="A602" t="s">
        <v>1218</v>
      </c>
      <c r="B602" t="s">
        <v>2404</v>
      </c>
      <c r="C602">
        <v>51.480207659999998</v>
      </c>
      <c r="D602">
        <v>-8.3173819999999996E-2</v>
      </c>
      <c r="E602" t="s">
        <v>673</v>
      </c>
      <c r="F602">
        <v>5</v>
      </c>
      <c r="G602" t="str">
        <f>IFERROR(VLOOKUP(B602, Churches!H:H, 1, FALSE), "")</f>
        <v/>
      </c>
    </row>
    <row r="603" spans="1:7" x14ac:dyDescent="0.25">
      <c r="A603" t="s">
        <v>1219</v>
      </c>
      <c r="B603" t="s">
        <v>2405</v>
      </c>
      <c r="C603">
        <v>51.661598079999997</v>
      </c>
      <c r="D603">
        <v>-0.19393478</v>
      </c>
      <c r="E603" t="s">
        <v>673</v>
      </c>
      <c r="F603">
        <v>5</v>
      </c>
      <c r="G603" t="str">
        <f>IFERROR(VLOOKUP(B603, Churches!H:H, 1, FALSE), "")</f>
        <v/>
      </c>
    </row>
    <row r="604" spans="1:7" x14ac:dyDescent="0.25">
      <c r="A604" t="s">
        <v>1220</v>
      </c>
      <c r="B604" t="s">
        <v>2275</v>
      </c>
      <c r="C604">
        <v>51.477380099999998</v>
      </c>
      <c r="D604">
        <v>-5.9596090909090897E-2</v>
      </c>
      <c r="E604" t="s">
        <v>673</v>
      </c>
      <c r="F604">
        <v>11</v>
      </c>
      <c r="G604" t="str">
        <f>IFERROR(VLOOKUP(B604, Churches!H:H, 1, FALSE), "")</f>
        <v/>
      </c>
    </row>
    <row r="605" spans="1:7" x14ac:dyDescent="0.25">
      <c r="A605" t="s">
        <v>1221</v>
      </c>
      <c r="B605" t="s">
        <v>2169</v>
      </c>
      <c r="C605">
        <v>51.487092279999999</v>
      </c>
      <c r="D605">
        <v>-7.5604320000000003E-2</v>
      </c>
      <c r="F605">
        <v>5</v>
      </c>
      <c r="G605" t="str">
        <f>IFERROR(VLOOKUP(B605, Churches!H:H, 1, FALSE), "")</f>
        <v/>
      </c>
    </row>
    <row r="606" spans="1:7" x14ac:dyDescent="0.25">
      <c r="A606" t="s">
        <v>1222</v>
      </c>
      <c r="B606" t="s">
        <v>2406</v>
      </c>
      <c r="C606">
        <v>51.484641920000001</v>
      </c>
      <c r="D606">
        <v>-6.879362E-2</v>
      </c>
      <c r="F606">
        <v>10</v>
      </c>
      <c r="G606" t="str">
        <f>IFERROR(VLOOKUP(B606, Churches!H:H, 1, FALSE), "")</f>
        <v/>
      </c>
    </row>
    <row r="607" spans="1:7" x14ac:dyDescent="0.25">
      <c r="A607" t="s">
        <v>1223</v>
      </c>
      <c r="B607" t="s">
        <v>2404</v>
      </c>
      <c r="C607">
        <v>51.484472659999902</v>
      </c>
      <c r="D607">
        <v>-7.6250180000000001E-2</v>
      </c>
      <c r="F607">
        <v>5</v>
      </c>
      <c r="G607" t="str">
        <f>IFERROR(VLOOKUP(B607, Churches!H:H, 1, FALSE), "")</f>
        <v/>
      </c>
    </row>
    <row r="608" spans="1:7" x14ac:dyDescent="0.25">
      <c r="A608" t="s">
        <v>842</v>
      </c>
      <c r="B608" t="s">
        <v>2404</v>
      </c>
      <c r="C608">
        <v>51.480264099999999</v>
      </c>
      <c r="D608">
        <v>-7.0469680000000007E-2</v>
      </c>
      <c r="F608">
        <v>5</v>
      </c>
      <c r="G608" t="str">
        <f>IFERROR(VLOOKUP(B608, Churches!H:H, 1, FALSE), "")</f>
        <v/>
      </c>
    </row>
    <row r="609" spans="1:7" x14ac:dyDescent="0.25">
      <c r="A609" t="s">
        <v>1224</v>
      </c>
      <c r="B609" t="s">
        <v>2407</v>
      </c>
      <c r="C609">
        <v>51.501303959999902</v>
      </c>
      <c r="D609">
        <v>-9.278749E-2</v>
      </c>
      <c r="E609" t="s">
        <v>673</v>
      </c>
      <c r="F609">
        <v>10</v>
      </c>
      <c r="G609" t="str">
        <f>IFERROR(VLOOKUP(B609, Churches!H:H, 1, FALSE), "")</f>
        <v/>
      </c>
    </row>
    <row r="610" spans="1:7" x14ac:dyDescent="0.25">
      <c r="A610" t="s">
        <v>1225</v>
      </c>
      <c r="B610" t="s">
        <v>2408</v>
      </c>
      <c r="C610">
        <v>51.465633459999999</v>
      </c>
      <c r="D610">
        <v>-7.783872E-2</v>
      </c>
      <c r="F610">
        <v>5</v>
      </c>
      <c r="G610" t="str">
        <f>IFERROR(VLOOKUP(B610, Churches!H:H, 1, FALSE), "")</f>
        <v/>
      </c>
    </row>
    <row r="611" spans="1:7" x14ac:dyDescent="0.25">
      <c r="A611" t="s">
        <v>1226</v>
      </c>
      <c r="B611" t="s">
        <v>2234</v>
      </c>
      <c r="C611">
        <v>51.495179139999998</v>
      </c>
      <c r="D611">
        <v>-0.13561714</v>
      </c>
      <c r="E611" t="s">
        <v>673</v>
      </c>
      <c r="F611">
        <v>5</v>
      </c>
      <c r="G611" t="str">
        <f>IFERROR(VLOOKUP(B611, Churches!H:H, 1, FALSE), "")</f>
        <v/>
      </c>
    </row>
    <row r="612" spans="1:7" x14ac:dyDescent="0.25">
      <c r="A612" t="s">
        <v>1227</v>
      </c>
      <c r="B612" t="s">
        <v>2409</v>
      </c>
      <c r="C612">
        <v>51.519382737499903</v>
      </c>
      <c r="D612">
        <v>-0.11231403750000001</v>
      </c>
      <c r="E612" t="s">
        <v>673</v>
      </c>
      <c r="F612">
        <v>8</v>
      </c>
      <c r="G612" t="str">
        <f>IFERROR(VLOOKUP(B612, Churches!H:H, 1, FALSE), "")</f>
        <v/>
      </c>
    </row>
    <row r="613" spans="1:7" x14ac:dyDescent="0.25">
      <c r="A613" t="s">
        <v>1228</v>
      </c>
      <c r="B613" t="s">
        <v>2410</v>
      </c>
      <c r="C613">
        <v>51.5787953529411</v>
      </c>
      <c r="D613">
        <v>-0.23599878823529399</v>
      </c>
      <c r="E613" t="s">
        <v>673</v>
      </c>
      <c r="F613">
        <v>17</v>
      </c>
      <c r="G613" t="str">
        <f>IFERROR(VLOOKUP(B613, Churches!H:H, 1, FALSE), "")</f>
        <v/>
      </c>
    </row>
    <row r="614" spans="1:7" x14ac:dyDescent="0.25">
      <c r="A614" t="s">
        <v>1229</v>
      </c>
      <c r="B614" t="s">
        <v>2411</v>
      </c>
      <c r="C614">
        <v>51.613061360000003</v>
      </c>
      <c r="D614">
        <v>-0.22250990000000001</v>
      </c>
      <c r="F614">
        <v>5</v>
      </c>
      <c r="G614" t="str">
        <f>IFERROR(VLOOKUP(B614, Churches!H:H, 1, FALSE), "")</f>
        <v/>
      </c>
    </row>
    <row r="615" spans="1:7" x14ac:dyDescent="0.25">
      <c r="A615" t="s">
        <v>1014</v>
      </c>
      <c r="B615" t="s">
        <v>2412</v>
      </c>
      <c r="C615">
        <v>51.620639554545399</v>
      </c>
      <c r="D615">
        <v>-0.23129887272727201</v>
      </c>
      <c r="F615">
        <v>11</v>
      </c>
      <c r="G615" t="str">
        <f>IFERROR(VLOOKUP(B615, Churches!H:H, 1, FALSE), "")</f>
        <v/>
      </c>
    </row>
    <row r="616" spans="1:7" x14ac:dyDescent="0.25">
      <c r="A616" t="s">
        <v>724</v>
      </c>
      <c r="B616" t="s">
        <v>2413</v>
      </c>
      <c r="C616">
        <v>51.5280452133333</v>
      </c>
      <c r="D616">
        <v>-0.21532226666666601</v>
      </c>
      <c r="E616" t="s">
        <v>673</v>
      </c>
      <c r="F616">
        <v>15</v>
      </c>
      <c r="G616" t="str">
        <f>IFERROR(VLOOKUP(B616, Churches!H:H, 1, FALSE), "")</f>
        <v/>
      </c>
    </row>
    <row r="617" spans="1:7" x14ac:dyDescent="0.25">
      <c r="A617" t="s">
        <v>1230</v>
      </c>
      <c r="B617" t="s">
        <v>2414</v>
      </c>
      <c r="C617">
        <v>51.528510955555497</v>
      </c>
      <c r="D617">
        <v>-0.20528978888888799</v>
      </c>
      <c r="F617">
        <v>9</v>
      </c>
      <c r="G617" t="str">
        <f>IFERROR(VLOOKUP(B617, Churches!H:H, 1, FALSE), "")</f>
        <v/>
      </c>
    </row>
    <row r="618" spans="1:7" x14ac:dyDescent="0.25">
      <c r="A618" t="s">
        <v>811</v>
      </c>
      <c r="B618" t="s">
        <v>2415</v>
      </c>
      <c r="C618">
        <v>51.562664884615302</v>
      </c>
      <c r="D618">
        <v>-0.15101940769230701</v>
      </c>
      <c r="F618">
        <v>13</v>
      </c>
      <c r="G618" t="str">
        <f>IFERROR(VLOOKUP(B618, Churches!H:H, 1, FALSE), "")</f>
        <v/>
      </c>
    </row>
    <row r="619" spans="1:7" x14ac:dyDescent="0.25">
      <c r="A619" t="s">
        <v>1231</v>
      </c>
      <c r="B619" t="s">
        <v>2416</v>
      </c>
      <c r="C619">
        <v>51.563788263157797</v>
      </c>
      <c r="D619">
        <v>-0.130223415789473</v>
      </c>
      <c r="F619">
        <v>19</v>
      </c>
      <c r="G619" t="str">
        <f>IFERROR(VLOOKUP(B619, Churches!H:H, 1, FALSE), "")</f>
        <v/>
      </c>
    </row>
    <row r="620" spans="1:7" x14ac:dyDescent="0.25">
      <c r="A620" t="s">
        <v>1232</v>
      </c>
      <c r="B620" t="s">
        <v>2417</v>
      </c>
      <c r="C620">
        <v>51.564675619047598</v>
      </c>
      <c r="D620">
        <v>-0.131464704761904</v>
      </c>
      <c r="F620">
        <v>21</v>
      </c>
      <c r="G620" t="str">
        <f>IFERROR(VLOOKUP(B620, Churches!H:H, 1, FALSE), "")</f>
        <v/>
      </c>
    </row>
    <row r="621" spans="1:7" x14ac:dyDescent="0.25">
      <c r="A621" t="s">
        <v>750</v>
      </c>
      <c r="B621" t="s">
        <v>2418</v>
      </c>
      <c r="C621">
        <v>51.506231090908997</v>
      </c>
      <c r="D621">
        <v>-0.105137599999999</v>
      </c>
      <c r="E621" t="s">
        <v>673</v>
      </c>
      <c r="F621">
        <v>11</v>
      </c>
      <c r="G621" t="str">
        <f>IFERROR(VLOOKUP(B621, Churches!H:H, 1, FALSE), "")</f>
        <v/>
      </c>
    </row>
    <row r="622" spans="1:7" x14ac:dyDescent="0.25">
      <c r="A622" t="s">
        <v>459</v>
      </c>
      <c r="B622" t="s">
        <v>2419</v>
      </c>
      <c r="C622">
        <v>51.59769472</v>
      </c>
      <c r="D622">
        <v>-0.14231168</v>
      </c>
      <c r="E622" t="s">
        <v>673</v>
      </c>
      <c r="F622">
        <v>5</v>
      </c>
      <c r="G622" t="str">
        <f>IFERROR(VLOOKUP(B622, Churches!H:H, 1, FALSE), "")</f>
        <v/>
      </c>
    </row>
    <row r="623" spans="1:7" x14ac:dyDescent="0.25">
      <c r="A623" t="s">
        <v>1233</v>
      </c>
      <c r="B623" t="s">
        <v>2420</v>
      </c>
      <c r="C623">
        <v>51.5943515857142</v>
      </c>
      <c r="D623">
        <v>-0.14667749999999999</v>
      </c>
      <c r="F623">
        <v>14</v>
      </c>
      <c r="G623" t="str">
        <f>IFERROR(VLOOKUP(B623, Churches!H:H, 1, FALSE), "")</f>
        <v/>
      </c>
    </row>
    <row r="624" spans="1:7" x14ac:dyDescent="0.25">
      <c r="A624" t="s">
        <v>1234</v>
      </c>
      <c r="B624" t="s">
        <v>2421</v>
      </c>
      <c r="C624">
        <v>51.5852846777777</v>
      </c>
      <c r="D624">
        <v>-0.21993106666666601</v>
      </c>
      <c r="E624" t="s">
        <v>673</v>
      </c>
      <c r="F624">
        <v>9</v>
      </c>
      <c r="G624" t="str">
        <f>IFERROR(VLOOKUP(B624, Churches!H:H, 1, FALSE), "")</f>
        <v/>
      </c>
    </row>
    <row r="625" spans="1:7" x14ac:dyDescent="0.25">
      <c r="A625" t="s">
        <v>708</v>
      </c>
      <c r="B625" t="s">
        <v>2422</v>
      </c>
      <c r="C625">
        <v>51.59493672</v>
      </c>
      <c r="D625">
        <v>-0.104552386666666</v>
      </c>
      <c r="E625" t="s">
        <v>673</v>
      </c>
      <c r="F625">
        <v>15</v>
      </c>
      <c r="G625" t="str">
        <f>IFERROR(VLOOKUP(B625, Churches!H:H, 1, FALSE), "")</f>
        <v/>
      </c>
    </row>
    <row r="626" spans="1:7" x14ac:dyDescent="0.25">
      <c r="A626" t="s">
        <v>1235</v>
      </c>
      <c r="B626" t="s">
        <v>2275</v>
      </c>
      <c r="C626">
        <v>51.602189642105202</v>
      </c>
      <c r="D626">
        <v>-6.3803968421052598E-2</v>
      </c>
      <c r="E626" t="s">
        <v>673</v>
      </c>
      <c r="F626">
        <v>19</v>
      </c>
      <c r="G626" t="str">
        <f>IFERROR(VLOOKUP(B626, Churches!H:H, 1, FALSE), "")</f>
        <v/>
      </c>
    </row>
    <row r="627" spans="1:7" x14ac:dyDescent="0.25">
      <c r="A627" t="s">
        <v>1236</v>
      </c>
      <c r="B627" t="s">
        <v>2423</v>
      </c>
      <c r="C627">
        <v>51.587791224999897</v>
      </c>
      <c r="D627">
        <v>-7.0065462499999995E-2</v>
      </c>
      <c r="F627">
        <v>8</v>
      </c>
      <c r="G627" t="str">
        <f>IFERROR(VLOOKUP(B627, Churches!H:H, 1, FALSE), "")</f>
        <v/>
      </c>
    </row>
    <row r="628" spans="1:7" x14ac:dyDescent="0.25">
      <c r="A628" t="s">
        <v>1237</v>
      </c>
      <c r="B628" t="s">
        <v>2424</v>
      </c>
      <c r="C628">
        <v>51.616841620000002</v>
      </c>
      <c r="D628">
        <v>-8.0554280000000006E-2</v>
      </c>
      <c r="F628">
        <v>5</v>
      </c>
      <c r="G628" t="str">
        <f>IFERROR(VLOOKUP(B628, Churches!H:H, 1, FALSE), "")</f>
        <v/>
      </c>
    </row>
    <row r="629" spans="1:7" x14ac:dyDescent="0.25">
      <c r="A629" t="s">
        <v>1238</v>
      </c>
      <c r="B629" t="s">
        <v>2425</v>
      </c>
      <c r="C629">
        <v>51.559965322222197</v>
      </c>
      <c r="D629">
        <v>-7.3468699999999998E-2</v>
      </c>
      <c r="F629">
        <v>9</v>
      </c>
      <c r="G629" t="str">
        <f>IFERROR(VLOOKUP(B629, Churches!H:H, 1, FALSE), "")</f>
        <v/>
      </c>
    </row>
    <row r="630" spans="1:7" x14ac:dyDescent="0.25">
      <c r="A630" t="s">
        <v>1239</v>
      </c>
      <c r="B630" t="s">
        <v>2426</v>
      </c>
      <c r="C630">
        <v>51.567075860000003</v>
      </c>
      <c r="D630">
        <v>-7.0826979999999998E-2</v>
      </c>
      <c r="F630">
        <v>5</v>
      </c>
      <c r="G630" t="str">
        <f>IFERROR(VLOOKUP(B630, Churches!H:H, 1, FALSE), "")</f>
        <v/>
      </c>
    </row>
    <row r="631" spans="1:7" x14ac:dyDescent="0.25">
      <c r="A631" t="s">
        <v>1240</v>
      </c>
      <c r="B631" t="s">
        <v>2427</v>
      </c>
      <c r="C631">
        <v>51.573388020000003</v>
      </c>
      <c r="D631">
        <v>-6.6720039999999994E-2</v>
      </c>
      <c r="F631">
        <v>5</v>
      </c>
      <c r="G631" t="str">
        <f>IFERROR(VLOOKUP(B631, Churches!H:H, 1, FALSE), "")</f>
        <v/>
      </c>
    </row>
    <row r="632" spans="1:7" x14ac:dyDescent="0.25">
      <c r="A632" t="s">
        <v>1241</v>
      </c>
      <c r="B632" t="s">
        <v>2428</v>
      </c>
      <c r="C632">
        <v>51.576399979999998</v>
      </c>
      <c r="D632">
        <v>-6.9540679999999994E-2</v>
      </c>
      <c r="F632">
        <v>5</v>
      </c>
      <c r="G632" t="str">
        <f>IFERROR(VLOOKUP(B632, Churches!H:H, 1, FALSE), "")</f>
        <v/>
      </c>
    </row>
    <row r="633" spans="1:7" x14ac:dyDescent="0.25">
      <c r="A633" t="s">
        <v>1242</v>
      </c>
      <c r="B633" t="s">
        <v>240</v>
      </c>
      <c r="C633">
        <v>51.5318130705882</v>
      </c>
      <c r="D633">
        <v>-4.7834799999999997E-2</v>
      </c>
      <c r="E633" t="s">
        <v>673</v>
      </c>
      <c r="F633">
        <v>17</v>
      </c>
    </row>
    <row r="634" spans="1:7" x14ac:dyDescent="0.25">
      <c r="A634" t="s">
        <v>1243</v>
      </c>
      <c r="B634" t="s">
        <v>2429</v>
      </c>
      <c r="C634">
        <v>51.486724420000002</v>
      </c>
      <c r="D634">
        <v>-6.9728440000000003E-2</v>
      </c>
      <c r="E634" t="s">
        <v>673</v>
      </c>
      <c r="F634">
        <v>5</v>
      </c>
      <c r="G634" t="str">
        <f>IFERROR(VLOOKUP(B634, Churches!H:H, 1, FALSE), "")</f>
        <v/>
      </c>
    </row>
    <row r="635" spans="1:7" x14ac:dyDescent="0.25">
      <c r="A635" t="s">
        <v>1244</v>
      </c>
      <c r="B635" t="s">
        <v>2430</v>
      </c>
      <c r="C635">
        <v>51.546927166666599</v>
      </c>
      <c r="D635">
        <v>-0.231598213333333</v>
      </c>
      <c r="E635" t="s">
        <v>673</v>
      </c>
      <c r="F635">
        <v>15</v>
      </c>
      <c r="G635" t="str">
        <f>IFERROR(VLOOKUP(B635, Churches!H:H, 1, FALSE), "")</f>
        <v/>
      </c>
    </row>
    <row r="636" spans="1:7" x14ac:dyDescent="0.25">
      <c r="A636" t="s">
        <v>1245</v>
      </c>
      <c r="B636" t="s">
        <v>2431</v>
      </c>
      <c r="C636">
        <v>51.546213699999903</v>
      </c>
      <c r="D636">
        <v>-0.22490433200000001</v>
      </c>
      <c r="F636">
        <v>25</v>
      </c>
      <c r="G636" t="str">
        <f>IFERROR(VLOOKUP(B636, Churches!H:H, 1, FALSE), "")</f>
        <v/>
      </c>
    </row>
    <row r="637" spans="1:7" x14ac:dyDescent="0.25">
      <c r="A637" t="s">
        <v>1246</v>
      </c>
      <c r="B637" t="s">
        <v>2432</v>
      </c>
      <c r="C637">
        <v>51.546612415384601</v>
      </c>
      <c r="D637">
        <v>-0.222594615384615</v>
      </c>
      <c r="F637">
        <v>13</v>
      </c>
      <c r="G637" t="str">
        <f>IFERROR(VLOOKUP(B637, Churches!H:H, 1, FALSE), "")</f>
        <v/>
      </c>
    </row>
    <row r="638" spans="1:7" x14ac:dyDescent="0.25">
      <c r="A638" t="s">
        <v>1247</v>
      </c>
      <c r="B638" t="s">
        <v>2433</v>
      </c>
      <c r="C638">
        <v>51.543735599999998</v>
      </c>
      <c r="D638">
        <v>-0.21062004666666601</v>
      </c>
      <c r="E638" t="s">
        <v>673</v>
      </c>
      <c r="F638">
        <v>15</v>
      </c>
      <c r="G638" t="str">
        <f>IFERROR(VLOOKUP(B638, Churches!H:H, 1, FALSE), "")</f>
        <v/>
      </c>
    </row>
    <row r="639" spans="1:7" x14ac:dyDescent="0.25">
      <c r="A639" t="s">
        <v>1248</v>
      </c>
      <c r="B639" t="s">
        <v>2434</v>
      </c>
      <c r="C639">
        <v>51.538608726086899</v>
      </c>
      <c r="D639">
        <v>-0.20734622173913</v>
      </c>
      <c r="F639">
        <v>23</v>
      </c>
      <c r="G639" t="str">
        <f>IFERROR(VLOOKUP(B639, Churches!H:H, 1, FALSE), "")</f>
        <v/>
      </c>
    </row>
    <row r="640" spans="1:7" x14ac:dyDescent="0.25">
      <c r="A640" t="s">
        <v>1106</v>
      </c>
      <c r="B640" t="s">
        <v>2435</v>
      </c>
      <c r="C640">
        <v>51.5208356931034</v>
      </c>
      <c r="D640">
        <v>-0.21159786896551699</v>
      </c>
      <c r="E640" t="s">
        <v>673</v>
      </c>
      <c r="F640">
        <v>29</v>
      </c>
      <c r="G640" t="str">
        <f>IFERROR(VLOOKUP(B640, Churches!H:H, 1, FALSE), "")</f>
        <v/>
      </c>
    </row>
    <row r="641" spans="1:7" x14ac:dyDescent="0.25">
      <c r="A641" t="s">
        <v>1249</v>
      </c>
      <c r="B641" t="s">
        <v>2436</v>
      </c>
      <c r="C641">
        <v>51.525922166666597</v>
      </c>
      <c r="D641">
        <v>-0.20965583333333301</v>
      </c>
      <c r="E641" t="s">
        <v>673</v>
      </c>
      <c r="F641">
        <v>9</v>
      </c>
      <c r="G641" t="str">
        <f>IFERROR(VLOOKUP(B641, Churches!H:H, 1, FALSE), "")</f>
        <v/>
      </c>
    </row>
    <row r="642" spans="1:7" x14ac:dyDescent="0.25">
      <c r="A642" t="s">
        <v>1250</v>
      </c>
      <c r="B642" t="s">
        <v>2437</v>
      </c>
      <c r="C642">
        <v>51.607313519999998</v>
      </c>
      <c r="D642">
        <v>-0.11046274</v>
      </c>
      <c r="F642">
        <v>5</v>
      </c>
      <c r="G642" t="str">
        <f>IFERROR(VLOOKUP(B642, Churches!H:H, 1, FALSE), "")</f>
        <v/>
      </c>
    </row>
    <row r="643" spans="1:7" x14ac:dyDescent="0.25">
      <c r="A643" t="s">
        <v>1251</v>
      </c>
      <c r="B643" t="s">
        <v>2438</v>
      </c>
      <c r="C643">
        <v>51.609740559999999</v>
      </c>
      <c r="D643">
        <v>-0.11460181999999999</v>
      </c>
      <c r="E643" t="s">
        <v>673</v>
      </c>
      <c r="F643">
        <v>5</v>
      </c>
      <c r="G643" t="str">
        <f>IFERROR(VLOOKUP(B643, Churches!H:H, 1, FALSE), "")</f>
        <v/>
      </c>
    </row>
    <row r="644" spans="1:7" x14ac:dyDescent="0.25">
      <c r="A644" t="s">
        <v>1252</v>
      </c>
      <c r="B644" t="s">
        <v>2439</v>
      </c>
      <c r="C644">
        <v>51.609561955555499</v>
      </c>
      <c r="D644">
        <v>2.2393000000000001E-3</v>
      </c>
      <c r="F644">
        <v>9</v>
      </c>
      <c r="G644" t="str">
        <f>IFERROR(VLOOKUP(B644, Churches!H:H, 1, FALSE), "")</f>
        <v/>
      </c>
    </row>
    <row r="645" spans="1:7" x14ac:dyDescent="0.25">
      <c r="A645" t="s">
        <v>1253</v>
      </c>
      <c r="B645" t="s">
        <v>2440</v>
      </c>
      <c r="C645">
        <v>51.511702374999899</v>
      </c>
      <c r="D645">
        <v>-0.191142485</v>
      </c>
      <c r="E645" t="s">
        <v>673</v>
      </c>
      <c r="F645">
        <v>20</v>
      </c>
      <c r="G645" t="str">
        <f>IFERROR(VLOOKUP(B645, Churches!H:H, 1, FALSE), "")</f>
        <v/>
      </c>
    </row>
    <row r="646" spans="1:7" x14ac:dyDescent="0.25">
      <c r="A646" t="s">
        <v>1254</v>
      </c>
      <c r="B646" t="s">
        <v>2441</v>
      </c>
      <c r="C646">
        <v>51.506970999999901</v>
      </c>
      <c r="D646">
        <v>-0.19993675909090899</v>
      </c>
      <c r="E646" t="s">
        <v>673</v>
      </c>
      <c r="F646">
        <v>22</v>
      </c>
      <c r="G646" t="str">
        <f>IFERROR(VLOOKUP(B646, Churches!H:H, 1, FALSE), "")</f>
        <v/>
      </c>
    </row>
    <row r="647" spans="1:7" x14ac:dyDescent="0.25">
      <c r="A647" t="s">
        <v>782</v>
      </c>
      <c r="B647" t="s">
        <v>2442</v>
      </c>
      <c r="C647">
        <v>51.512749871875002</v>
      </c>
      <c r="D647">
        <v>-0.20263218750000001</v>
      </c>
      <c r="E647" t="s">
        <v>673</v>
      </c>
      <c r="F647">
        <v>32</v>
      </c>
      <c r="G647" t="str">
        <f>IFERROR(VLOOKUP(B647, Churches!H:H, 1, FALSE), "")</f>
        <v/>
      </c>
    </row>
    <row r="648" spans="1:7" x14ac:dyDescent="0.25">
      <c r="A648" t="s">
        <v>1255</v>
      </c>
      <c r="B648" t="s">
        <v>2443</v>
      </c>
      <c r="C648">
        <v>51.466961099999999</v>
      </c>
      <c r="D648">
        <v>-6.3814640000000006E-2</v>
      </c>
      <c r="F648">
        <v>5</v>
      </c>
      <c r="G648" t="str">
        <f>IFERROR(VLOOKUP(B648, Churches!H:H, 1, FALSE), "")</f>
        <v/>
      </c>
    </row>
    <row r="649" spans="1:7" x14ac:dyDescent="0.25">
      <c r="A649" t="s">
        <v>1256</v>
      </c>
      <c r="B649" t="s">
        <v>2444</v>
      </c>
      <c r="C649">
        <v>51.6086789777777</v>
      </c>
      <c r="D649">
        <v>-0.41475629999999902</v>
      </c>
      <c r="E649" t="s">
        <v>673</v>
      </c>
      <c r="F649">
        <v>9</v>
      </c>
      <c r="G649" t="str">
        <f>IFERROR(VLOOKUP(B649, Churches!H:H, 1, FALSE), "")</f>
        <v/>
      </c>
    </row>
    <row r="650" spans="1:7" x14ac:dyDescent="0.25">
      <c r="A650" t="s">
        <v>1257</v>
      </c>
      <c r="B650" t="s">
        <v>2445</v>
      </c>
      <c r="C650">
        <v>51.489014894736798</v>
      </c>
      <c r="D650">
        <v>-0.104501536842105</v>
      </c>
      <c r="E650" t="s">
        <v>673</v>
      </c>
      <c r="F650">
        <v>19</v>
      </c>
      <c r="G650" t="str">
        <f>IFERROR(VLOOKUP(B650, Churches!H:H, 1, FALSE), "")</f>
        <v/>
      </c>
    </row>
    <row r="651" spans="1:7" x14ac:dyDescent="0.25">
      <c r="A651" t="s">
        <v>961</v>
      </c>
      <c r="B651" t="s">
        <v>2446</v>
      </c>
      <c r="C651">
        <v>51.643324319999998</v>
      </c>
      <c r="D651">
        <v>-0.10098928</v>
      </c>
      <c r="E651" t="s">
        <v>673</v>
      </c>
      <c r="F651">
        <v>5</v>
      </c>
      <c r="G651" t="str">
        <f>IFERROR(VLOOKUP(B651, Churches!H:H, 1, FALSE), "")</f>
        <v/>
      </c>
    </row>
    <row r="652" spans="1:7" x14ac:dyDescent="0.25">
      <c r="A652" t="s">
        <v>1258</v>
      </c>
      <c r="B652" t="s">
        <v>2447</v>
      </c>
      <c r="C652">
        <v>51.552683299999998</v>
      </c>
      <c r="D652">
        <v>-0.30155006153846098</v>
      </c>
      <c r="E652" t="s">
        <v>673</v>
      </c>
      <c r="F652">
        <v>13</v>
      </c>
      <c r="G652" t="str">
        <f>IFERROR(VLOOKUP(B652, Churches!H:H, 1, FALSE), "")</f>
        <v/>
      </c>
    </row>
    <row r="653" spans="1:7" x14ac:dyDescent="0.25">
      <c r="A653" t="s">
        <v>1259</v>
      </c>
      <c r="B653" t="s">
        <v>2448</v>
      </c>
      <c r="C653">
        <v>51.558448040000002</v>
      </c>
      <c r="D653">
        <v>-0.32404576000000002</v>
      </c>
      <c r="E653" t="s">
        <v>673</v>
      </c>
      <c r="F653">
        <v>5</v>
      </c>
      <c r="G653" t="str">
        <f>IFERROR(VLOOKUP(B653, Churches!H:H, 1, FALSE), "")</f>
        <v/>
      </c>
    </row>
    <row r="654" spans="1:7" x14ac:dyDescent="0.25">
      <c r="A654" t="s">
        <v>1260</v>
      </c>
      <c r="B654" t="s">
        <v>2449</v>
      </c>
      <c r="C654">
        <v>51.54499234</v>
      </c>
      <c r="D654">
        <v>-0.29665903999999998</v>
      </c>
      <c r="F654">
        <v>5</v>
      </c>
      <c r="G654" t="str">
        <f>IFERROR(VLOOKUP(B654, Churches!H:H, 1, FALSE), "")</f>
        <v/>
      </c>
    </row>
    <row r="655" spans="1:7" x14ac:dyDescent="0.25">
      <c r="A655" t="s">
        <v>1261</v>
      </c>
      <c r="B655" t="s">
        <v>2450</v>
      </c>
      <c r="C655">
        <v>51.542812479999903</v>
      </c>
      <c r="D655">
        <v>-0.29377174</v>
      </c>
      <c r="E655" t="s">
        <v>673</v>
      </c>
      <c r="F655">
        <v>5</v>
      </c>
      <c r="G655" t="str">
        <f>IFERROR(VLOOKUP(B655, Churches!H:H, 1, FALSE), "")</f>
        <v/>
      </c>
    </row>
    <row r="656" spans="1:7" x14ac:dyDescent="0.25">
      <c r="A656" t="s">
        <v>1262</v>
      </c>
      <c r="B656" t="s">
        <v>2451</v>
      </c>
      <c r="C656">
        <v>51.567878499999999</v>
      </c>
      <c r="D656">
        <v>-0.34297889230769202</v>
      </c>
      <c r="E656" t="s">
        <v>673</v>
      </c>
      <c r="F656">
        <v>13</v>
      </c>
      <c r="G656" t="str">
        <f>IFERROR(VLOOKUP(B656, Churches!H:H, 1, FALSE), "")</f>
        <v/>
      </c>
    </row>
    <row r="657" spans="1:7" x14ac:dyDescent="0.25">
      <c r="A657" t="s">
        <v>1263</v>
      </c>
      <c r="B657" t="s">
        <v>2452</v>
      </c>
      <c r="C657">
        <v>51.563556060000003</v>
      </c>
      <c r="D657">
        <v>-0.35056061999999999</v>
      </c>
      <c r="F657">
        <v>5</v>
      </c>
      <c r="G657" t="str">
        <f>IFERROR(VLOOKUP(B657, Churches!H:H, 1, FALSE), "")</f>
        <v/>
      </c>
    </row>
    <row r="658" spans="1:7" x14ac:dyDescent="0.25">
      <c r="A658" t="s">
        <v>1264</v>
      </c>
      <c r="B658" t="s">
        <v>2275</v>
      </c>
      <c r="C658">
        <v>51.490661614285699</v>
      </c>
      <c r="D658">
        <v>-9.5362042857142795E-2</v>
      </c>
      <c r="E658" t="s">
        <v>673</v>
      </c>
      <c r="F658">
        <v>7</v>
      </c>
      <c r="G658" t="str">
        <f>IFERROR(VLOOKUP(B658, Churches!H:H, 1, FALSE), "")</f>
        <v/>
      </c>
    </row>
    <row r="659" spans="1:7" x14ac:dyDescent="0.25">
      <c r="A659" t="s">
        <v>1265</v>
      </c>
      <c r="B659" t="s">
        <v>2453</v>
      </c>
      <c r="C659">
        <v>51.535329400000002</v>
      </c>
      <c r="D659">
        <v>-0.24798118999999999</v>
      </c>
      <c r="E659" t="s">
        <v>673</v>
      </c>
      <c r="F659">
        <v>10</v>
      </c>
      <c r="G659" t="str">
        <f>IFERROR(VLOOKUP(B659, Churches!H:H, 1, FALSE), "")</f>
        <v/>
      </c>
    </row>
    <row r="660" spans="1:7" x14ac:dyDescent="0.25">
      <c r="A660" t="s">
        <v>1266</v>
      </c>
      <c r="B660" t="s">
        <v>2454</v>
      </c>
      <c r="C660">
        <v>51.541747260000001</v>
      </c>
      <c r="D660">
        <v>-0.24881261999999901</v>
      </c>
      <c r="E660" t="s">
        <v>673</v>
      </c>
      <c r="F660">
        <v>5</v>
      </c>
      <c r="G660" t="str">
        <f>IFERROR(VLOOKUP(B660, Churches!H:H, 1, FALSE), "")</f>
        <v/>
      </c>
    </row>
    <row r="661" spans="1:7" x14ac:dyDescent="0.25">
      <c r="A661" t="s">
        <v>750</v>
      </c>
      <c r="B661" t="s">
        <v>2455</v>
      </c>
      <c r="C661">
        <v>51.497601947368402</v>
      </c>
      <c r="D661">
        <v>-0.186471568421052</v>
      </c>
      <c r="E661" t="s">
        <v>673</v>
      </c>
      <c r="F661">
        <v>19</v>
      </c>
      <c r="G661" t="str">
        <f>IFERROR(VLOOKUP(B661, Churches!H:H, 1, FALSE), "")</f>
        <v/>
      </c>
    </row>
    <row r="662" spans="1:7" x14ac:dyDescent="0.25">
      <c r="A662" t="s">
        <v>1267</v>
      </c>
      <c r="B662" t="s">
        <v>2456</v>
      </c>
      <c r="C662">
        <v>51.495680849999999</v>
      </c>
      <c r="D662">
        <v>-0.18358721250000001</v>
      </c>
      <c r="E662" t="s">
        <v>673</v>
      </c>
      <c r="F662">
        <v>16</v>
      </c>
      <c r="G662" t="str">
        <f>IFERROR(VLOOKUP(B662, Churches!H:H, 1, FALSE), "")</f>
        <v/>
      </c>
    </row>
    <row r="663" spans="1:7" x14ac:dyDescent="0.25">
      <c r="A663" t="s">
        <v>1268</v>
      </c>
      <c r="B663" t="s">
        <v>2457</v>
      </c>
      <c r="C663">
        <v>51.493422783333301</v>
      </c>
      <c r="D663">
        <v>-0.18754186111111101</v>
      </c>
      <c r="E663" t="s">
        <v>673</v>
      </c>
      <c r="F663">
        <v>18</v>
      </c>
      <c r="G663" t="str">
        <f>IFERROR(VLOOKUP(B663, Churches!H:H, 1, FALSE), "")</f>
        <v/>
      </c>
    </row>
    <row r="664" spans="1:7" x14ac:dyDescent="0.25">
      <c r="A664" t="s">
        <v>1074</v>
      </c>
      <c r="B664" t="s">
        <v>2458</v>
      </c>
      <c r="C664">
        <v>51.487748320000001</v>
      </c>
      <c r="D664">
        <v>-0.18938833999999999</v>
      </c>
      <c r="E664" t="s">
        <v>673</v>
      </c>
      <c r="F664">
        <v>5</v>
      </c>
      <c r="G664" t="str">
        <f>IFERROR(VLOOKUP(B664, Churches!H:H, 1, FALSE), "")</f>
        <v/>
      </c>
    </row>
    <row r="665" spans="1:7" x14ac:dyDescent="0.25">
      <c r="A665" t="s">
        <v>1269</v>
      </c>
      <c r="B665" t="s">
        <v>2046</v>
      </c>
      <c r="C665">
        <v>51.488580194999997</v>
      </c>
      <c r="D665">
        <v>-8.1879960000000002E-2</v>
      </c>
      <c r="F665">
        <v>20</v>
      </c>
      <c r="G665" t="str">
        <f>IFERROR(VLOOKUP(B665, Churches!H:H, 1, FALSE), "")</f>
        <v/>
      </c>
    </row>
    <row r="666" spans="1:7" x14ac:dyDescent="0.25">
      <c r="A666" t="s">
        <v>1270</v>
      </c>
      <c r="B666" t="s">
        <v>2459</v>
      </c>
      <c r="C666">
        <v>51.521375929411697</v>
      </c>
      <c r="D666">
        <v>-0.15571505294117599</v>
      </c>
      <c r="F666">
        <v>17</v>
      </c>
      <c r="G666" t="str">
        <f>IFERROR(VLOOKUP(B666, Churches!H:H, 1, FALSE), "")</f>
        <v/>
      </c>
    </row>
    <row r="667" spans="1:7" x14ac:dyDescent="0.25">
      <c r="A667" t="s">
        <v>1271</v>
      </c>
      <c r="B667" t="s">
        <v>2460</v>
      </c>
      <c r="C667">
        <v>51.522582203225802</v>
      </c>
      <c r="D667">
        <v>-0.15232357096774099</v>
      </c>
      <c r="F667">
        <v>31</v>
      </c>
      <c r="G667" t="str">
        <f>IFERROR(VLOOKUP(B667, Churches!H:H, 1, FALSE), "")</f>
        <v/>
      </c>
    </row>
    <row r="668" spans="1:7" x14ac:dyDescent="0.25">
      <c r="A668" t="s">
        <v>1272</v>
      </c>
      <c r="B668" t="s">
        <v>2461</v>
      </c>
      <c r="C668">
        <v>51.587719800000002</v>
      </c>
      <c r="D668">
        <v>-7.8376020000000005E-2</v>
      </c>
      <c r="F668">
        <v>5</v>
      </c>
      <c r="G668" t="str">
        <f>IFERROR(VLOOKUP(B668, Churches!H:H, 1, FALSE), "")</f>
        <v/>
      </c>
    </row>
    <row r="669" spans="1:7" x14ac:dyDescent="0.25">
      <c r="A669" t="s">
        <v>1273</v>
      </c>
      <c r="B669" t="s">
        <v>2462</v>
      </c>
      <c r="C669">
        <v>51.614460799999897</v>
      </c>
      <c r="D669">
        <v>-6.0586620000000001E-2</v>
      </c>
      <c r="F669">
        <v>5</v>
      </c>
      <c r="G669" t="str">
        <f>IFERROR(VLOOKUP(B669, Churches!H:H, 1, FALSE), "")</f>
        <v/>
      </c>
    </row>
    <row r="670" spans="1:7" x14ac:dyDescent="0.25">
      <c r="A670" t="s">
        <v>674</v>
      </c>
      <c r="B670" t="s">
        <v>2463</v>
      </c>
      <c r="C670">
        <v>51.61831308</v>
      </c>
      <c r="D670">
        <v>-6.2375600000000003E-2</v>
      </c>
      <c r="E670" t="s">
        <v>673</v>
      </c>
      <c r="F670">
        <v>5</v>
      </c>
      <c r="G670" t="str">
        <f>IFERROR(VLOOKUP(B670, Churches!H:H, 1, FALSE), "")</f>
        <v/>
      </c>
    </row>
    <row r="671" spans="1:7" x14ac:dyDescent="0.25">
      <c r="A671" t="s">
        <v>1274</v>
      </c>
      <c r="B671" t="s">
        <v>2275</v>
      </c>
      <c r="C671">
        <v>51.629875657142797</v>
      </c>
      <c r="D671">
        <v>-6.2123628571428502E-2</v>
      </c>
      <c r="F671">
        <v>7</v>
      </c>
      <c r="G671" t="str">
        <f>IFERROR(VLOOKUP(B671, Churches!H:H, 1, FALSE), "")</f>
        <v/>
      </c>
    </row>
    <row r="672" spans="1:7" x14ac:dyDescent="0.25">
      <c r="A672" t="s">
        <v>1275</v>
      </c>
      <c r="B672" t="s">
        <v>2464</v>
      </c>
      <c r="C672">
        <v>51.628535339999999</v>
      </c>
      <c r="D672">
        <v>-5.0563700000000003E-2</v>
      </c>
      <c r="E672" t="s">
        <v>673</v>
      </c>
      <c r="F672">
        <v>5</v>
      </c>
      <c r="G672" t="str">
        <f>IFERROR(VLOOKUP(B672, Churches!H:H, 1, FALSE), "")</f>
        <v/>
      </c>
    </row>
    <row r="673" spans="1:7" x14ac:dyDescent="0.25">
      <c r="A673" t="s">
        <v>1276</v>
      </c>
      <c r="B673" t="s">
        <v>2465</v>
      </c>
      <c r="C673">
        <v>51.587325199999903</v>
      </c>
      <c r="D673">
        <v>-0.10919954</v>
      </c>
      <c r="F673">
        <v>5</v>
      </c>
      <c r="G673" t="str">
        <f>IFERROR(VLOOKUP(B673, Churches!H:H, 1, FALSE), "")</f>
        <v/>
      </c>
    </row>
    <row r="674" spans="1:7" x14ac:dyDescent="0.25">
      <c r="A674" t="s">
        <v>1277</v>
      </c>
      <c r="B674" t="s">
        <v>2466</v>
      </c>
      <c r="C674">
        <v>51.588542480000001</v>
      </c>
      <c r="D674">
        <v>-9.7425239999999996E-2</v>
      </c>
      <c r="E674" t="s">
        <v>673</v>
      </c>
      <c r="F674">
        <v>5</v>
      </c>
      <c r="G674" t="str">
        <f>IFERROR(VLOOKUP(B674, Churches!H:H, 1, FALSE), "")</f>
        <v/>
      </c>
    </row>
    <row r="675" spans="1:7" x14ac:dyDescent="0.25">
      <c r="A675" t="s">
        <v>1278</v>
      </c>
      <c r="B675" t="s">
        <v>2467</v>
      </c>
      <c r="C675">
        <v>51.58127786</v>
      </c>
      <c r="D675">
        <v>-8.4390919999999994E-2</v>
      </c>
      <c r="E675" t="s">
        <v>673</v>
      </c>
      <c r="F675">
        <v>5</v>
      </c>
      <c r="G675" t="str">
        <f>IFERROR(VLOOKUP(B675, Churches!H:H, 1, FALSE), "")</f>
        <v/>
      </c>
    </row>
    <row r="676" spans="1:7" x14ac:dyDescent="0.25">
      <c r="A676" t="s">
        <v>1279</v>
      </c>
      <c r="B676" t="s">
        <v>2468</v>
      </c>
      <c r="C676">
        <v>51.570653019999902</v>
      </c>
      <c r="D676">
        <v>-8.0203759999999999E-2</v>
      </c>
      <c r="E676" t="s">
        <v>673</v>
      </c>
      <c r="F676">
        <v>5</v>
      </c>
      <c r="G676" t="str">
        <f>IFERROR(VLOOKUP(B676, Churches!H:H, 1, FALSE), "")</f>
        <v/>
      </c>
    </row>
    <row r="677" spans="1:7" x14ac:dyDescent="0.25">
      <c r="A677" t="s">
        <v>1280</v>
      </c>
      <c r="B677" t="s">
        <v>2469</v>
      </c>
      <c r="C677">
        <v>51.578354539999999</v>
      </c>
      <c r="D677">
        <v>-0.10389028</v>
      </c>
      <c r="F677">
        <v>5</v>
      </c>
      <c r="G677" t="str">
        <f>IFERROR(VLOOKUP(B677, Churches!H:H, 1, FALSE), "")</f>
        <v/>
      </c>
    </row>
    <row r="678" spans="1:7" x14ac:dyDescent="0.25">
      <c r="A678" t="s">
        <v>1281</v>
      </c>
      <c r="B678" t="s">
        <v>2275</v>
      </c>
      <c r="C678">
        <v>51.465684806666602</v>
      </c>
      <c r="D678">
        <v>-5.89289866666666E-2</v>
      </c>
      <c r="F678">
        <v>15</v>
      </c>
      <c r="G678" t="str">
        <f>IFERROR(VLOOKUP(B678, Churches!H:H, 1, FALSE), "")</f>
        <v/>
      </c>
    </row>
    <row r="679" spans="1:7" x14ac:dyDescent="0.25">
      <c r="A679" t="s">
        <v>1175</v>
      </c>
      <c r="B679" t="s">
        <v>2470</v>
      </c>
      <c r="C679">
        <v>51.531294493749897</v>
      </c>
      <c r="D679">
        <v>-0.13474620000000001</v>
      </c>
      <c r="E679" t="s">
        <v>673</v>
      </c>
      <c r="F679">
        <v>16</v>
      </c>
      <c r="G679" t="str">
        <f>IFERROR(VLOOKUP(B679, Churches!H:H, 1, FALSE), "")</f>
        <v/>
      </c>
    </row>
    <row r="680" spans="1:7" x14ac:dyDescent="0.25">
      <c r="A680" t="s">
        <v>1282</v>
      </c>
      <c r="B680" t="s">
        <v>2471</v>
      </c>
      <c r="C680">
        <v>51.603331039999901</v>
      </c>
      <c r="D680">
        <v>-0.24577998000000001</v>
      </c>
      <c r="E680" t="s">
        <v>673</v>
      </c>
      <c r="F680">
        <v>10</v>
      </c>
      <c r="G680" t="str">
        <f>IFERROR(VLOOKUP(B680, Churches!H:H, 1, FALSE), "")</f>
        <v/>
      </c>
    </row>
    <row r="681" spans="1:7" x14ac:dyDescent="0.25">
      <c r="A681" t="s">
        <v>1283</v>
      </c>
      <c r="B681" t="s">
        <v>2472</v>
      </c>
      <c r="C681">
        <v>51.61476734</v>
      </c>
      <c r="D681">
        <v>-0.26172221999999901</v>
      </c>
      <c r="E681" t="s">
        <v>673</v>
      </c>
      <c r="F681">
        <v>5</v>
      </c>
      <c r="G681" t="str">
        <f>IFERROR(VLOOKUP(B681, Churches!H:H, 1, FALSE), "")</f>
        <v/>
      </c>
    </row>
    <row r="682" spans="1:7" x14ac:dyDescent="0.25">
      <c r="A682" t="s">
        <v>1106</v>
      </c>
      <c r="B682" t="s">
        <v>2473</v>
      </c>
      <c r="C682">
        <v>51.614858900000002</v>
      </c>
      <c r="D682">
        <v>-0.244392359999999</v>
      </c>
      <c r="E682" t="s">
        <v>673</v>
      </c>
      <c r="F682">
        <v>5</v>
      </c>
      <c r="G682" t="str">
        <f>IFERROR(VLOOKUP(B682, Churches!H:H, 1, FALSE), "")</f>
        <v/>
      </c>
    </row>
    <row r="683" spans="1:7" x14ac:dyDescent="0.25">
      <c r="A683" t="s">
        <v>1284</v>
      </c>
      <c r="B683" t="s">
        <v>2474</v>
      </c>
      <c r="C683">
        <v>51.534548846153797</v>
      </c>
      <c r="D683">
        <v>-0.28658413846153802</v>
      </c>
      <c r="E683" t="s">
        <v>673</v>
      </c>
      <c r="F683">
        <v>13</v>
      </c>
      <c r="G683" t="str">
        <f>IFERROR(VLOOKUP(B683, Churches!H:H, 1, FALSE), "")</f>
        <v/>
      </c>
    </row>
    <row r="684" spans="1:7" x14ac:dyDescent="0.25">
      <c r="A684" t="s">
        <v>782</v>
      </c>
      <c r="B684" t="s">
        <v>2475</v>
      </c>
      <c r="C684">
        <v>51.522285099999998</v>
      </c>
      <c r="D684">
        <v>-0.30445262000000001</v>
      </c>
      <c r="E684" t="s">
        <v>673</v>
      </c>
      <c r="F684">
        <v>5</v>
      </c>
      <c r="G684" t="str">
        <f>IFERROR(VLOOKUP(B684, Churches!H:H, 1, FALSE), "")</f>
        <v/>
      </c>
    </row>
    <row r="685" spans="1:7" x14ac:dyDescent="0.25">
      <c r="A685" t="s">
        <v>1285</v>
      </c>
      <c r="B685" t="s">
        <v>2476</v>
      </c>
      <c r="C685">
        <v>51.519478772727197</v>
      </c>
      <c r="D685">
        <v>-0.31842034545454501</v>
      </c>
      <c r="E685" t="s">
        <v>673</v>
      </c>
      <c r="F685">
        <v>11</v>
      </c>
      <c r="G685" t="str">
        <f>IFERROR(VLOOKUP(B685, Churches!H:H, 1, FALSE), "")</f>
        <v/>
      </c>
    </row>
    <row r="686" spans="1:7" x14ac:dyDescent="0.25">
      <c r="A686" t="s">
        <v>1286</v>
      </c>
      <c r="B686" t="s">
        <v>2477</v>
      </c>
      <c r="C686">
        <v>51.5167044857142</v>
      </c>
      <c r="D686">
        <v>-0.32269759999999997</v>
      </c>
      <c r="F686">
        <v>7</v>
      </c>
      <c r="G686" t="str">
        <f>IFERROR(VLOOKUP(B686, Churches!H:H, 1, FALSE), "")</f>
        <v/>
      </c>
    </row>
    <row r="687" spans="1:7" x14ac:dyDescent="0.25">
      <c r="A687" t="s">
        <v>1287</v>
      </c>
      <c r="B687" t="s">
        <v>2478</v>
      </c>
      <c r="C687">
        <v>51.536220123076902</v>
      </c>
      <c r="D687">
        <v>-0.30939528461538401</v>
      </c>
      <c r="E687" t="s">
        <v>673</v>
      </c>
      <c r="F687">
        <v>13</v>
      </c>
      <c r="G687" t="str">
        <f>IFERROR(VLOOKUP(B687, Churches!H:H, 1, FALSE), "")</f>
        <v/>
      </c>
    </row>
    <row r="688" spans="1:7" x14ac:dyDescent="0.25">
      <c r="A688" t="s">
        <v>821</v>
      </c>
      <c r="B688" t="s">
        <v>2479</v>
      </c>
      <c r="C688">
        <v>51.477337279999901</v>
      </c>
      <c r="D688">
        <v>-0.14963283999999999</v>
      </c>
      <c r="E688" t="s">
        <v>673</v>
      </c>
      <c r="F688">
        <v>5</v>
      </c>
      <c r="G688" t="str">
        <f>IFERROR(VLOOKUP(B688, Churches!H:H, 1, FALSE), "")</f>
        <v/>
      </c>
    </row>
    <row r="689" spans="1:7" x14ac:dyDescent="0.25">
      <c r="A689" t="s">
        <v>1288</v>
      </c>
      <c r="B689" t="s">
        <v>2480</v>
      </c>
      <c r="C689">
        <v>51.598600840000003</v>
      </c>
      <c r="D689">
        <v>-0.26279127333333302</v>
      </c>
      <c r="E689" t="s">
        <v>673</v>
      </c>
      <c r="F689">
        <v>15</v>
      </c>
      <c r="G689" t="str">
        <f>IFERROR(VLOOKUP(B689, Churches!H:H, 1, FALSE), "")</f>
        <v/>
      </c>
    </row>
    <row r="690" spans="1:7" x14ac:dyDescent="0.25">
      <c r="A690" t="s">
        <v>1289</v>
      </c>
      <c r="B690" t="s">
        <v>2481</v>
      </c>
      <c r="C690">
        <v>51.5167634111111</v>
      </c>
      <c r="D690">
        <v>-0.22277212222222201</v>
      </c>
      <c r="F690">
        <v>9</v>
      </c>
      <c r="G690" t="str">
        <f>IFERROR(VLOOKUP(B690, Churches!H:H, 1, FALSE), "")</f>
        <v/>
      </c>
    </row>
    <row r="691" spans="1:7" x14ac:dyDescent="0.25">
      <c r="A691" t="s">
        <v>1290</v>
      </c>
      <c r="B691" t="s">
        <v>2482</v>
      </c>
      <c r="C691">
        <v>51.5188546416666</v>
      </c>
      <c r="D691">
        <v>-0.21797359999999999</v>
      </c>
      <c r="E691" t="s">
        <v>673</v>
      </c>
      <c r="F691">
        <v>12</v>
      </c>
      <c r="G691" t="str">
        <f>IFERROR(VLOOKUP(B691, Churches!H:H, 1, FALSE), "")</f>
        <v/>
      </c>
    </row>
    <row r="692" spans="1:7" x14ac:dyDescent="0.25">
      <c r="A692" t="s">
        <v>1291</v>
      </c>
      <c r="B692" t="s">
        <v>2483</v>
      </c>
      <c r="C692">
        <v>51.515463714285701</v>
      </c>
      <c r="D692">
        <v>-0.16197985714285701</v>
      </c>
      <c r="F692">
        <v>21</v>
      </c>
      <c r="G692" t="str">
        <f>IFERROR(VLOOKUP(B692, Churches!H:H, 1, FALSE), "")</f>
        <v/>
      </c>
    </row>
    <row r="693" spans="1:7" x14ac:dyDescent="0.25">
      <c r="A693" t="s">
        <v>1292</v>
      </c>
      <c r="B693" t="s">
        <v>2484</v>
      </c>
      <c r="C693">
        <v>51.514953442857099</v>
      </c>
      <c r="D693">
        <v>-0.15904851428571401</v>
      </c>
      <c r="F693">
        <v>14</v>
      </c>
      <c r="G693" t="str">
        <f>IFERROR(VLOOKUP(B693, Churches!H:H, 1, FALSE), "")</f>
        <v/>
      </c>
    </row>
    <row r="694" spans="1:7" x14ac:dyDescent="0.25">
      <c r="A694" t="s">
        <v>1293</v>
      </c>
      <c r="B694" t="s">
        <v>2485</v>
      </c>
      <c r="C694">
        <v>51.514468877777702</v>
      </c>
      <c r="D694">
        <v>-0.15848525555555501</v>
      </c>
      <c r="E694" t="s">
        <v>673</v>
      </c>
      <c r="F694">
        <v>9</v>
      </c>
      <c r="G694" t="str">
        <f>IFERROR(VLOOKUP(B694, Churches!H:H, 1, FALSE), "")</f>
        <v/>
      </c>
    </row>
    <row r="695" spans="1:7" x14ac:dyDescent="0.25">
      <c r="A695" t="s">
        <v>1294</v>
      </c>
      <c r="B695" t="s">
        <v>2275</v>
      </c>
      <c r="C695">
        <v>51.520455535714198</v>
      </c>
      <c r="D695">
        <v>-8.4945892857142796E-2</v>
      </c>
      <c r="F695">
        <v>14</v>
      </c>
      <c r="G695" t="str">
        <f>IFERROR(VLOOKUP(B695, Churches!H:H, 1, FALSE), "")</f>
        <v/>
      </c>
    </row>
    <row r="696" spans="1:7" x14ac:dyDescent="0.25">
      <c r="A696" t="s">
        <v>1295</v>
      </c>
      <c r="B696" t="s">
        <v>657</v>
      </c>
      <c r="C696">
        <v>51.544376360000001</v>
      </c>
      <c r="D696">
        <v>-7.2901060000000004E-2</v>
      </c>
      <c r="E696" t="s">
        <v>673</v>
      </c>
      <c r="F696">
        <v>5</v>
      </c>
    </row>
    <row r="697" spans="1:7" x14ac:dyDescent="0.25">
      <c r="A697" t="s">
        <v>1296</v>
      </c>
      <c r="B697" t="s">
        <v>2486</v>
      </c>
      <c r="C697">
        <v>51.552870239999997</v>
      </c>
      <c r="D697">
        <v>-7.1384859999999994E-2</v>
      </c>
      <c r="E697" t="s">
        <v>673</v>
      </c>
      <c r="F697">
        <v>5</v>
      </c>
      <c r="G697" t="str">
        <f>IFERROR(VLOOKUP(B697, Churches!H:H, 1, FALSE), "")</f>
        <v/>
      </c>
    </row>
    <row r="698" spans="1:7" x14ac:dyDescent="0.25">
      <c r="A698" t="s">
        <v>1297</v>
      </c>
      <c r="B698" t="s">
        <v>2487</v>
      </c>
      <c r="C698">
        <v>51.550983759999902</v>
      </c>
      <c r="D698">
        <v>-7.3957739999999994E-2</v>
      </c>
      <c r="F698">
        <v>5</v>
      </c>
      <c r="G698" t="str">
        <f>IFERROR(VLOOKUP(B698, Churches!H:H, 1, FALSE), "")</f>
        <v/>
      </c>
    </row>
    <row r="699" spans="1:7" x14ac:dyDescent="0.25">
      <c r="A699" t="s">
        <v>1298</v>
      </c>
      <c r="B699" t="s">
        <v>2275</v>
      </c>
      <c r="C699">
        <v>51.5494087583333</v>
      </c>
      <c r="D699">
        <v>-7.0360583333333296E-2</v>
      </c>
      <c r="E699" t="s">
        <v>673</v>
      </c>
      <c r="F699">
        <v>12</v>
      </c>
      <c r="G699" t="str">
        <f>IFERROR(VLOOKUP(B699, Churches!H:H, 1, FALSE), "")</f>
        <v/>
      </c>
    </row>
    <row r="700" spans="1:7" x14ac:dyDescent="0.25">
      <c r="A700" t="s">
        <v>1299</v>
      </c>
      <c r="B700" t="s">
        <v>2275</v>
      </c>
      <c r="C700">
        <v>51.532142638461501</v>
      </c>
      <c r="D700">
        <v>-6.9256061538461505E-2</v>
      </c>
      <c r="E700" t="s">
        <v>673</v>
      </c>
      <c r="F700">
        <v>13</v>
      </c>
      <c r="G700" t="str">
        <f>IFERROR(VLOOKUP(B700, Churches!H:H, 1, FALSE), "")</f>
        <v/>
      </c>
    </row>
    <row r="701" spans="1:7" x14ac:dyDescent="0.25">
      <c r="A701" t="s">
        <v>1300</v>
      </c>
      <c r="B701" t="s">
        <v>2275</v>
      </c>
      <c r="C701">
        <v>51.531676899999901</v>
      </c>
      <c r="D701">
        <v>-7.3407257142857105E-2</v>
      </c>
      <c r="E701" t="s">
        <v>673</v>
      </c>
      <c r="F701">
        <v>7</v>
      </c>
      <c r="G701" t="str">
        <f>IFERROR(VLOOKUP(B701, Churches!H:H, 1, FALSE), "")</f>
        <v/>
      </c>
    </row>
    <row r="702" spans="1:7" x14ac:dyDescent="0.25">
      <c r="A702" t="s">
        <v>1301</v>
      </c>
      <c r="B702" t="s">
        <v>2488</v>
      </c>
      <c r="C702">
        <v>51.483061827999997</v>
      </c>
      <c r="D702">
        <v>-0.171084024</v>
      </c>
      <c r="E702" t="s">
        <v>673</v>
      </c>
      <c r="F702">
        <v>25</v>
      </c>
      <c r="G702" t="str">
        <f>IFERROR(VLOOKUP(B702, Churches!H:H, 1, FALSE), "")</f>
        <v/>
      </c>
    </row>
    <row r="703" spans="1:7" x14ac:dyDescent="0.25">
      <c r="A703" t="s">
        <v>1302</v>
      </c>
      <c r="B703" t="s">
        <v>2489</v>
      </c>
      <c r="C703">
        <v>51.491512690908998</v>
      </c>
      <c r="D703">
        <v>-0.17470618181818101</v>
      </c>
      <c r="E703" t="s">
        <v>673</v>
      </c>
      <c r="F703">
        <v>11</v>
      </c>
      <c r="G703" t="str">
        <f>IFERROR(VLOOKUP(B703, Churches!H:H, 1, FALSE), "")</f>
        <v/>
      </c>
    </row>
    <row r="704" spans="1:7" x14ac:dyDescent="0.25">
      <c r="A704" t="s">
        <v>1303</v>
      </c>
      <c r="B704" t="s">
        <v>2490</v>
      </c>
      <c r="C704">
        <v>51.515446793750002</v>
      </c>
      <c r="D704">
        <v>-8.5662656249999997E-2</v>
      </c>
      <c r="F704">
        <v>16</v>
      </c>
      <c r="G704" t="str">
        <f>IFERROR(VLOOKUP(B704, Churches!H:H, 1, FALSE), "")</f>
        <v/>
      </c>
    </row>
    <row r="705" spans="1:7" x14ac:dyDescent="0.25">
      <c r="A705" t="s">
        <v>676</v>
      </c>
      <c r="B705" t="s">
        <v>2491</v>
      </c>
      <c r="C705">
        <v>51.437707314285703</v>
      </c>
      <c r="D705">
        <v>-0.161912957142857</v>
      </c>
      <c r="E705" t="s">
        <v>673</v>
      </c>
      <c r="F705">
        <v>7</v>
      </c>
      <c r="G705" t="str">
        <f>IFERROR(VLOOKUP(B705, Churches!H:H, 1, FALSE), "")</f>
        <v/>
      </c>
    </row>
    <row r="706" spans="1:7" x14ac:dyDescent="0.25">
      <c r="A706" t="s">
        <v>1304</v>
      </c>
      <c r="B706" t="s">
        <v>2492</v>
      </c>
      <c r="C706">
        <v>51.555581680000003</v>
      </c>
      <c r="D706">
        <v>-0.156974799999999</v>
      </c>
      <c r="E706" t="s">
        <v>673</v>
      </c>
      <c r="F706">
        <v>5</v>
      </c>
      <c r="G706" t="str">
        <f>IFERROR(VLOOKUP(B706, Churches!H:H, 1, FALSE), "")</f>
        <v/>
      </c>
    </row>
    <row r="707" spans="1:7" x14ac:dyDescent="0.25">
      <c r="A707" t="s">
        <v>1305</v>
      </c>
      <c r="B707" t="s">
        <v>2493</v>
      </c>
      <c r="C707">
        <v>51.551881223809502</v>
      </c>
      <c r="D707">
        <v>-0.152806561904761</v>
      </c>
      <c r="E707" t="s">
        <v>673</v>
      </c>
      <c r="F707">
        <v>21</v>
      </c>
      <c r="G707" t="str">
        <f>IFERROR(VLOOKUP(B707, Churches!H:H, 1, FALSE), "")</f>
        <v/>
      </c>
    </row>
    <row r="708" spans="1:7" x14ac:dyDescent="0.25">
      <c r="A708" t="s">
        <v>704</v>
      </c>
      <c r="B708" t="s">
        <v>2494</v>
      </c>
      <c r="C708">
        <v>51.468895400000001</v>
      </c>
      <c r="D708">
        <v>-0.14028118260869499</v>
      </c>
      <c r="E708" t="s">
        <v>673</v>
      </c>
      <c r="F708">
        <v>23</v>
      </c>
      <c r="G708" t="str">
        <f>IFERROR(VLOOKUP(B708, Churches!H:H, 1, FALSE), "")</f>
        <v/>
      </c>
    </row>
    <row r="709" spans="1:7" x14ac:dyDescent="0.25">
      <c r="A709" t="s">
        <v>1306</v>
      </c>
      <c r="B709" t="s">
        <v>2495</v>
      </c>
      <c r="C709">
        <v>51.465738514285697</v>
      </c>
      <c r="D709">
        <v>-0.14203682857142799</v>
      </c>
      <c r="F709">
        <v>7</v>
      </c>
      <c r="G709" t="str">
        <f>IFERROR(VLOOKUP(B709, Churches!H:H, 1, FALSE), "")</f>
        <v/>
      </c>
    </row>
    <row r="710" spans="1:7" x14ac:dyDescent="0.25">
      <c r="A710" t="s">
        <v>1307</v>
      </c>
      <c r="B710" t="s">
        <v>2496</v>
      </c>
      <c r="C710">
        <v>51.463414280000002</v>
      </c>
      <c r="D710">
        <v>-0.13494682</v>
      </c>
      <c r="E710" t="s">
        <v>673</v>
      </c>
      <c r="F710">
        <v>5</v>
      </c>
      <c r="G710" t="str">
        <f>IFERROR(VLOOKUP(B710, Churches!H:H, 1, FALSE), "")</f>
        <v/>
      </c>
    </row>
    <row r="711" spans="1:7" x14ac:dyDescent="0.25">
      <c r="A711" t="s">
        <v>1308</v>
      </c>
      <c r="B711" t="s">
        <v>2497</v>
      </c>
      <c r="C711">
        <v>51.454948699999903</v>
      </c>
      <c r="D711">
        <v>-0.14002290000000001</v>
      </c>
      <c r="E711" t="s">
        <v>673</v>
      </c>
      <c r="F711">
        <v>5</v>
      </c>
      <c r="G711" t="str">
        <f>IFERROR(VLOOKUP(B711, Churches!H:H, 1, FALSE), "")</f>
        <v/>
      </c>
    </row>
    <row r="712" spans="1:7" x14ac:dyDescent="0.25">
      <c r="A712" t="s">
        <v>1309</v>
      </c>
      <c r="B712" t="s">
        <v>2498</v>
      </c>
      <c r="C712">
        <v>51.447319399999998</v>
      </c>
      <c r="D712">
        <v>-0.138983366666666</v>
      </c>
      <c r="E712" t="s">
        <v>673</v>
      </c>
      <c r="F712">
        <v>6</v>
      </c>
      <c r="G712" t="str">
        <f>IFERROR(VLOOKUP(B712, Churches!H:H, 1, FALSE), "")</f>
        <v/>
      </c>
    </row>
    <row r="713" spans="1:7" x14ac:dyDescent="0.25">
      <c r="A713" t="s">
        <v>1310</v>
      </c>
      <c r="B713" t="s">
        <v>2499</v>
      </c>
      <c r="C713">
        <v>51.544575669230703</v>
      </c>
      <c r="D713">
        <v>-0.21567926923076899</v>
      </c>
      <c r="F713">
        <v>13</v>
      </c>
      <c r="G713" t="str">
        <f>IFERROR(VLOOKUP(B713, Churches!H:H, 1, FALSE), "")</f>
        <v/>
      </c>
    </row>
    <row r="714" spans="1:7" x14ac:dyDescent="0.25">
      <c r="A714" t="s">
        <v>1311</v>
      </c>
      <c r="B714" t="s">
        <v>2500</v>
      </c>
      <c r="C714">
        <v>51.535493000000002</v>
      </c>
      <c r="D714">
        <v>-0.25546576249999903</v>
      </c>
      <c r="F714">
        <v>8</v>
      </c>
      <c r="G714" t="str">
        <f>IFERROR(VLOOKUP(B714, Churches!H:H, 1, FALSE), "")</f>
        <v/>
      </c>
    </row>
    <row r="715" spans="1:7" x14ac:dyDescent="0.25">
      <c r="A715" t="s">
        <v>1312</v>
      </c>
      <c r="B715" t="s">
        <v>2501</v>
      </c>
      <c r="C715">
        <v>51.592238669230703</v>
      </c>
      <c r="D715">
        <v>-0.18198000769230699</v>
      </c>
      <c r="E715" t="s">
        <v>673</v>
      </c>
      <c r="F715">
        <v>13</v>
      </c>
      <c r="G715" t="str">
        <f>IFERROR(VLOOKUP(B715, Churches!H:H, 1, FALSE), "")</f>
        <v/>
      </c>
    </row>
    <row r="716" spans="1:7" x14ac:dyDescent="0.25">
      <c r="A716" t="s">
        <v>1313</v>
      </c>
      <c r="B716" t="s">
        <v>2502</v>
      </c>
      <c r="C716">
        <v>51.592189092857097</v>
      </c>
      <c r="D716">
        <v>-0.17388595714285701</v>
      </c>
      <c r="E716" t="s">
        <v>673</v>
      </c>
      <c r="F716">
        <v>14</v>
      </c>
      <c r="G716" t="str">
        <f>IFERROR(VLOOKUP(B716, Churches!H:H, 1, FALSE), "")</f>
        <v/>
      </c>
    </row>
    <row r="717" spans="1:7" x14ac:dyDescent="0.25">
      <c r="A717" t="s">
        <v>674</v>
      </c>
      <c r="B717" t="s">
        <v>2503</v>
      </c>
      <c r="C717">
        <v>51.595935463636302</v>
      </c>
      <c r="D717">
        <v>-0.278918872727272</v>
      </c>
      <c r="F717">
        <v>11</v>
      </c>
      <c r="G717" t="str">
        <f>IFERROR(VLOOKUP(B717, Churches!H:H, 1, FALSE), "")</f>
        <v/>
      </c>
    </row>
    <row r="718" spans="1:7" x14ac:dyDescent="0.25">
      <c r="A718" t="s">
        <v>1314</v>
      </c>
      <c r="B718" t="s">
        <v>2504</v>
      </c>
      <c r="C718">
        <v>51.47524422</v>
      </c>
      <c r="D718">
        <v>-4.7911660000000002E-2</v>
      </c>
      <c r="F718">
        <v>5</v>
      </c>
      <c r="G718" t="str">
        <f>IFERROR(VLOOKUP(B718, Churches!H:H, 1, FALSE), "")</f>
        <v/>
      </c>
    </row>
    <row r="719" spans="1:7" x14ac:dyDescent="0.25">
      <c r="A719" t="s">
        <v>1315</v>
      </c>
      <c r="B719" t="s">
        <v>2275</v>
      </c>
      <c r="C719">
        <v>51.480334288888798</v>
      </c>
      <c r="D719">
        <v>-3.9347788888888797E-2</v>
      </c>
      <c r="F719">
        <v>9</v>
      </c>
      <c r="G719" t="str">
        <f>IFERROR(VLOOKUP(B719, Churches!H:H, 1, FALSE), "")</f>
        <v/>
      </c>
    </row>
    <row r="720" spans="1:7" x14ac:dyDescent="0.25">
      <c r="A720" t="s">
        <v>1316</v>
      </c>
      <c r="B720" t="s">
        <v>2275</v>
      </c>
      <c r="C720">
        <v>51.480713979999997</v>
      </c>
      <c r="D720">
        <v>-3.7288959999999899E-2</v>
      </c>
      <c r="F720">
        <v>5</v>
      </c>
      <c r="G720" t="str">
        <f>IFERROR(VLOOKUP(B720, Churches!H:H, 1, FALSE), "")</f>
        <v/>
      </c>
    </row>
    <row r="721" spans="1:7" x14ac:dyDescent="0.25">
      <c r="A721" t="s">
        <v>1074</v>
      </c>
      <c r="B721" t="s">
        <v>2505</v>
      </c>
      <c r="C721">
        <v>51.484626971428497</v>
      </c>
      <c r="D721">
        <v>-3.3854799999999997E-2</v>
      </c>
      <c r="E721" t="s">
        <v>673</v>
      </c>
      <c r="F721">
        <v>7</v>
      </c>
      <c r="G721" t="str">
        <f>IFERROR(VLOOKUP(B721, Churches!H:H, 1, FALSE), "")</f>
        <v/>
      </c>
    </row>
    <row r="722" spans="1:7" x14ac:dyDescent="0.25">
      <c r="A722" t="s">
        <v>1014</v>
      </c>
      <c r="B722" t="s">
        <v>2506</v>
      </c>
      <c r="C722">
        <v>51.545687360000002</v>
      </c>
      <c r="D722">
        <v>-0.13078590000000001</v>
      </c>
      <c r="E722" t="s">
        <v>673</v>
      </c>
      <c r="F722">
        <v>5</v>
      </c>
      <c r="G722" t="str">
        <f>IFERROR(VLOOKUP(B722, Churches!H:H, 1, FALSE), "")</f>
        <v/>
      </c>
    </row>
    <row r="723" spans="1:7" x14ac:dyDescent="0.25">
      <c r="A723" t="s">
        <v>1317</v>
      </c>
      <c r="B723" t="s">
        <v>2275</v>
      </c>
      <c r="C723">
        <v>51.490869399999902</v>
      </c>
      <c r="D723">
        <v>-6.9020666666666605E-2</v>
      </c>
      <c r="E723" t="s">
        <v>673</v>
      </c>
      <c r="F723">
        <v>15</v>
      </c>
      <c r="G723" t="str">
        <f>IFERROR(VLOOKUP(B723, Churches!H:H, 1, FALSE), "")</f>
        <v/>
      </c>
    </row>
    <row r="724" spans="1:7" x14ac:dyDescent="0.25">
      <c r="A724" t="s">
        <v>683</v>
      </c>
      <c r="B724" t="s">
        <v>2507</v>
      </c>
      <c r="C724">
        <v>51.673301940000002</v>
      </c>
      <c r="D724">
        <v>-9.4849539999999996E-2</v>
      </c>
      <c r="E724" t="s">
        <v>673</v>
      </c>
      <c r="F724">
        <v>5</v>
      </c>
      <c r="G724" t="str">
        <f>IFERROR(VLOOKUP(B724, Churches!H:H, 1, FALSE), "")</f>
        <v/>
      </c>
    </row>
    <row r="725" spans="1:7" x14ac:dyDescent="0.25">
      <c r="A725" t="s">
        <v>1318</v>
      </c>
      <c r="B725" t="s">
        <v>2508</v>
      </c>
      <c r="C725">
        <v>51.495791133333299</v>
      </c>
      <c r="D725">
        <v>-0.196072644444444</v>
      </c>
      <c r="E725" t="s">
        <v>673</v>
      </c>
      <c r="F725">
        <v>9</v>
      </c>
      <c r="G725" t="str">
        <f>IFERROR(VLOOKUP(B725, Churches!H:H, 1, FALSE), "")</f>
        <v/>
      </c>
    </row>
    <row r="726" spans="1:7" x14ac:dyDescent="0.25">
      <c r="A726" t="s">
        <v>1319</v>
      </c>
      <c r="B726" t="s">
        <v>2509</v>
      </c>
      <c r="C726">
        <v>51.539732908333299</v>
      </c>
      <c r="D726">
        <v>0.16205745833333299</v>
      </c>
      <c r="E726" t="s">
        <v>673</v>
      </c>
      <c r="F726">
        <v>12</v>
      </c>
      <c r="G726" t="str">
        <f>IFERROR(VLOOKUP(B726, Churches!H:H, 1, FALSE), "")</f>
        <v/>
      </c>
    </row>
    <row r="727" spans="1:7" x14ac:dyDescent="0.25">
      <c r="A727" t="s">
        <v>1069</v>
      </c>
      <c r="B727" t="s">
        <v>2510</v>
      </c>
      <c r="C727">
        <v>51.504406896428499</v>
      </c>
      <c r="D727">
        <v>-0.30548689642857102</v>
      </c>
      <c r="E727" t="s">
        <v>673</v>
      </c>
      <c r="F727">
        <v>56</v>
      </c>
      <c r="G727" t="str">
        <f>IFERROR(VLOOKUP(B727, Churches!H:H, 1, FALSE), "")</f>
        <v/>
      </c>
    </row>
    <row r="728" spans="1:7" x14ac:dyDescent="0.25">
      <c r="A728" t="s">
        <v>1296</v>
      </c>
      <c r="B728" t="s">
        <v>2275</v>
      </c>
      <c r="C728">
        <v>51.548872038461496</v>
      </c>
      <c r="D728">
        <v>-4.2691238461538397E-2</v>
      </c>
      <c r="E728" t="s">
        <v>673</v>
      </c>
      <c r="F728">
        <v>13</v>
      </c>
      <c r="G728" t="str">
        <f>IFERROR(VLOOKUP(B728, Churches!H:H, 1, FALSE), "")</f>
        <v/>
      </c>
    </row>
    <row r="729" spans="1:7" x14ac:dyDescent="0.25">
      <c r="A729" t="s">
        <v>1320</v>
      </c>
      <c r="B729" t="s">
        <v>2511</v>
      </c>
      <c r="C729">
        <v>51.456620255999901</v>
      </c>
      <c r="D729">
        <v>-9.0044020000000002E-2</v>
      </c>
      <c r="E729" t="s">
        <v>673</v>
      </c>
      <c r="F729">
        <v>25</v>
      </c>
      <c r="G729" t="str">
        <f>IFERROR(VLOOKUP(B729, Churches!H:H, 1, FALSE), "")</f>
        <v/>
      </c>
    </row>
    <row r="730" spans="1:7" x14ac:dyDescent="0.25">
      <c r="A730" t="s">
        <v>1321</v>
      </c>
      <c r="B730" t="s">
        <v>2512</v>
      </c>
      <c r="C730">
        <v>51.555943939999999</v>
      </c>
      <c r="D730">
        <v>-7.8905779999999995E-2</v>
      </c>
      <c r="F730">
        <v>5</v>
      </c>
      <c r="G730" t="str">
        <f>IFERROR(VLOOKUP(B730, Churches!H:H, 1, FALSE), "")</f>
        <v/>
      </c>
    </row>
    <row r="731" spans="1:7" x14ac:dyDescent="0.25">
      <c r="A731" t="s">
        <v>1322</v>
      </c>
      <c r="B731" t="s">
        <v>2513</v>
      </c>
      <c r="C731">
        <v>51.513518499999897</v>
      </c>
      <c r="D731">
        <v>-0.30508818999999998</v>
      </c>
      <c r="E731" t="s">
        <v>673</v>
      </c>
      <c r="F731">
        <v>30</v>
      </c>
      <c r="G731" t="str">
        <f>IFERROR(VLOOKUP(B731, Churches!H:H, 1, FALSE), "")</f>
        <v/>
      </c>
    </row>
    <row r="732" spans="1:7" x14ac:dyDescent="0.25">
      <c r="A732" t="s">
        <v>1323</v>
      </c>
      <c r="B732" t="s">
        <v>2275</v>
      </c>
      <c r="C732">
        <v>51.495022307692302</v>
      </c>
      <c r="D732">
        <v>-9.4995830769230696E-2</v>
      </c>
      <c r="F732">
        <v>13</v>
      </c>
      <c r="G732" t="str">
        <f>IFERROR(VLOOKUP(B732, Churches!H:H, 1, FALSE), "")</f>
        <v/>
      </c>
    </row>
    <row r="733" spans="1:7" x14ac:dyDescent="0.25">
      <c r="A733" t="s">
        <v>1324</v>
      </c>
      <c r="B733" t="s">
        <v>2514</v>
      </c>
      <c r="C733">
        <v>51.495050019999901</v>
      </c>
      <c r="D733">
        <v>-9.6587759999999995E-2</v>
      </c>
      <c r="E733" t="s">
        <v>673</v>
      </c>
      <c r="F733">
        <v>5</v>
      </c>
      <c r="G733" t="str">
        <f>IFERROR(VLOOKUP(B733, Churches!H:H, 1, FALSE), "")</f>
        <v/>
      </c>
    </row>
    <row r="734" spans="1:7" x14ac:dyDescent="0.25">
      <c r="A734" t="s">
        <v>459</v>
      </c>
      <c r="B734" t="s">
        <v>2515</v>
      </c>
      <c r="C734">
        <v>51.502364</v>
      </c>
      <c r="D734">
        <v>-0.106719685714285</v>
      </c>
      <c r="E734" t="s">
        <v>673</v>
      </c>
      <c r="F734">
        <v>7</v>
      </c>
      <c r="G734" t="str">
        <f>IFERROR(VLOOKUP(B734, Churches!H:H, 1, FALSE), "")</f>
        <v/>
      </c>
    </row>
    <row r="735" spans="1:7" x14ac:dyDescent="0.25">
      <c r="A735" t="s">
        <v>886</v>
      </c>
      <c r="B735" t="s">
        <v>2275</v>
      </c>
      <c r="C735">
        <v>51.665912772727197</v>
      </c>
      <c r="D735">
        <v>-8.1689363636363602E-2</v>
      </c>
      <c r="F735">
        <v>11</v>
      </c>
      <c r="G735" t="str">
        <f>IFERROR(VLOOKUP(B735, Churches!H:H, 1, FALSE), "")</f>
        <v/>
      </c>
    </row>
    <row r="736" spans="1:7" x14ac:dyDescent="0.25">
      <c r="A736" t="s">
        <v>1325</v>
      </c>
      <c r="B736" t="s">
        <v>2516</v>
      </c>
      <c r="C736">
        <v>51.592943060000003</v>
      </c>
      <c r="D736">
        <v>2.8556000000000002E-2</v>
      </c>
      <c r="F736">
        <v>5</v>
      </c>
      <c r="G736" t="str">
        <f>IFERROR(VLOOKUP(B736, Churches!H:H, 1, FALSE), "")</f>
        <v/>
      </c>
    </row>
    <row r="737" spans="1:7" x14ac:dyDescent="0.25">
      <c r="A737" t="s">
        <v>1326</v>
      </c>
      <c r="B737" t="s">
        <v>2517</v>
      </c>
      <c r="C737">
        <v>51.582644080000001</v>
      </c>
      <c r="D737">
        <v>-0.25655285999999999</v>
      </c>
      <c r="F737">
        <v>5</v>
      </c>
      <c r="G737" t="str">
        <f>IFERROR(VLOOKUP(B737, Churches!H:H, 1, FALSE), "")</f>
        <v/>
      </c>
    </row>
    <row r="738" spans="1:7" x14ac:dyDescent="0.25">
      <c r="A738" t="s">
        <v>1327</v>
      </c>
      <c r="B738" t="s">
        <v>2518</v>
      </c>
      <c r="C738">
        <v>51.5863536266666</v>
      </c>
      <c r="D738">
        <v>-0.24522487333333301</v>
      </c>
      <c r="E738" t="s">
        <v>673</v>
      </c>
      <c r="F738">
        <v>15</v>
      </c>
      <c r="G738" t="str">
        <f>IFERROR(VLOOKUP(B738, Churches!H:H, 1, FALSE), "")</f>
        <v/>
      </c>
    </row>
    <row r="739" spans="1:7" x14ac:dyDescent="0.25">
      <c r="A739" t="s">
        <v>1328</v>
      </c>
      <c r="B739" t="s">
        <v>2519</v>
      </c>
      <c r="C739">
        <v>51.600520971428502</v>
      </c>
      <c r="D739">
        <v>-0.31229414285714202</v>
      </c>
      <c r="E739" t="s">
        <v>673</v>
      </c>
      <c r="F739">
        <v>7</v>
      </c>
      <c r="G739" t="str">
        <f>IFERROR(VLOOKUP(B739, Churches!H:H, 1, FALSE), "")</f>
        <v/>
      </c>
    </row>
    <row r="740" spans="1:7" x14ac:dyDescent="0.25">
      <c r="A740" t="s">
        <v>1329</v>
      </c>
      <c r="B740" t="s">
        <v>2520</v>
      </c>
      <c r="C740">
        <v>51.600579060000001</v>
      </c>
      <c r="D740">
        <v>-0.30707469999999998</v>
      </c>
      <c r="F740">
        <v>5</v>
      </c>
      <c r="G740" t="str">
        <f>IFERROR(VLOOKUP(B740, Churches!H:H, 1, FALSE), "")</f>
        <v/>
      </c>
    </row>
    <row r="741" spans="1:7" x14ac:dyDescent="0.25">
      <c r="A741" t="s">
        <v>1330</v>
      </c>
      <c r="B741" t="s">
        <v>2521</v>
      </c>
      <c r="C741">
        <v>51.501868281818098</v>
      </c>
      <c r="D741">
        <v>-0.102309618181818</v>
      </c>
      <c r="E741" t="s">
        <v>673</v>
      </c>
      <c r="F741">
        <v>11</v>
      </c>
      <c r="G741" t="str">
        <f>IFERROR(VLOOKUP(B741, Churches!H:H, 1, FALSE), "")</f>
        <v/>
      </c>
    </row>
    <row r="742" spans="1:7" x14ac:dyDescent="0.25">
      <c r="A742" t="s">
        <v>1331</v>
      </c>
      <c r="B742" t="s">
        <v>2522</v>
      </c>
      <c r="C742">
        <v>51.462822088888799</v>
      </c>
      <c r="D742">
        <v>-0.166274077777777</v>
      </c>
      <c r="F742">
        <v>9</v>
      </c>
      <c r="G742" t="str">
        <f>IFERROR(VLOOKUP(B742, Churches!H:H, 1, FALSE), "")</f>
        <v/>
      </c>
    </row>
    <row r="743" spans="1:7" x14ac:dyDescent="0.25">
      <c r="A743" t="s">
        <v>1332</v>
      </c>
      <c r="B743" t="s">
        <v>2275</v>
      </c>
      <c r="C743">
        <v>51.578595515789402</v>
      </c>
      <c r="D743">
        <v>-1.13533157894736E-2</v>
      </c>
      <c r="E743" t="s">
        <v>673</v>
      </c>
      <c r="F743">
        <v>19</v>
      </c>
      <c r="G743" t="str">
        <f>IFERROR(VLOOKUP(B743, Churches!H:H, 1, FALSE), "")</f>
        <v/>
      </c>
    </row>
    <row r="744" spans="1:7" x14ac:dyDescent="0.25">
      <c r="A744" t="s">
        <v>1333</v>
      </c>
      <c r="B744" t="s">
        <v>2275</v>
      </c>
      <c r="C744">
        <v>51.566759430769203</v>
      </c>
      <c r="D744">
        <v>-5.3668615384615303E-3</v>
      </c>
      <c r="F744">
        <v>13</v>
      </c>
      <c r="G744" t="str">
        <f>IFERROR(VLOOKUP(B744, Churches!H:H, 1, FALSE), "")</f>
        <v/>
      </c>
    </row>
    <row r="745" spans="1:7" x14ac:dyDescent="0.25">
      <c r="A745" t="s">
        <v>1334</v>
      </c>
      <c r="B745" t="s">
        <v>2523</v>
      </c>
      <c r="C745">
        <v>51.576815227777701</v>
      </c>
      <c r="D745">
        <v>-2.118505E-2</v>
      </c>
      <c r="E745" t="s">
        <v>673</v>
      </c>
      <c r="F745">
        <v>18</v>
      </c>
      <c r="G745" t="str">
        <f>IFERROR(VLOOKUP(B745, Churches!H:H, 1, FALSE), "")</f>
        <v/>
      </c>
    </row>
    <row r="746" spans="1:7" x14ac:dyDescent="0.25">
      <c r="A746" t="s">
        <v>1335</v>
      </c>
      <c r="B746" t="s">
        <v>2524</v>
      </c>
      <c r="C746">
        <v>51.612554288888802</v>
      </c>
      <c r="D746">
        <v>-0.33580292222222202</v>
      </c>
      <c r="F746">
        <v>9</v>
      </c>
      <c r="G746" t="str">
        <f>IFERROR(VLOOKUP(B746, Churches!H:H, 1, FALSE), "")</f>
        <v/>
      </c>
    </row>
    <row r="747" spans="1:7" x14ac:dyDescent="0.25">
      <c r="A747" t="s">
        <v>821</v>
      </c>
      <c r="B747" t="s">
        <v>2525</v>
      </c>
      <c r="C747">
        <v>51.382514257142802</v>
      </c>
      <c r="D747">
        <v>-0.157655214285714</v>
      </c>
      <c r="E747" t="s">
        <v>673</v>
      </c>
      <c r="F747">
        <v>7</v>
      </c>
      <c r="G747" t="str">
        <f>IFERROR(VLOOKUP(B747, Churches!H:H, 1, FALSE), "")</f>
        <v/>
      </c>
    </row>
    <row r="748" spans="1:7" x14ac:dyDescent="0.25">
      <c r="A748" t="s">
        <v>1336</v>
      </c>
      <c r="B748" t="s">
        <v>2275</v>
      </c>
      <c r="C748">
        <v>51.540514054545397</v>
      </c>
      <c r="D748">
        <v>-4.59513818181818E-2</v>
      </c>
      <c r="E748" t="s">
        <v>673</v>
      </c>
      <c r="F748">
        <v>33</v>
      </c>
      <c r="G748" t="str">
        <f>IFERROR(VLOOKUP(B748, Churches!H:H, 1, FALSE), "")</f>
        <v/>
      </c>
    </row>
    <row r="749" spans="1:7" x14ac:dyDescent="0.25">
      <c r="A749" t="s">
        <v>1337</v>
      </c>
      <c r="B749" t="s">
        <v>2526</v>
      </c>
      <c r="C749">
        <v>51.465678141176397</v>
      </c>
      <c r="D749">
        <v>-0.213735364705882</v>
      </c>
      <c r="E749" t="s">
        <v>673</v>
      </c>
      <c r="F749">
        <v>17</v>
      </c>
      <c r="G749" t="str">
        <f>IFERROR(VLOOKUP(B749, Churches!H:H, 1, FALSE), "")</f>
        <v/>
      </c>
    </row>
    <row r="750" spans="1:7" x14ac:dyDescent="0.25">
      <c r="A750" t="s">
        <v>793</v>
      </c>
      <c r="B750" t="s">
        <v>2527</v>
      </c>
      <c r="C750">
        <v>51.508655407692302</v>
      </c>
      <c r="D750">
        <v>-0.13668307692307599</v>
      </c>
      <c r="F750">
        <v>13</v>
      </c>
      <c r="G750" t="str">
        <f>IFERROR(VLOOKUP(B750, Churches!H:H, 1, FALSE), "")</f>
        <v/>
      </c>
    </row>
    <row r="751" spans="1:7" x14ac:dyDescent="0.25">
      <c r="A751" t="s">
        <v>1338</v>
      </c>
      <c r="B751" t="s">
        <v>2528</v>
      </c>
      <c r="C751">
        <v>51.513066411111097</v>
      </c>
      <c r="D751">
        <v>-0.47313103333333301</v>
      </c>
      <c r="F751">
        <v>9</v>
      </c>
      <c r="G751" t="str">
        <f>IFERROR(VLOOKUP(B751, Churches!H:H, 1, FALSE), "")</f>
        <v/>
      </c>
    </row>
    <row r="752" spans="1:7" x14ac:dyDescent="0.25">
      <c r="A752" t="s">
        <v>1339</v>
      </c>
      <c r="B752" t="s">
        <v>2529</v>
      </c>
      <c r="C752">
        <v>51.361468193333302</v>
      </c>
      <c r="D752">
        <v>-0.19758025333333301</v>
      </c>
      <c r="F752">
        <v>15</v>
      </c>
      <c r="G752" t="str">
        <f>IFERROR(VLOOKUP(B752, Churches!H:H, 1, FALSE), "")</f>
        <v/>
      </c>
    </row>
    <row r="753" spans="1:7" x14ac:dyDescent="0.25">
      <c r="A753" t="s">
        <v>1340</v>
      </c>
      <c r="B753" t="s">
        <v>2530</v>
      </c>
      <c r="C753">
        <v>51.361034191304299</v>
      </c>
      <c r="D753">
        <v>-0.19431706956521699</v>
      </c>
      <c r="F753">
        <v>23</v>
      </c>
      <c r="G753" t="str">
        <f>IFERROR(VLOOKUP(B753, Churches!H:H, 1, FALSE), "")</f>
        <v/>
      </c>
    </row>
    <row r="754" spans="1:7" x14ac:dyDescent="0.25">
      <c r="A754" t="s">
        <v>1341</v>
      </c>
      <c r="B754" t="s">
        <v>2531</v>
      </c>
      <c r="C754">
        <v>51.514217651612903</v>
      </c>
      <c r="D754">
        <v>-0.110192909677419</v>
      </c>
      <c r="E754" t="s">
        <v>1342</v>
      </c>
      <c r="F754">
        <v>31</v>
      </c>
      <c r="G754" t="str">
        <f>IFERROR(VLOOKUP(B754, Churches!H:H, 1, FALSE), "")</f>
        <v/>
      </c>
    </row>
    <row r="755" spans="1:7" x14ac:dyDescent="0.25">
      <c r="A755" t="s">
        <v>1343</v>
      </c>
      <c r="B755" t="s">
        <v>2532</v>
      </c>
      <c r="C755">
        <v>51.569439227999901</v>
      </c>
      <c r="D755">
        <v>-0.13569135199999999</v>
      </c>
      <c r="F755">
        <v>25</v>
      </c>
      <c r="G755" t="str">
        <f>IFERROR(VLOOKUP(B755, Churches!H:H, 1, FALSE), "")</f>
        <v/>
      </c>
    </row>
    <row r="756" spans="1:7" x14ac:dyDescent="0.25">
      <c r="A756" t="s">
        <v>1344</v>
      </c>
      <c r="B756" t="s">
        <v>2533</v>
      </c>
      <c r="C756">
        <v>51.5414291266666</v>
      </c>
      <c r="D756">
        <v>-5.4730180000000003E-2</v>
      </c>
      <c r="F756">
        <v>15</v>
      </c>
      <c r="G756" t="str">
        <f>IFERROR(VLOOKUP(B756, Churches!H:H, 1, FALSE), "")</f>
        <v/>
      </c>
    </row>
    <row r="757" spans="1:7" x14ac:dyDescent="0.25">
      <c r="A757" t="s">
        <v>1345</v>
      </c>
      <c r="B757" t="s">
        <v>2245</v>
      </c>
      <c r="C757">
        <v>51.5431104166666</v>
      </c>
      <c r="D757">
        <v>-5.3790449999999997E-2</v>
      </c>
      <c r="F757">
        <v>6</v>
      </c>
      <c r="G757" t="str">
        <f>IFERROR(VLOOKUP(B757, Churches!H:H, 1, FALSE), "")</f>
        <v/>
      </c>
    </row>
    <row r="758" spans="1:7" x14ac:dyDescent="0.25">
      <c r="A758" t="s">
        <v>796</v>
      </c>
      <c r="B758" t="s">
        <v>2534</v>
      </c>
      <c r="C758">
        <v>51.384546857142801</v>
      </c>
      <c r="D758">
        <v>0.109015614285714</v>
      </c>
      <c r="E758" t="s">
        <v>673</v>
      </c>
      <c r="F758">
        <v>14</v>
      </c>
      <c r="G758" t="str">
        <f>IFERROR(VLOOKUP(B758, Churches!H:H, 1, FALSE), "")</f>
        <v/>
      </c>
    </row>
    <row r="759" spans="1:7" x14ac:dyDescent="0.25">
      <c r="A759" t="s">
        <v>1346</v>
      </c>
      <c r="B759" t="s">
        <v>2275</v>
      </c>
      <c r="C759">
        <v>51.497490419999998</v>
      </c>
      <c r="D759">
        <v>-9.4410819999999895E-2</v>
      </c>
      <c r="F759">
        <v>20</v>
      </c>
      <c r="G759" t="str">
        <f>IFERROR(VLOOKUP(B759, Churches!H:H, 1, FALSE), "")</f>
        <v/>
      </c>
    </row>
    <row r="760" spans="1:7" x14ac:dyDescent="0.25">
      <c r="A760" t="s">
        <v>1347</v>
      </c>
      <c r="B760" t="s">
        <v>2535</v>
      </c>
      <c r="C760">
        <v>51.560251100000002</v>
      </c>
      <c r="D760">
        <v>4.5035749999999999E-2</v>
      </c>
      <c r="F760">
        <v>6</v>
      </c>
      <c r="G760" t="str">
        <f>IFERROR(VLOOKUP(B760, Churches!H:H, 1, FALSE), "")</f>
        <v/>
      </c>
    </row>
    <row r="761" spans="1:7" x14ac:dyDescent="0.25">
      <c r="A761" t="s">
        <v>1348</v>
      </c>
      <c r="B761" t="s">
        <v>2275</v>
      </c>
      <c r="C761">
        <v>51.560347759999999</v>
      </c>
      <c r="D761">
        <v>4.7781119999999899E-2</v>
      </c>
      <c r="F761">
        <v>5</v>
      </c>
      <c r="G761" t="str">
        <f>IFERROR(VLOOKUP(B761, Churches!H:H, 1, FALSE), "")</f>
        <v/>
      </c>
    </row>
    <row r="762" spans="1:7" x14ac:dyDescent="0.25">
      <c r="A762" t="s">
        <v>1349</v>
      </c>
      <c r="B762" t="s">
        <v>2536</v>
      </c>
      <c r="C762">
        <v>51.510101800000001</v>
      </c>
      <c r="D762">
        <v>-6.7952979999999996E-2</v>
      </c>
      <c r="F762">
        <v>5</v>
      </c>
      <c r="G762" t="str">
        <f>IFERROR(VLOOKUP(B762, Churches!H:H, 1, FALSE), "")</f>
        <v/>
      </c>
    </row>
    <row r="763" spans="1:7" x14ac:dyDescent="0.25">
      <c r="A763" t="s">
        <v>1350</v>
      </c>
      <c r="B763" t="s">
        <v>2275</v>
      </c>
      <c r="C763">
        <v>51.511707114285699</v>
      </c>
      <c r="D763">
        <v>-6.43428142857142E-2</v>
      </c>
      <c r="F763">
        <v>7</v>
      </c>
      <c r="G763" t="str">
        <f>IFERROR(VLOOKUP(B763, Churches!H:H, 1, FALSE), "")</f>
        <v/>
      </c>
    </row>
    <row r="764" spans="1:7" x14ac:dyDescent="0.25">
      <c r="A764" t="s">
        <v>1351</v>
      </c>
      <c r="B764" t="s">
        <v>2275</v>
      </c>
      <c r="C764">
        <v>51.498360011764703</v>
      </c>
      <c r="D764">
        <v>-8.0860229411764697E-2</v>
      </c>
      <c r="E764" t="s">
        <v>673</v>
      </c>
      <c r="F764">
        <v>17</v>
      </c>
      <c r="G764" t="str">
        <f>IFERROR(VLOOKUP(B764, Churches!H:H, 1, FALSE), "")</f>
        <v/>
      </c>
    </row>
    <row r="765" spans="1:7" x14ac:dyDescent="0.25">
      <c r="A765" t="s">
        <v>1352</v>
      </c>
      <c r="B765" t="s">
        <v>2537</v>
      </c>
      <c r="C765">
        <v>51.508243663157799</v>
      </c>
      <c r="D765">
        <v>-0.21322623157894699</v>
      </c>
      <c r="E765" t="s">
        <v>673</v>
      </c>
      <c r="F765">
        <v>19</v>
      </c>
      <c r="G765" t="str">
        <f>IFERROR(VLOOKUP(B765, Churches!H:H, 1, FALSE), "")</f>
        <v/>
      </c>
    </row>
    <row r="766" spans="1:7" x14ac:dyDescent="0.25">
      <c r="A766" t="s">
        <v>1353</v>
      </c>
      <c r="B766" t="s">
        <v>2538</v>
      </c>
      <c r="C766">
        <v>51.546952984615302</v>
      </c>
      <c r="D766">
        <v>-0.17913240769230701</v>
      </c>
      <c r="E766" t="s">
        <v>673</v>
      </c>
      <c r="F766">
        <v>13</v>
      </c>
      <c r="G766" t="str">
        <f>IFERROR(VLOOKUP(B766, Churches!H:H, 1, FALSE), "")</f>
        <v/>
      </c>
    </row>
    <row r="767" spans="1:7" x14ac:dyDescent="0.25">
      <c r="A767" t="s">
        <v>1354</v>
      </c>
      <c r="B767" t="s">
        <v>2539</v>
      </c>
      <c r="C767">
        <v>51.555137819999999</v>
      </c>
      <c r="D767">
        <v>-0.19399616</v>
      </c>
      <c r="F767">
        <v>5</v>
      </c>
      <c r="G767" t="str">
        <f>IFERROR(VLOOKUP(B767, Churches!H:H, 1, FALSE), "")</f>
        <v/>
      </c>
    </row>
    <row r="768" spans="1:7" x14ac:dyDescent="0.25">
      <c r="A768" t="s">
        <v>1355</v>
      </c>
      <c r="B768" t="s">
        <v>2540</v>
      </c>
      <c r="C768">
        <v>51.552702644444402</v>
      </c>
      <c r="D768">
        <v>-0.19255287777777699</v>
      </c>
      <c r="E768" t="s">
        <v>673</v>
      </c>
      <c r="F768">
        <v>9</v>
      </c>
      <c r="G768" t="str">
        <f>IFERROR(VLOOKUP(B768, Churches!H:H, 1, FALSE), "")</f>
        <v/>
      </c>
    </row>
    <row r="769" spans="1:7" x14ac:dyDescent="0.25">
      <c r="A769" t="s">
        <v>1356</v>
      </c>
      <c r="B769" t="s">
        <v>2541</v>
      </c>
      <c r="C769">
        <v>51.404274200000003</v>
      </c>
      <c r="D769">
        <v>-0.29468919999999998</v>
      </c>
      <c r="F769">
        <v>5</v>
      </c>
      <c r="G769" t="str">
        <f>IFERROR(VLOOKUP(B769, Churches!H:H, 1, FALSE), "")</f>
        <v/>
      </c>
    </row>
    <row r="770" spans="1:7" x14ac:dyDescent="0.25">
      <c r="A770" t="s">
        <v>1100</v>
      </c>
      <c r="B770" t="s">
        <v>2542</v>
      </c>
      <c r="C770">
        <v>51.428421788235198</v>
      </c>
      <c r="D770">
        <v>-0.21060385294117601</v>
      </c>
      <c r="E770" t="s">
        <v>673</v>
      </c>
      <c r="F770">
        <v>17</v>
      </c>
      <c r="G770" t="str">
        <f>IFERROR(VLOOKUP(B770, Churches!H:H, 1, FALSE), "")</f>
        <v/>
      </c>
    </row>
    <row r="771" spans="1:7" x14ac:dyDescent="0.25">
      <c r="A771" t="s">
        <v>44</v>
      </c>
      <c r="B771" t="s">
        <v>2275</v>
      </c>
      <c r="C771">
        <v>51.527589444444402</v>
      </c>
      <c r="D771">
        <v>-5.48269444444444E-2</v>
      </c>
      <c r="E771" t="s">
        <v>673</v>
      </c>
      <c r="F771">
        <v>9</v>
      </c>
      <c r="G771" t="str">
        <f>IFERROR(VLOOKUP(B771, Churches!H:H, 1, FALSE), "")</f>
        <v/>
      </c>
    </row>
    <row r="772" spans="1:7" x14ac:dyDescent="0.25">
      <c r="A772" t="s">
        <v>1357</v>
      </c>
      <c r="B772" t="s">
        <v>2275</v>
      </c>
      <c r="C772">
        <v>51.668634342857104</v>
      </c>
      <c r="D772">
        <v>-4.1000857142857103E-2</v>
      </c>
      <c r="F772">
        <v>7</v>
      </c>
      <c r="G772" t="str">
        <f>IFERROR(VLOOKUP(B772, Churches!H:H, 1, FALSE), "")</f>
        <v/>
      </c>
    </row>
    <row r="773" spans="1:7" x14ac:dyDescent="0.25">
      <c r="A773" t="s">
        <v>1358</v>
      </c>
      <c r="B773" t="s">
        <v>2543</v>
      </c>
      <c r="C773">
        <v>51.436362500000001</v>
      </c>
      <c r="D773">
        <v>-0.31958226000000001</v>
      </c>
      <c r="F773">
        <v>15</v>
      </c>
      <c r="G773" t="str">
        <f>IFERROR(VLOOKUP(B773, Churches!H:H, 1, FALSE), "")</f>
        <v/>
      </c>
    </row>
    <row r="774" spans="1:7" x14ac:dyDescent="0.25">
      <c r="A774" t="s">
        <v>1359</v>
      </c>
      <c r="B774" t="s">
        <v>2544</v>
      </c>
      <c r="C774">
        <v>51.527487212499999</v>
      </c>
      <c r="D774">
        <v>-0.1233139375</v>
      </c>
      <c r="E774" t="s">
        <v>673</v>
      </c>
      <c r="F774">
        <v>8</v>
      </c>
      <c r="G774" t="str">
        <f>IFERROR(VLOOKUP(B774, Churches!H:H, 1, FALSE), "")</f>
        <v/>
      </c>
    </row>
    <row r="775" spans="1:7" x14ac:dyDescent="0.25">
      <c r="A775" t="s">
        <v>1360</v>
      </c>
      <c r="B775" t="s">
        <v>2545</v>
      </c>
      <c r="C775">
        <v>51.537027459999997</v>
      </c>
      <c r="D775">
        <v>-4.26042E-3</v>
      </c>
      <c r="F775">
        <v>5</v>
      </c>
      <c r="G775" t="str">
        <f>IFERROR(VLOOKUP(B775, Churches!H:H, 1, FALSE), "")</f>
        <v/>
      </c>
    </row>
    <row r="776" spans="1:7" x14ac:dyDescent="0.25">
      <c r="A776" t="s">
        <v>1361</v>
      </c>
      <c r="B776" t="s">
        <v>2546</v>
      </c>
      <c r="C776">
        <v>51.540169672727203</v>
      </c>
      <c r="D776">
        <v>-0.141529727272727</v>
      </c>
      <c r="E776" t="s">
        <v>673</v>
      </c>
      <c r="F776">
        <v>11</v>
      </c>
      <c r="G776" t="str">
        <f>IFERROR(VLOOKUP(B776, Churches!H:H, 1, FALSE), "")</f>
        <v/>
      </c>
    </row>
    <row r="777" spans="1:7" x14ac:dyDescent="0.25">
      <c r="A777" t="s">
        <v>1198</v>
      </c>
      <c r="B777" t="s">
        <v>2547</v>
      </c>
      <c r="C777">
        <v>51.489733603571402</v>
      </c>
      <c r="D777">
        <v>-0.142253660714285</v>
      </c>
      <c r="E777" t="s">
        <v>673</v>
      </c>
      <c r="F777">
        <v>28</v>
      </c>
      <c r="G777" t="str">
        <f>IFERROR(VLOOKUP(B777, Churches!H:H, 1, FALSE), "")</f>
        <v/>
      </c>
    </row>
    <row r="778" spans="1:7" x14ac:dyDescent="0.25">
      <c r="A778" t="s">
        <v>1362</v>
      </c>
      <c r="B778" t="s">
        <v>2548</v>
      </c>
      <c r="C778">
        <v>51.508776533333297</v>
      </c>
      <c r="D778">
        <v>-0.27284591666666602</v>
      </c>
      <c r="F778">
        <v>12</v>
      </c>
      <c r="G778" t="str">
        <f>IFERROR(VLOOKUP(B778, Churches!H:H, 1, FALSE), "")</f>
        <v/>
      </c>
    </row>
    <row r="779" spans="1:7" x14ac:dyDescent="0.25">
      <c r="A779" t="s">
        <v>1076</v>
      </c>
      <c r="B779" t="s">
        <v>2549</v>
      </c>
      <c r="C779">
        <v>51.507724711111102</v>
      </c>
      <c r="D779">
        <v>-0.27189467222222202</v>
      </c>
      <c r="E779" t="s">
        <v>673</v>
      </c>
      <c r="F779">
        <v>18</v>
      </c>
      <c r="G779" t="str">
        <f>IFERROR(VLOOKUP(B779, Churches!H:H, 1, FALSE), "")</f>
        <v/>
      </c>
    </row>
    <row r="780" spans="1:7" x14ac:dyDescent="0.25">
      <c r="A780" t="s">
        <v>1363</v>
      </c>
      <c r="B780" t="s">
        <v>2550</v>
      </c>
      <c r="C780">
        <v>51.4749982444444</v>
      </c>
      <c r="D780">
        <v>-0.214616011111111</v>
      </c>
      <c r="E780" t="s">
        <v>673</v>
      </c>
      <c r="F780">
        <v>9</v>
      </c>
      <c r="G780" t="str">
        <f>IFERROR(VLOOKUP(B780, Churches!H:H, 1, FALSE), "")</f>
        <v/>
      </c>
    </row>
    <row r="781" spans="1:7" x14ac:dyDescent="0.25">
      <c r="A781" t="s">
        <v>1364</v>
      </c>
      <c r="B781" t="s">
        <v>2551</v>
      </c>
      <c r="C781">
        <v>51.5140846749999</v>
      </c>
      <c r="D781">
        <v>-7.6184712500000001E-2</v>
      </c>
      <c r="F781">
        <v>16</v>
      </c>
      <c r="G781" t="str">
        <f>IFERROR(VLOOKUP(B781, Churches!H:H, 1, FALSE), "")</f>
        <v/>
      </c>
    </row>
    <row r="782" spans="1:7" x14ac:dyDescent="0.25">
      <c r="A782" t="s">
        <v>1106</v>
      </c>
      <c r="B782" t="s">
        <v>2275</v>
      </c>
      <c r="C782">
        <v>51.585302281818102</v>
      </c>
      <c r="D782">
        <v>-2.9529163636363601E-2</v>
      </c>
      <c r="E782" t="s">
        <v>673</v>
      </c>
      <c r="F782">
        <v>11</v>
      </c>
      <c r="G782" t="str">
        <f>IFERROR(VLOOKUP(B782, Churches!H:H, 1, FALSE), "")</f>
        <v/>
      </c>
    </row>
    <row r="783" spans="1:7" x14ac:dyDescent="0.25">
      <c r="A783" t="s">
        <v>1365</v>
      </c>
      <c r="B783" t="s">
        <v>2275</v>
      </c>
      <c r="C783">
        <v>51.557388838461499</v>
      </c>
      <c r="D783">
        <v>-5.63738384615384E-2</v>
      </c>
      <c r="E783" t="s">
        <v>673</v>
      </c>
      <c r="F783">
        <v>13</v>
      </c>
      <c r="G783" t="str">
        <f>IFERROR(VLOOKUP(B783, Churches!H:H, 1, FALSE), "")</f>
        <v/>
      </c>
    </row>
    <row r="784" spans="1:7" x14ac:dyDescent="0.25">
      <c r="A784" t="s">
        <v>1366</v>
      </c>
      <c r="B784" t="s">
        <v>2552</v>
      </c>
      <c r="C784">
        <v>51.555292812903197</v>
      </c>
      <c r="D784">
        <v>-0.18115025161290299</v>
      </c>
      <c r="F784">
        <v>31</v>
      </c>
      <c r="G784" t="str">
        <f>IFERROR(VLOOKUP(B784, Churches!H:H, 1, FALSE), "")</f>
        <v/>
      </c>
    </row>
    <row r="785" spans="1:7" x14ac:dyDescent="0.25">
      <c r="A785" t="s">
        <v>1367</v>
      </c>
      <c r="B785" t="s">
        <v>2275</v>
      </c>
      <c r="C785">
        <v>51.512133355555498</v>
      </c>
      <c r="D785">
        <v>-9.6885266666666595E-2</v>
      </c>
      <c r="F785">
        <v>9</v>
      </c>
      <c r="G785" t="str">
        <f>IFERROR(VLOOKUP(B785, Churches!H:H, 1, FALSE), "")</f>
        <v/>
      </c>
    </row>
    <row r="786" spans="1:7" x14ac:dyDescent="0.25">
      <c r="A786" t="s">
        <v>1368</v>
      </c>
      <c r="B786" t="s">
        <v>2553</v>
      </c>
      <c r="C786">
        <v>51.481721405263102</v>
      </c>
      <c r="D786">
        <v>-0.180487615789473</v>
      </c>
      <c r="E786" t="s">
        <v>673</v>
      </c>
      <c r="F786">
        <v>19</v>
      </c>
      <c r="G786" t="str">
        <f>IFERROR(VLOOKUP(B786, Churches!H:H, 1, FALSE), "")</f>
        <v/>
      </c>
    </row>
    <row r="787" spans="1:7" x14ac:dyDescent="0.25">
      <c r="A787" t="s">
        <v>1369</v>
      </c>
      <c r="B787" t="s">
        <v>2275</v>
      </c>
      <c r="C787">
        <v>51.526797326666603</v>
      </c>
      <c r="D787">
        <v>-7.7203446666666606E-2</v>
      </c>
      <c r="E787" t="s">
        <v>673</v>
      </c>
      <c r="F787">
        <v>15</v>
      </c>
      <c r="G787" t="str">
        <f>IFERROR(VLOOKUP(B787, Churches!H:H, 1, FALSE), "")</f>
        <v/>
      </c>
    </row>
    <row r="788" spans="1:7" x14ac:dyDescent="0.25">
      <c r="A788" t="s">
        <v>1370</v>
      </c>
      <c r="B788" t="s">
        <v>2554</v>
      </c>
      <c r="C788">
        <v>51.494577790000001</v>
      </c>
      <c r="D788">
        <v>-0.16219962999999901</v>
      </c>
      <c r="E788" t="s">
        <v>673</v>
      </c>
      <c r="F788">
        <v>20</v>
      </c>
      <c r="G788" t="str">
        <f>IFERROR(VLOOKUP(B788, Churches!H:H, 1, FALSE), "")</f>
        <v/>
      </c>
    </row>
    <row r="789" spans="1:7" x14ac:dyDescent="0.25">
      <c r="A789" t="s">
        <v>1371</v>
      </c>
      <c r="B789" t="s">
        <v>2555</v>
      </c>
      <c r="C789">
        <v>51.50660886</v>
      </c>
      <c r="D789">
        <v>-0.23091133999999999</v>
      </c>
      <c r="F789">
        <v>5</v>
      </c>
      <c r="G789" t="str">
        <f>IFERROR(VLOOKUP(B789, Churches!H:H, 1, FALSE), "")</f>
        <v/>
      </c>
    </row>
    <row r="790" spans="1:7" x14ac:dyDescent="0.25">
      <c r="A790" t="s">
        <v>1372</v>
      </c>
      <c r="B790" t="s">
        <v>2556</v>
      </c>
      <c r="C790">
        <v>51.502210679999997</v>
      </c>
      <c r="D790">
        <v>-0.21959152666666601</v>
      </c>
      <c r="E790" t="s">
        <v>673</v>
      </c>
      <c r="F790">
        <v>15</v>
      </c>
      <c r="G790" t="str">
        <f>IFERROR(VLOOKUP(B790, Churches!H:H, 1, FALSE), "")</f>
        <v/>
      </c>
    </row>
    <row r="791" spans="1:7" x14ac:dyDescent="0.25">
      <c r="A791" t="s">
        <v>1373</v>
      </c>
      <c r="B791" t="s">
        <v>2557</v>
      </c>
      <c r="C791">
        <v>51.506673438461497</v>
      </c>
      <c r="D791">
        <v>-0.21582156923076901</v>
      </c>
      <c r="F791">
        <v>13</v>
      </c>
      <c r="G791" t="str">
        <f>IFERROR(VLOOKUP(B791, Churches!H:H, 1, FALSE), "")</f>
        <v/>
      </c>
    </row>
    <row r="792" spans="1:7" x14ac:dyDescent="0.25">
      <c r="A792" t="s">
        <v>1374</v>
      </c>
      <c r="B792" t="s">
        <v>2558</v>
      </c>
      <c r="C792">
        <v>51.508427857894702</v>
      </c>
      <c r="D792">
        <v>-0.19335390526315699</v>
      </c>
      <c r="F792">
        <v>19</v>
      </c>
      <c r="G792" t="str">
        <f>IFERROR(VLOOKUP(B792, Churches!H:H, 1, FALSE), "")</f>
        <v/>
      </c>
    </row>
    <row r="793" spans="1:7" x14ac:dyDescent="0.25">
      <c r="A793" t="s">
        <v>1375</v>
      </c>
      <c r="B793" t="s">
        <v>2559</v>
      </c>
      <c r="C793">
        <v>51.527877366666601</v>
      </c>
      <c r="D793">
        <v>-0.2310228</v>
      </c>
      <c r="F793">
        <v>9</v>
      </c>
      <c r="G793" t="str">
        <f>IFERROR(VLOOKUP(B793, Churches!H:H, 1, FALSE), "")</f>
        <v/>
      </c>
    </row>
    <row r="794" spans="1:7" x14ac:dyDescent="0.25">
      <c r="A794" t="s">
        <v>1376</v>
      </c>
      <c r="B794" t="s">
        <v>2560</v>
      </c>
      <c r="C794">
        <v>51.531218439999897</v>
      </c>
      <c r="D794">
        <v>-0.22400074</v>
      </c>
      <c r="E794" t="s">
        <v>673</v>
      </c>
      <c r="F794">
        <v>5</v>
      </c>
      <c r="G794" t="str">
        <f>IFERROR(VLOOKUP(B794, Churches!H:H, 1, FALSE), "")</f>
        <v/>
      </c>
    </row>
    <row r="795" spans="1:7" x14ac:dyDescent="0.25">
      <c r="A795" t="s">
        <v>1377</v>
      </c>
      <c r="B795" t="s">
        <v>2561</v>
      </c>
      <c r="C795">
        <v>51.574073339999998</v>
      </c>
      <c r="D795">
        <v>-0.20760898</v>
      </c>
      <c r="F795">
        <v>5</v>
      </c>
      <c r="G795" t="str">
        <f>IFERROR(VLOOKUP(B795, Churches!H:H, 1, FALSE), "")</f>
        <v/>
      </c>
    </row>
    <row r="796" spans="1:7" x14ac:dyDescent="0.25">
      <c r="A796" t="s">
        <v>1378</v>
      </c>
      <c r="B796" t="s">
        <v>2562</v>
      </c>
      <c r="C796">
        <v>51.574417320000002</v>
      </c>
      <c r="D796">
        <v>-0.20077523999999899</v>
      </c>
      <c r="F796">
        <v>5</v>
      </c>
      <c r="G796" t="str">
        <f>IFERROR(VLOOKUP(B796, Churches!H:H, 1, FALSE), "")</f>
        <v/>
      </c>
    </row>
    <row r="797" spans="1:7" x14ac:dyDescent="0.25">
      <c r="A797" t="s">
        <v>1379</v>
      </c>
      <c r="B797" t="s">
        <v>2563</v>
      </c>
      <c r="C797">
        <v>51.553607857142801</v>
      </c>
      <c r="D797">
        <v>-0.217046449999999</v>
      </c>
      <c r="F797">
        <v>14</v>
      </c>
      <c r="G797" t="str">
        <f>IFERROR(VLOOKUP(B797, Churches!H:H, 1, FALSE), "")</f>
        <v/>
      </c>
    </row>
    <row r="798" spans="1:7" x14ac:dyDescent="0.25">
      <c r="A798" t="s">
        <v>813</v>
      </c>
      <c r="B798" t="s">
        <v>2564</v>
      </c>
      <c r="C798">
        <v>51.499182995454497</v>
      </c>
      <c r="D798">
        <v>-0.20630028636363601</v>
      </c>
      <c r="E798" t="s">
        <v>673</v>
      </c>
      <c r="F798">
        <v>22</v>
      </c>
      <c r="G798" t="str">
        <f>IFERROR(VLOOKUP(B798, Churches!H:H, 1, FALSE), "")</f>
        <v/>
      </c>
    </row>
    <row r="799" spans="1:7" x14ac:dyDescent="0.25">
      <c r="A799" t="s">
        <v>1380</v>
      </c>
      <c r="B799" t="s">
        <v>2565</v>
      </c>
      <c r="C799">
        <v>51.481833333333299</v>
      </c>
      <c r="D799">
        <v>-0.21289284999999999</v>
      </c>
      <c r="F799">
        <v>6</v>
      </c>
      <c r="G799" t="str">
        <f>IFERROR(VLOOKUP(B799, Churches!H:H, 1, FALSE), "")</f>
        <v/>
      </c>
    </row>
    <row r="800" spans="1:7" x14ac:dyDescent="0.25">
      <c r="A800" t="s">
        <v>1381</v>
      </c>
      <c r="B800" t="s">
        <v>2566</v>
      </c>
      <c r="C800">
        <v>51.568941058333301</v>
      </c>
      <c r="D800">
        <v>-0.15038713333333301</v>
      </c>
      <c r="E800" t="s">
        <v>673</v>
      </c>
      <c r="F800">
        <v>12</v>
      </c>
      <c r="G800" t="str">
        <f>IFERROR(VLOOKUP(B800, Churches!H:H, 1, FALSE), "")</f>
        <v/>
      </c>
    </row>
    <row r="801" spans="1:7" x14ac:dyDescent="0.25">
      <c r="A801" t="s">
        <v>1382</v>
      </c>
      <c r="B801" t="s">
        <v>2567</v>
      </c>
      <c r="C801">
        <v>51.536557136842099</v>
      </c>
      <c r="D801">
        <v>0.132944005263157</v>
      </c>
      <c r="E801" t="s">
        <v>673</v>
      </c>
      <c r="F801">
        <v>19</v>
      </c>
      <c r="G801" t="str">
        <f>IFERROR(VLOOKUP(B801, Churches!H:H, 1, FALSE), "")</f>
        <v/>
      </c>
    </row>
    <row r="802" spans="1:7" x14ac:dyDescent="0.25">
      <c r="A802" t="s">
        <v>1383</v>
      </c>
      <c r="B802" t="s">
        <v>2568</v>
      </c>
      <c r="C802">
        <v>51.540743900000002</v>
      </c>
      <c r="D802">
        <v>0.157785485714285</v>
      </c>
      <c r="F802">
        <v>7</v>
      </c>
      <c r="G802" t="str">
        <f>IFERROR(VLOOKUP(B802, Churches!H:H, 1, FALSE), "")</f>
        <v/>
      </c>
    </row>
    <row r="803" spans="1:7" x14ac:dyDescent="0.25">
      <c r="A803" t="s">
        <v>1384</v>
      </c>
      <c r="B803" t="s">
        <v>2569</v>
      </c>
      <c r="C803">
        <v>51.529716128571401</v>
      </c>
      <c r="D803">
        <v>0.154422728571428</v>
      </c>
      <c r="F803">
        <v>7</v>
      </c>
      <c r="G803" t="str">
        <f>IFERROR(VLOOKUP(B803, Churches!H:H, 1, FALSE), "")</f>
        <v/>
      </c>
    </row>
    <row r="804" spans="1:7" x14ac:dyDescent="0.25">
      <c r="A804" t="s">
        <v>1385</v>
      </c>
      <c r="B804" t="s">
        <v>2570</v>
      </c>
      <c r="C804">
        <v>51.523564313043501</v>
      </c>
      <c r="D804">
        <v>-0.184245460869565</v>
      </c>
      <c r="E804" t="s">
        <v>673</v>
      </c>
      <c r="F804">
        <v>23</v>
      </c>
      <c r="G804" t="str">
        <f>IFERROR(VLOOKUP(B804, Churches!H:H, 1, FALSE), "")</f>
        <v/>
      </c>
    </row>
    <row r="805" spans="1:7" x14ac:dyDescent="0.25">
      <c r="A805" t="s">
        <v>1386</v>
      </c>
      <c r="B805" t="s">
        <v>2571</v>
      </c>
      <c r="C805">
        <v>51.532228573333299</v>
      </c>
      <c r="D805">
        <v>0.14544232666666601</v>
      </c>
      <c r="E805" t="s">
        <v>673</v>
      </c>
      <c r="F805">
        <v>15</v>
      </c>
      <c r="G805" t="str">
        <f>IFERROR(VLOOKUP(B805, Churches!H:H, 1, FALSE), "")</f>
        <v/>
      </c>
    </row>
    <row r="806" spans="1:7" x14ac:dyDescent="0.25">
      <c r="A806" t="s">
        <v>1387</v>
      </c>
      <c r="B806" t="s">
        <v>2572</v>
      </c>
      <c r="C806">
        <v>51.551371036363598</v>
      </c>
      <c r="D806">
        <v>0.12842071818181799</v>
      </c>
      <c r="E806" t="s">
        <v>673</v>
      </c>
      <c r="F806">
        <v>11</v>
      </c>
      <c r="G806" t="str">
        <f>IFERROR(VLOOKUP(B806, Churches!H:H, 1, FALSE), "")</f>
        <v/>
      </c>
    </row>
    <row r="807" spans="1:7" x14ac:dyDescent="0.25">
      <c r="A807" t="s">
        <v>1388</v>
      </c>
      <c r="B807" t="s">
        <v>2573</v>
      </c>
      <c r="C807">
        <v>51.403062870833303</v>
      </c>
      <c r="D807">
        <v>-0.30065344999999999</v>
      </c>
      <c r="E807" t="s">
        <v>673</v>
      </c>
      <c r="F807">
        <v>24</v>
      </c>
      <c r="G807" t="str">
        <f>IFERROR(VLOOKUP(B807, Churches!H:H, 1, FALSE), "")</f>
        <v/>
      </c>
    </row>
    <row r="808" spans="1:7" x14ac:dyDescent="0.25">
      <c r="A808" t="s">
        <v>1389</v>
      </c>
      <c r="B808" t="s">
        <v>2574</v>
      </c>
      <c r="C808">
        <v>51.5442606444444</v>
      </c>
      <c r="D808">
        <v>0.113740394444444</v>
      </c>
      <c r="E808" t="s">
        <v>673</v>
      </c>
      <c r="F808">
        <v>18</v>
      </c>
      <c r="G808" t="str">
        <f>IFERROR(VLOOKUP(B808, Churches!H:H, 1, FALSE), "")</f>
        <v/>
      </c>
    </row>
    <row r="809" spans="1:7" x14ac:dyDescent="0.25">
      <c r="A809" t="s">
        <v>1390</v>
      </c>
      <c r="B809" t="s">
        <v>2575</v>
      </c>
      <c r="C809">
        <v>51.555757057142799</v>
      </c>
      <c r="D809">
        <v>0.12009202857142801</v>
      </c>
      <c r="F809">
        <v>7</v>
      </c>
      <c r="G809" t="str">
        <f>IFERROR(VLOOKUP(B809, Churches!H:H, 1, FALSE), "")</f>
        <v/>
      </c>
    </row>
    <row r="810" spans="1:7" x14ac:dyDescent="0.25">
      <c r="A810" t="s">
        <v>1391</v>
      </c>
      <c r="B810" t="s">
        <v>2576</v>
      </c>
      <c r="C810">
        <v>51.559008979166599</v>
      </c>
      <c r="D810">
        <v>0.12284200416666601</v>
      </c>
      <c r="E810" t="s">
        <v>673</v>
      </c>
      <c r="F810">
        <v>24</v>
      </c>
      <c r="G810" t="str">
        <f>IFERROR(VLOOKUP(B810, Churches!H:H, 1, FALSE), "")</f>
        <v/>
      </c>
    </row>
    <row r="811" spans="1:7" x14ac:dyDescent="0.25">
      <c r="A811" t="s">
        <v>1392</v>
      </c>
      <c r="B811" t="s">
        <v>2577</v>
      </c>
      <c r="C811">
        <v>51.567848866666601</v>
      </c>
      <c r="D811">
        <v>0.149476266666666</v>
      </c>
      <c r="E811" t="s">
        <v>673</v>
      </c>
      <c r="F811">
        <v>9</v>
      </c>
      <c r="G811" t="str">
        <f>IFERROR(VLOOKUP(B811, Churches!H:H, 1, FALSE), "")</f>
        <v/>
      </c>
    </row>
    <row r="812" spans="1:7" x14ac:dyDescent="0.25">
      <c r="A812" t="s">
        <v>1393</v>
      </c>
      <c r="B812" t="s">
        <v>2578</v>
      </c>
      <c r="C812">
        <v>51.534593659999999</v>
      </c>
      <c r="D812">
        <v>0.118842319999999</v>
      </c>
      <c r="E812" t="s">
        <v>673</v>
      </c>
      <c r="F812">
        <v>5</v>
      </c>
      <c r="G812" t="str">
        <f>IFERROR(VLOOKUP(B812, Churches!H:H, 1, FALSE), "")</f>
        <v/>
      </c>
    </row>
    <row r="813" spans="1:7" x14ac:dyDescent="0.25">
      <c r="A813" t="s">
        <v>1394</v>
      </c>
      <c r="B813" t="s">
        <v>2579</v>
      </c>
      <c r="C813">
        <v>51.515294659999903</v>
      </c>
      <c r="D813">
        <v>-9.2480779999999999E-2</v>
      </c>
      <c r="E813" t="s">
        <v>673</v>
      </c>
      <c r="F813">
        <v>10</v>
      </c>
      <c r="G813" t="str">
        <f>IFERROR(VLOOKUP(B813, Churches!H:H, 1, FALSE), "")</f>
        <v/>
      </c>
    </row>
    <row r="814" spans="1:7" x14ac:dyDescent="0.25">
      <c r="A814" t="s">
        <v>1395</v>
      </c>
      <c r="B814" t="s">
        <v>2580</v>
      </c>
      <c r="C814">
        <v>51.511568400000002</v>
      </c>
      <c r="D814">
        <v>-8.0452480000000007E-2</v>
      </c>
      <c r="E814" t="s">
        <v>673</v>
      </c>
      <c r="F814">
        <v>5</v>
      </c>
      <c r="G814" t="str">
        <f>IFERROR(VLOOKUP(B814, Churches!H:H, 1, FALSE), "")</f>
        <v/>
      </c>
    </row>
    <row r="815" spans="1:7" x14ac:dyDescent="0.25">
      <c r="A815" t="s">
        <v>1396</v>
      </c>
      <c r="B815" t="s">
        <v>2275</v>
      </c>
      <c r="C815">
        <v>51.5194200785714</v>
      </c>
      <c r="D815">
        <v>-7.2020564285714198E-2</v>
      </c>
      <c r="F815">
        <v>14</v>
      </c>
      <c r="G815" t="str">
        <f>IFERROR(VLOOKUP(B815, Churches!H:H, 1, FALSE), "")</f>
        <v/>
      </c>
    </row>
    <row r="816" spans="1:7" x14ac:dyDescent="0.25">
      <c r="A816" t="s">
        <v>1397</v>
      </c>
      <c r="B816" t="s">
        <v>2275</v>
      </c>
      <c r="C816">
        <v>51.454827534782602</v>
      </c>
      <c r="D816">
        <v>-9.9297721739130401E-2</v>
      </c>
      <c r="E816" t="s">
        <v>673</v>
      </c>
      <c r="F816">
        <v>23</v>
      </c>
      <c r="G816" t="str">
        <f>IFERROR(VLOOKUP(B816, Churches!H:H, 1, FALSE), "")</f>
        <v/>
      </c>
    </row>
    <row r="817" spans="1:7" x14ac:dyDescent="0.25">
      <c r="A817" t="s">
        <v>1398</v>
      </c>
      <c r="B817" t="s">
        <v>2581</v>
      </c>
      <c r="C817">
        <v>51.513232005555501</v>
      </c>
      <c r="D817">
        <v>-0.110305030555555</v>
      </c>
      <c r="E817" t="s">
        <v>673</v>
      </c>
      <c r="F817">
        <v>36</v>
      </c>
      <c r="G817" t="str">
        <f>IFERROR(VLOOKUP(B817, Churches!H:H, 1, FALSE), "")</f>
        <v/>
      </c>
    </row>
    <row r="818" spans="1:7" x14ac:dyDescent="0.25">
      <c r="A818" t="s">
        <v>1399</v>
      </c>
      <c r="B818" t="s">
        <v>2582</v>
      </c>
      <c r="C818">
        <v>51.577597750000002</v>
      </c>
      <c r="D818">
        <v>-0.12354087</v>
      </c>
      <c r="F818">
        <v>20</v>
      </c>
      <c r="G818" t="str">
        <f>IFERROR(VLOOKUP(B818, Churches!H:H, 1, FALSE), "")</f>
        <v/>
      </c>
    </row>
    <row r="819" spans="1:7" x14ac:dyDescent="0.25">
      <c r="A819" t="s">
        <v>1400</v>
      </c>
      <c r="B819" t="s">
        <v>2583</v>
      </c>
      <c r="C819">
        <v>51.509931088235199</v>
      </c>
      <c r="D819">
        <v>-0.317050047058823</v>
      </c>
      <c r="F819">
        <v>17</v>
      </c>
      <c r="G819" t="str">
        <f>IFERROR(VLOOKUP(B819, Churches!H:H, 1, FALSE), "")</f>
        <v/>
      </c>
    </row>
    <row r="820" spans="1:7" x14ac:dyDescent="0.25">
      <c r="A820" t="s">
        <v>1401</v>
      </c>
      <c r="B820" t="s">
        <v>2584</v>
      </c>
      <c r="C820">
        <v>51.510377194736797</v>
      </c>
      <c r="D820">
        <v>-0.31795306315789401</v>
      </c>
      <c r="F820">
        <v>19</v>
      </c>
      <c r="G820" t="str">
        <f>IFERROR(VLOOKUP(B820, Churches!H:H, 1, FALSE), "")</f>
        <v/>
      </c>
    </row>
    <row r="821" spans="1:7" x14ac:dyDescent="0.25">
      <c r="A821" t="s">
        <v>1402</v>
      </c>
      <c r="B821" t="s">
        <v>2585</v>
      </c>
      <c r="C821">
        <v>51.555880223076898</v>
      </c>
      <c r="D821">
        <v>-0.16974200769230699</v>
      </c>
      <c r="E821" t="s">
        <v>673</v>
      </c>
      <c r="F821">
        <v>13</v>
      </c>
      <c r="G821" t="str">
        <f>IFERROR(VLOOKUP(B821, Churches!H:H, 1, FALSE), "")</f>
        <v/>
      </c>
    </row>
    <row r="822" spans="1:7" x14ac:dyDescent="0.25">
      <c r="A822" t="s">
        <v>1338</v>
      </c>
      <c r="B822" t="s">
        <v>2586</v>
      </c>
      <c r="C822">
        <v>51.5133233263157</v>
      </c>
      <c r="D822">
        <v>-0.29568180526315702</v>
      </c>
      <c r="E822" t="s">
        <v>673</v>
      </c>
      <c r="F822">
        <v>19</v>
      </c>
      <c r="G822" t="str">
        <f>IFERROR(VLOOKUP(B822, Churches!H:H, 1, FALSE), "")</f>
        <v/>
      </c>
    </row>
    <row r="823" spans="1:7" x14ac:dyDescent="0.25">
      <c r="A823" t="s">
        <v>1403</v>
      </c>
      <c r="B823" t="s">
        <v>2587</v>
      </c>
      <c r="C823">
        <v>51.48683484</v>
      </c>
      <c r="D823">
        <v>-0.11870660666666601</v>
      </c>
      <c r="E823" t="s">
        <v>673</v>
      </c>
      <c r="F823">
        <v>30</v>
      </c>
      <c r="G823" t="str">
        <f>IFERROR(VLOOKUP(B823, Churches!H:H, 1, FALSE), "")</f>
        <v/>
      </c>
    </row>
    <row r="824" spans="1:7" x14ac:dyDescent="0.25">
      <c r="A824" t="s">
        <v>750</v>
      </c>
      <c r="B824" t="s">
        <v>2588</v>
      </c>
      <c r="C824">
        <v>51.341600919999998</v>
      </c>
      <c r="D824">
        <v>-0.11025359999999999</v>
      </c>
      <c r="E824" t="s">
        <v>673</v>
      </c>
      <c r="F824">
        <v>5</v>
      </c>
      <c r="G824" t="str">
        <f>IFERROR(VLOOKUP(B824, Churches!H:H, 1, FALSE), "")</f>
        <v/>
      </c>
    </row>
    <row r="825" spans="1:7" x14ac:dyDescent="0.25">
      <c r="A825" t="s">
        <v>759</v>
      </c>
      <c r="B825" t="s">
        <v>2589</v>
      </c>
      <c r="C825">
        <v>51.588308579999897</v>
      </c>
      <c r="D825">
        <v>-7.1455939999999996E-2</v>
      </c>
      <c r="E825" t="s">
        <v>673</v>
      </c>
      <c r="F825">
        <v>5</v>
      </c>
      <c r="G825" t="str">
        <f>IFERROR(VLOOKUP(B825, Churches!H:H, 1, FALSE), "")</f>
        <v/>
      </c>
    </row>
    <row r="826" spans="1:7" x14ac:dyDescent="0.25">
      <c r="A826" t="s">
        <v>880</v>
      </c>
      <c r="B826" t="s">
        <v>2275</v>
      </c>
      <c r="C826">
        <v>51.590291915384597</v>
      </c>
      <c r="D826">
        <v>-7.0763253846153798E-2</v>
      </c>
      <c r="F826">
        <v>13</v>
      </c>
      <c r="G826" t="str">
        <f>IFERROR(VLOOKUP(B826, Churches!H:H, 1, FALSE), "")</f>
        <v/>
      </c>
    </row>
    <row r="827" spans="1:7" x14ac:dyDescent="0.25">
      <c r="A827" t="s">
        <v>1404</v>
      </c>
      <c r="B827" t="s">
        <v>2275</v>
      </c>
      <c r="C827">
        <v>51.5911681533333</v>
      </c>
      <c r="D827">
        <v>-7.0534346666666595E-2</v>
      </c>
      <c r="F827">
        <v>15</v>
      </c>
      <c r="G827" t="str">
        <f>IFERROR(VLOOKUP(B827, Churches!H:H, 1, FALSE), "")</f>
        <v/>
      </c>
    </row>
    <row r="828" spans="1:7" x14ac:dyDescent="0.25">
      <c r="A828" t="s">
        <v>1405</v>
      </c>
      <c r="B828" t="s">
        <v>2590</v>
      </c>
      <c r="C828">
        <v>51.580039609090903</v>
      </c>
      <c r="D828">
        <v>-0.117612827272727</v>
      </c>
      <c r="F828">
        <v>11</v>
      </c>
      <c r="G828" t="str">
        <f>IFERROR(VLOOKUP(B828, Churches!H:H, 1, FALSE), "")</f>
        <v/>
      </c>
    </row>
    <row r="829" spans="1:7" x14ac:dyDescent="0.25">
      <c r="A829" t="s">
        <v>1406</v>
      </c>
      <c r="B829" t="s">
        <v>2591</v>
      </c>
      <c r="C829">
        <v>51.491165835294098</v>
      </c>
      <c r="D829">
        <v>-0.2005072</v>
      </c>
      <c r="E829" t="s">
        <v>673</v>
      </c>
      <c r="F829">
        <v>17</v>
      </c>
      <c r="G829" t="str">
        <f>IFERROR(VLOOKUP(B829, Churches!H:H, 1, FALSE), "")</f>
        <v/>
      </c>
    </row>
    <row r="830" spans="1:7" x14ac:dyDescent="0.25">
      <c r="A830" t="s">
        <v>1407</v>
      </c>
      <c r="B830" t="s">
        <v>2592</v>
      </c>
      <c r="C830">
        <v>51.372655643750001</v>
      </c>
      <c r="D830">
        <v>-0.10595840625</v>
      </c>
      <c r="E830" t="s">
        <v>673</v>
      </c>
      <c r="F830">
        <v>16</v>
      </c>
      <c r="G830" t="str">
        <f>IFERROR(VLOOKUP(B830, Churches!H:H, 1, FALSE), "")</f>
        <v/>
      </c>
    </row>
    <row r="831" spans="1:7" x14ac:dyDescent="0.25">
      <c r="A831" t="s">
        <v>890</v>
      </c>
      <c r="B831" t="s">
        <v>2593</v>
      </c>
      <c r="C831">
        <v>51.371510379999997</v>
      </c>
      <c r="D831">
        <v>-0.13989621999999899</v>
      </c>
      <c r="E831" t="s">
        <v>673</v>
      </c>
      <c r="F831">
        <v>15</v>
      </c>
      <c r="G831" t="str">
        <f>IFERROR(VLOOKUP(B831, Churches!H:H, 1, FALSE), "")</f>
        <v/>
      </c>
    </row>
    <row r="832" spans="1:7" x14ac:dyDescent="0.25">
      <c r="A832" t="s">
        <v>1408</v>
      </c>
      <c r="B832" t="s">
        <v>2594</v>
      </c>
      <c r="C832">
        <v>51.5107888799999</v>
      </c>
      <c r="D832">
        <v>-8.2966590000000007E-2</v>
      </c>
      <c r="E832" t="s">
        <v>673</v>
      </c>
      <c r="F832">
        <v>10</v>
      </c>
      <c r="G832" t="str">
        <f>IFERROR(VLOOKUP(B832, Churches!H:H, 1, FALSE), "")</f>
        <v/>
      </c>
    </row>
    <row r="833" spans="1:7" x14ac:dyDescent="0.25">
      <c r="A833" t="s">
        <v>1409</v>
      </c>
      <c r="B833" t="s">
        <v>2275</v>
      </c>
      <c r="C833">
        <v>51.510808457142801</v>
      </c>
      <c r="D833">
        <v>-7.9491471428571395E-2</v>
      </c>
      <c r="E833" t="s">
        <v>673</v>
      </c>
      <c r="F833">
        <v>14</v>
      </c>
      <c r="G833" t="str">
        <f>IFERROR(VLOOKUP(B833, Churches!H:H, 1, FALSE), "")</f>
        <v/>
      </c>
    </row>
    <row r="834" spans="1:7" x14ac:dyDescent="0.25">
      <c r="A834" t="s">
        <v>1410</v>
      </c>
      <c r="B834" t="s">
        <v>2275</v>
      </c>
      <c r="C834">
        <v>51.572559639999902</v>
      </c>
      <c r="D834">
        <v>-1.29512799999999E-2</v>
      </c>
      <c r="F834">
        <v>5</v>
      </c>
      <c r="G834" t="str">
        <f>IFERROR(VLOOKUP(B834, Churches!H:H, 1, FALSE), "")</f>
        <v/>
      </c>
    </row>
    <row r="835" spans="1:7" x14ac:dyDescent="0.25">
      <c r="A835" t="s">
        <v>1411</v>
      </c>
      <c r="B835" t="s">
        <v>2275</v>
      </c>
      <c r="C835">
        <v>51.511371514285699</v>
      </c>
      <c r="D835">
        <v>-8.6783599999999905E-2</v>
      </c>
      <c r="E835" t="s">
        <v>673</v>
      </c>
      <c r="F835">
        <v>7</v>
      </c>
      <c r="G835" t="str">
        <f>IFERROR(VLOOKUP(B835, Churches!H:H, 1, FALSE), "")</f>
        <v/>
      </c>
    </row>
    <row r="836" spans="1:7" x14ac:dyDescent="0.25">
      <c r="A836" t="s">
        <v>1412</v>
      </c>
      <c r="B836" t="s">
        <v>2275</v>
      </c>
      <c r="C836">
        <v>51.509294554545399</v>
      </c>
      <c r="D836">
        <v>-8.6238781818181801E-2</v>
      </c>
      <c r="E836" t="s">
        <v>673</v>
      </c>
      <c r="F836">
        <v>11</v>
      </c>
      <c r="G836" t="str">
        <f>IFERROR(VLOOKUP(B836, Churches!H:H, 1, FALSE), "")</f>
        <v/>
      </c>
    </row>
    <row r="837" spans="1:7" x14ac:dyDescent="0.25">
      <c r="A837" t="s">
        <v>1413</v>
      </c>
      <c r="B837" t="s">
        <v>2275</v>
      </c>
      <c r="C837">
        <v>51.511139809999896</v>
      </c>
      <c r="D837">
        <v>-9.3665014999999893E-2</v>
      </c>
      <c r="E837" t="s">
        <v>673</v>
      </c>
      <c r="F837">
        <v>20</v>
      </c>
      <c r="G837" t="str">
        <f>IFERROR(VLOOKUP(B837, Churches!H:H, 1, FALSE), "")</f>
        <v/>
      </c>
    </row>
    <row r="838" spans="1:7" x14ac:dyDescent="0.25">
      <c r="A838" t="s">
        <v>1414</v>
      </c>
      <c r="B838" t="s">
        <v>2595</v>
      </c>
      <c r="C838">
        <v>51.6072488571428</v>
      </c>
      <c r="D838">
        <v>-0.37716757142857099</v>
      </c>
      <c r="F838">
        <v>7</v>
      </c>
      <c r="G838" t="str">
        <f>IFERROR(VLOOKUP(B838, Churches!H:H, 1, FALSE), "")</f>
        <v/>
      </c>
    </row>
    <row r="839" spans="1:7" x14ac:dyDescent="0.25">
      <c r="A839" t="s">
        <v>735</v>
      </c>
      <c r="B839" t="s">
        <v>2275</v>
      </c>
      <c r="C839">
        <v>51.546201765217397</v>
      </c>
      <c r="D839">
        <v>2.6409030434782599E-2</v>
      </c>
      <c r="E839" t="s">
        <v>673</v>
      </c>
      <c r="F839">
        <v>23</v>
      </c>
      <c r="G839" t="str">
        <f>IFERROR(VLOOKUP(B839, Churches!H:H, 1, FALSE), "")</f>
        <v/>
      </c>
    </row>
    <row r="840" spans="1:7" x14ac:dyDescent="0.25">
      <c r="A840" t="s">
        <v>993</v>
      </c>
      <c r="B840" t="s">
        <v>2275</v>
      </c>
      <c r="C840">
        <v>51.543242482352902</v>
      </c>
      <c r="D840">
        <v>1.4690111764705799E-2</v>
      </c>
      <c r="E840" t="s">
        <v>673</v>
      </c>
      <c r="F840">
        <v>17</v>
      </c>
      <c r="G840" t="str">
        <f>IFERROR(VLOOKUP(B840, Churches!H:H, 1, FALSE), "")</f>
        <v/>
      </c>
    </row>
    <row r="841" spans="1:7" x14ac:dyDescent="0.25">
      <c r="A841" t="s">
        <v>1415</v>
      </c>
      <c r="B841" t="s">
        <v>2596</v>
      </c>
      <c r="C841">
        <v>51.536399618181797</v>
      </c>
      <c r="D841">
        <v>8.6408000000000006E-3</v>
      </c>
      <c r="E841" t="s">
        <v>673</v>
      </c>
      <c r="F841">
        <v>11</v>
      </c>
      <c r="G841" t="str">
        <f>IFERROR(VLOOKUP(B841, Churches!H:H, 1, FALSE), "")</f>
        <v/>
      </c>
    </row>
    <row r="842" spans="1:7" x14ac:dyDescent="0.25">
      <c r="A842" t="s">
        <v>1416</v>
      </c>
      <c r="B842" t="s">
        <v>2597</v>
      </c>
      <c r="C842">
        <v>51.54609258</v>
      </c>
      <c r="D842">
        <v>2.4824220000000001E-2</v>
      </c>
      <c r="F842">
        <v>5</v>
      </c>
      <c r="G842" t="str">
        <f>IFERROR(VLOOKUP(B842, Churches!H:H, 1, FALSE), "")</f>
        <v/>
      </c>
    </row>
    <row r="843" spans="1:7" x14ac:dyDescent="0.25">
      <c r="A843" t="s">
        <v>1417</v>
      </c>
      <c r="B843" t="s">
        <v>2275</v>
      </c>
      <c r="C843">
        <v>51.544465057142801</v>
      </c>
      <c r="D843">
        <v>2.5825157142857099E-2</v>
      </c>
      <c r="F843">
        <v>7</v>
      </c>
      <c r="G843" t="str">
        <f>IFERROR(VLOOKUP(B843, Churches!H:H, 1, FALSE), "")</f>
        <v/>
      </c>
    </row>
    <row r="844" spans="1:7" x14ac:dyDescent="0.25">
      <c r="A844" t="s">
        <v>1418</v>
      </c>
      <c r="B844" t="s">
        <v>2598</v>
      </c>
      <c r="C844">
        <v>51.543415959999997</v>
      </c>
      <c r="D844">
        <v>2.5901299999999999E-2</v>
      </c>
      <c r="F844">
        <v>5</v>
      </c>
      <c r="G844" t="str">
        <f>IFERROR(VLOOKUP(B844, Churches!H:H, 1, FALSE), "")</f>
        <v/>
      </c>
    </row>
    <row r="845" spans="1:7" x14ac:dyDescent="0.25">
      <c r="A845" t="s">
        <v>1419</v>
      </c>
      <c r="B845" t="s">
        <v>2599</v>
      </c>
      <c r="C845">
        <v>51.543262479999903</v>
      </c>
      <c r="D845">
        <v>2.583912E-2</v>
      </c>
      <c r="F845">
        <v>5</v>
      </c>
      <c r="G845" t="str">
        <f>IFERROR(VLOOKUP(B845, Churches!H:H, 1, FALSE), "")</f>
        <v/>
      </c>
    </row>
    <row r="846" spans="1:7" x14ac:dyDescent="0.25">
      <c r="A846" t="s">
        <v>1420</v>
      </c>
      <c r="B846" t="s">
        <v>2600</v>
      </c>
      <c r="C846">
        <v>51.546493579999897</v>
      </c>
      <c r="D846">
        <v>2.8600799999999999E-2</v>
      </c>
      <c r="F846">
        <v>5</v>
      </c>
      <c r="G846" t="str">
        <f>IFERROR(VLOOKUP(B846, Churches!H:H, 1, FALSE), "")</f>
        <v/>
      </c>
    </row>
    <row r="847" spans="1:7" x14ac:dyDescent="0.25">
      <c r="A847" t="s">
        <v>1421</v>
      </c>
      <c r="B847" t="s">
        <v>2601</v>
      </c>
      <c r="C847">
        <v>51.547725449999902</v>
      </c>
      <c r="D847">
        <v>3.4769462500000001E-2</v>
      </c>
      <c r="F847">
        <v>8</v>
      </c>
      <c r="G847" t="str">
        <f>IFERROR(VLOOKUP(B847, Churches!H:H, 1, FALSE), "")</f>
        <v/>
      </c>
    </row>
    <row r="848" spans="1:7" x14ac:dyDescent="0.25">
      <c r="A848" t="s">
        <v>1422</v>
      </c>
      <c r="B848" t="s">
        <v>2275</v>
      </c>
      <c r="C848">
        <v>51.551969833333303</v>
      </c>
      <c r="D848">
        <v>2.10086777777777E-2</v>
      </c>
      <c r="E848" t="s">
        <v>673</v>
      </c>
      <c r="F848">
        <v>9</v>
      </c>
      <c r="G848" t="str">
        <f>IFERROR(VLOOKUP(B848, Churches!H:H, 1, FALSE), "")</f>
        <v/>
      </c>
    </row>
    <row r="849" spans="1:7" x14ac:dyDescent="0.25">
      <c r="A849" t="s">
        <v>1423</v>
      </c>
      <c r="B849" t="s">
        <v>2275</v>
      </c>
      <c r="C849">
        <v>51.446309783333298</v>
      </c>
      <c r="D849">
        <v>-8.6109338888888803E-2</v>
      </c>
      <c r="E849" t="s">
        <v>673</v>
      </c>
      <c r="F849">
        <v>18</v>
      </c>
      <c r="G849" t="str">
        <f>IFERROR(VLOOKUP(B849, Churches!H:H, 1, FALSE), "")</f>
        <v/>
      </c>
    </row>
    <row r="850" spans="1:7" x14ac:dyDescent="0.25">
      <c r="A850" t="s">
        <v>1424</v>
      </c>
      <c r="B850" t="s">
        <v>2602</v>
      </c>
      <c r="C850">
        <v>51.4935762818181</v>
      </c>
      <c r="D850">
        <v>-0.21440168181818101</v>
      </c>
      <c r="E850" t="s">
        <v>673</v>
      </c>
      <c r="F850">
        <v>11</v>
      </c>
      <c r="G850" t="str">
        <f>IFERROR(VLOOKUP(B850, Churches!H:H, 1, FALSE), "")</f>
        <v/>
      </c>
    </row>
    <row r="851" spans="1:7" x14ac:dyDescent="0.25">
      <c r="A851" t="s">
        <v>1425</v>
      </c>
      <c r="B851" t="s">
        <v>2603</v>
      </c>
      <c r="C851">
        <v>51.441929546153801</v>
      </c>
      <c r="D851">
        <v>-0.13427020769230699</v>
      </c>
      <c r="E851" t="s">
        <v>673</v>
      </c>
      <c r="F851">
        <v>13</v>
      </c>
      <c r="G851" t="str">
        <f>IFERROR(VLOOKUP(B851, Churches!H:H, 1, FALSE), "")</f>
        <v/>
      </c>
    </row>
    <row r="852" spans="1:7" x14ac:dyDescent="0.25">
      <c r="A852" t="s">
        <v>1426</v>
      </c>
      <c r="B852" t="s">
        <v>2604</v>
      </c>
      <c r="C852">
        <v>51.431794642857099</v>
      </c>
      <c r="D852">
        <v>-0.1148189</v>
      </c>
      <c r="E852" t="s">
        <v>673</v>
      </c>
      <c r="F852">
        <v>14</v>
      </c>
      <c r="G852" t="str">
        <f>IFERROR(VLOOKUP(B852, Churches!H:H, 1, FALSE), "")</f>
        <v/>
      </c>
    </row>
    <row r="853" spans="1:7" x14ac:dyDescent="0.25">
      <c r="A853" t="s">
        <v>1427</v>
      </c>
      <c r="B853" t="s">
        <v>2605</v>
      </c>
      <c r="C853">
        <v>51.373173420000001</v>
      </c>
      <c r="D853">
        <v>-0.13097702</v>
      </c>
      <c r="F853">
        <v>5</v>
      </c>
      <c r="G853" t="str">
        <f>IFERROR(VLOOKUP(B853, Churches!H:H, 1, FALSE), "")</f>
        <v/>
      </c>
    </row>
    <row r="854" spans="1:7" x14ac:dyDescent="0.25">
      <c r="A854" t="s">
        <v>1428</v>
      </c>
      <c r="B854" t="s">
        <v>2275</v>
      </c>
      <c r="C854">
        <v>51.5486098857142</v>
      </c>
      <c r="D854">
        <v>2.2050257142857101E-2</v>
      </c>
      <c r="F854">
        <v>7</v>
      </c>
      <c r="G854" t="str">
        <f>IFERROR(VLOOKUP(B854, Churches!H:H, 1, FALSE), "")</f>
        <v/>
      </c>
    </row>
    <row r="855" spans="1:7" x14ac:dyDescent="0.25">
      <c r="A855" t="s">
        <v>716</v>
      </c>
      <c r="B855" t="s">
        <v>2606</v>
      </c>
      <c r="C855">
        <v>51.384632955555503</v>
      </c>
      <c r="D855">
        <v>-0.15972655555555501</v>
      </c>
      <c r="F855">
        <v>9</v>
      </c>
      <c r="G855" t="str">
        <f>IFERROR(VLOOKUP(B855, Churches!H:H, 1, FALSE), "")</f>
        <v/>
      </c>
    </row>
    <row r="856" spans="1:7" x14ac:dyDescent="0.25">
      <c r="A856" t="s">
        <v>1429</v>
      </c>
      <c r="B856" t="s">
        <v>2607</v>
      </c>
      <c r="C856">
        <v>51.648031130769198</v>
      </c>
      <c r="D856">
        <v>-0.21472913846153799</v>
      </c>
      <c r="E856" t="s">
        <v>673</v>
      </c>
      <c r="F856">
        <v>13</v>
      </c>
      <c r="G856" t="str">
        <f>IFERROR(VLOOKUP(B856, Churches!H:H, 1, FALSE), "")</f>
        <v/>
      </c>
    </row>
    <row r="857" spans="1:7" x14ac:dyDescent="0.25">
      <c r="A857" t="s">
        <v>1430</v>
      </c>
      <c r="B857" t="s">
        <v>2608</v>
      </c>
      <c r="C857">
        <v>51.380077180000001</v>
      </c>
      <c r="D857">
        <v>-0.15564207999999999</v>
      </c>
      <c r="F857">
        <v>5</v>
      </c>
      <c r="G857" t="str">
        <f>IFERROR(VLOOKUP(B857, Churches!H:H, 1, FALSE), "")</f>
        <v/>
      </c>
    </row>
    <row r="858" spans="1:7" x14ac:dyDescent="0.25">
      <c r="A858" t="s">
        <v>1431</v>
      </c>
      <c r="B858" t="s">
        <v>2609</v>
      </c>
      <c r="C858">
        <v>51.646985255555499</v>
      </c>
      <c r="D858">
        <v>-0.19659572222222199</v>
      </c>
      <c r="F858">
        <v>9</v>
      </c>
      <c r="G858" t="str">
        <f>IFERROR(VLOOKUP(B858, Churches!H:H, 1, FALSE), "")</f>
        <v/>
      </c>
    </row>
    <row r="859" spans="1:7" x14ac:dyDescent="0.25">
      <c r="A859" t="s">
        <v>1432</v>
      </c>
      <c r="B859" t="s">
        <v>2610</v>
      </c>
      <c r="C859">
        <v>51.653166741176399</v>
      </c>
      <c r="D859">
        <v>-0.20092354117646999</v>
      </c>
      <c r="F859">
        <v>17</v>
      </c>
      <c r="G859" t="str">
        <f>IFERROR(VLOOKUP(B859, Churches!H:H, 1, FALSE), "")</f>
        <v/>
      </c>
    </row>
    <row r="860" spans="1:7" x14ac:dyDescent="0.25">
      <c r="A860" t="s">
        <v>1433</v>
      </c>
      <c r="B860" t="s">
        <v>2611</v>
      </c>
      <c r="C860">
        <v>51.653423157142797</v>
      </c>
      <c r="D860">
        <v>-0.20441429285714199</v>
      </c>
      <c r="F860">
        <v>14</v>
      </c>
      <c r="G860" t="str">
        <f>IFERROR(VLOOKUP(B860, Churches!H:H, 1, FALSE), "")</f>
        <v/>
      </c>
    </row>
    <row r="861" spans="1:7" x14ac:dyDescent="0.25">
      <c r="A861" t="s">
        <v>1434</v>
      </c>
      <c r="B861" t="s">
        <v>2612</v>
      </c>
      <c r="C861">
        <v>51.653905904166599</v>
      </c>
      <c r="D861">
        <v>-0.20525072499999999</v>
      </c>
      <c r="F861">
        <v>24</v>
      </c>
      <c r="G861" t="str">
        <f>IFERROR(VLOOKUP(B861, Churches!H:H, 1, FALSE), "")</f>
        <v/>
      </c>
    </row>
    <row r="862" spans="1:7" x14ac:dyDescent="0.25">
      <c r="A862" t="s">
        <v>1435</v>
      </c>
      <c r="B862" t="s">
        <v>2613</v>
      </c>
      <c r="C862">
        <v>51.655610125000003</v>
      </c>
      <c r="D862">
        <v>-0.2048690125</v>
      </c>
      <c r="F862">
        <v>8</v>
      </c>
      <c r="G862" t="str">
        <f>IFERROR(VLOOKUP(B862, Churches!H:H, 1, FALSE), "")</f>
        <v/>
      </c>
    </row>
    <row r="863" spans="1:7" x14ac:dyDescent="0.25">
      <c r="A863" t="s">
        <v>1436</v>
      </c>
      <c r="B863" t="s">
        <v>2614</v>
      </c>
      <c r="C863">
        <v>51.605644847058798</v>
      </c>
      <c r="D863">
        <v>0.23572921176470499</v>
      </c>
      <c r="E863" t="s">
        <v>673</v>
      </c>
      <c r="F863">
        <v>17</v>
      </c>
      <c r="G863" t="str">
        <f>IFERROR(VLOOKUP(B863, Churches!H:H, 1, FALSE), "")</f>
        <v/>
      </c>
    </row>
    <row r="864" spans="1:7" x14ac:dyDescent="0.25">
      <c r="A864" t="s">
        <v>1437</v>
      </c>
      <c r="B864" t="s">
        <v>2615</v>
      </c>
      <c r="C864">
        <v>51.515314466666602</v>
      </c>
      <c r="D864">
        <v>-0.12626053333333301</v>
      </c>
      <c r="F864">
        <v>6</v>
      </c>
      <c r="G864" t="str">
        <f>IFERROR(VLOOKUP(B864, Churches!H:H, 1, FALSE), "")</f>
        <v/>
      </c>
    </row>
    <row r="865" spans="1:7" x14ac:dyDescent="0.25">
      <c r="A865" t="s">
        <v>1438</v>
      </c>
      <c r="B865" t="s">
        <v>2616</v>
      </c>
      <c r="C865">
        <v>51.659070237930997</v>
      </c>
      <c r="D865">
        <v>-0.22904038965517201</v>
      </c>
      <c r="F865">
        <v>29</v>
      </c>
      <c r="G865" t="str">
        <f>IFERROR(VLOOKUP(B865, Churches!H:H, 1, FALSE), "")</f>
        <v/>
      </c>
    </row>
    <row r="866" spans="1:7" x14ac:dyDescent="0.25">
      <c r="A866" t="s">
        <v>1439</v>
      </c>
      <c r="B866" t="s">
        <v>2617</v>
      </c>
      <c r="C866">
        <v>51.503266771052601</v>
      </c>
      <c r="D866">
        <v>-0.21413629736842099</v>
      </c>
      <c r="E866" t="s">
        <v>673</v>
      </c>
      <c r="F866">
        <v>38</v>
      </c>
      <c r="G866" t="str">
        <f>IFERROR(VLOOKUP(B866, Churches!H:H, 1, FALSE), "")</f>
        <v/>
      </c>
    </row>
    <row r="867" spans="1:7" x14ac:dyDescent="0.25">
      <c r="A867" t="s">
        <v>674</v>
      </c>
      <c r="B867" t="s">
        <v>2618</v>
      </c>
      <c r="C867">
        <v>51.364890104999901</v>
      </c>
      <c r="D867">
        <v>-0.163069399999999</v>
      </c>
      <c r="E867" t="s">
        <v>673</v>
      </c>
      <c r="F867">
        <v>20</v>
      </c>
      <c r="G867" t="str">
        <f>IFERROR(VLOOKUP(B867, Churches!H:H, 1, FALSE), "")</f>
        <v/>
      </c>
    </row>
    <row r="868" spans="1:7" x14ac:dyDescent="0.25">
      <c r="A868" t="s">
        <v>1440</v>
      </c>
      <c r="B868" t="s">
        <v>2619</v>
      </c>
      <c r="C868">
        <v>51.647400594117599</v>
      </c>
      <c r="D868">
        <v>-0.23208638823529401</v>
      </c>
      <c r="F868">
        <v>17</v>
      </c>
      <c r="G868" t="str">
        <f>IFERROR(VLOOKUP(B868, Churches!H:H, 1, FALSE), "")</f>
        <v/>
      </c>
    </row>
    <row r="869" spans="1:7" x14ac:dyDescent="0.25">
      <c r="A869" t="s">
        <v>1441</v>
      </c>
      <c r="B869" t="s">
        <v>2619</v>
      </c>
      <c r="C869">
        <v>51.647219700000001</v>
      </c>
      <c r="D869">
        <v>-0.23196395789473601</v>
      </c>
      <c r="F869">
        <v>19</v>
      </c>
      <c r="G869" t="str">
        <f>IFERROR(VLOOKUP(B869, Churches!H:H, 1, FALSE), "")</f>
        <v/>
      </c>
    </row>
    <row r="870" spans="1:7" x14ac:dyDescent="0.25">
      <c r="A870" t="s">
        <v>1442</v>
      </c>
      <c r="B870" t="s">
        <v>2275</v>
      </c>
      <c r="C870">
        <v>51.556613157142799</v>
      </c>
      <c r="D870">
        <v>7.6166292857142798E-2</v>
      </c>
      <c r="E870" t="s">
        <v>673</v>
      </c>
      <c r="F870">
        <v>14</v>
      </c>
      <c r="G870" t="str">
        <f>IFERROR(VLOOKUP(B870, Churches!H:H, 1, FALSE), "")</f>
        <v/>
      </c>
    </row>
    <row r="871" spans="1:7" x14ac:dyDescent="0.25">
      <c r="A871" t="s">
        <v>1443</v>
      </c>
      <c r="B871" t="s">
        <v>2275</v>
      </c>
      <c r="C871">
        <v>51.571311522222203</v>
      </c>
      <c r="D871">
        <v>9.5126744444444397E-2</v>
      </c>
      <c r="F871">
        <v>18</v>
      </c>
      <c r="G871" t="str">
        <f>IFERROR(VLOOKUP(B871, Churches!H:H, 1, FALSE), "")</f>
        <v/>
      </c>
    </row>
    <row r="872" spans="1:7" x14ac:dyDescent="0.25">
      <c r="A872" t="s">
        <v>1444</v>
      </c>
      <c r="B872" t="s">
        <v>2620</v>
      </c>
      <c r="C872">
        <v>51.533657018181799</v>
      </c>
      <c r="D872">
        <v>9.5319709090909005E-2</v>
      </c>
      <c r="E872" t="s">
        <v>673</v>
      </c>
      <c r="F872">
        <v>44</v>
      </c>
      <c r="G872" t="str">
        <f>IFERROR(VLOOKUP(B872, Churches!H:H, 1, FALSE), "")</f>
        <v/>
      </c>
    </row>
    <row r="873" spans="1:7" x14ac:dyDescent="0.25">
      <c r="A873" t="s">
        <v>1445</v>
      </c>
      <c r="B873" t="s">
        <v>2621</v>
      </c>
      <c r="C873">
        <v>51.567550199999999</v>
      </c>
      <c r="D873">
        <v>0.267606061538461</v>
      </c>
      <c r="E873" t="s">
        <v>673</v>
      </c>
      <c r="F873">
        <v>13</v>
      </c>
      <c r="G873" t="str">
        <f>IFERROR(VLOOKUP(B873, Churches!H:H, 1, FALSE), "")</f>
        <v/>
      </c>
    </row>
    <row r="874" spans="1:7" x14ac:dyDescent="0.25">
      <c r="A874" t="s">
        <v>985</v>
      </c>
      <c r="B874" t="s">
        <v>2622</v>
      </c>
      <c r="C874">
        <v>51.658320918181801</v>
      </c>
      <c r="D874">
        <v>-0.20143618181818099</v>
      </c>
      <c r="F874">
        <v>11</v>
      </c>
      <c r="G874" t="str">
        <f>IFERROR(VLOOKUP(B874, Churches!H:H, 1, FALSE), "")</f>
        <v/>
      </c>
    </row>
    <row r="875" spans="1:7" x14ac:dyDescent="0.25">
      <c r="A875" t="s">
        <v>1446</v>
      </c>
      <c r="B875" t="s">
        <v>2623</v>
      </c>
      <c r="C875">
        <v>51.658677511111101</v>
      </c>
      <c r="D875">
        <v>-0.204375722222222</v>
      </c>
      <c r="F875">
        <v>9</v>
      </c>
      <c r="G875" t="str">
        <f>IFERROR(VLOOKUP(B875, Churches!H:H, 1, FALSE), "")</f>
        <v/>
      </c>
    </row>
    <row r="876" spans="1:7" x14ac:dyDescent="0.25">
      <c r="A876" t="s">
        <v>1447</v>
      </c>
      <c r="B876" t="s">
        <v>2275</v>
      </c>
      <c r="C876">
        <v>51.513700786666597</v>
      </c>
      <c r="D876">
        <v>-8.1080133333333304E-2</v>
      </c>
      <c r="F876">
        <v>15</v>
      </c>
      <c r="G876" t="str">
        <f>IFERROR(VLOOKUP(B876, Churches!H:H, 1, FALSE), "")</f>
        <v/>
      </c>
    </row>
    <row r="877" spans="1:7" x14ac:dyDescent="0.25">
      <c r="A877" t="s">
        <v>1448</v>
      </c>
      <c r="B877" t="s">
        <v>2624</v>
      </c>
      <c r="C877">
        <v>51.5711192999999</v>
      </c>
      <c r="D877">
        <v>0.13635194</v>
      </c>
      <c r="E877" t="s">
        <v>673</v>
      </c>
      <c r="F877">
        <v>15</v>
      </c>
      <c r="G877" t="str">
        <f>IFERROR(VLOOKUP(B877, Churches!H:H, 1, FALSE), "")</f>
        <v/>
      </c>
    </row>
    <row r="878" spans="1:7" x14ac:dyDescent="0.25">
      <c r="A878" t="s">
        <v>1449</v>
      </c>
      <c r="B878" t="s">
        <v>2625</v>
      </c>
      <c r="C878">
        <v>51.598858110000002</v>
      </c>
      <c r="D878">
        <v>0.16015267999999999</v>
      </c>
      <c r="E878" t="s">
        <v>673</v>
      </c>
      <c r="F878">
        <v>10</v>
      </c>
      <c r="G878" t="str">
        <f>IFERROR(VLOOKUP(B878, Churches!H:H, 1, FALSE), "")</f>
        <v/>
      </c>
    </row>
    <row r="879" spans="1:7" x14ac:dyDescent="0.25">
      <c r="A879" t="s">
        <v>1450</v>
      </c>
      <c r="B879" t="s">
        <v>2626</v>
      </c>
      <c r="C879">
        <v>51.582738345454501</v>
      </c>
      <c r="D879">
        <v>0.22085216363636301</v>
      </c>
      <c r="E879" t="s">
        <v>673</v>
      </c>
      <c r="F879">
        <v>11</v>
      </c>
      <c r="G879" t="str">
        <f>IFERROR(VLOOKUP(B879, Churches!H:H, 1, FALSE), "")</f>
        <v/>
      </c>
    </row>
    <row r="880" spans="1:7" x14ac:dyDescent="0.25">
      <c r="A880" t="s">
        <v>1451</v>
      </c>
      <c r="B880" t="s">
        <v>2627</v>
      </c>
      <c r="C880">
        <v>51.610553350000004</v>
      </c>
      <c r="D880">
        <v>0.11001205999999999</v>
      </c>
      <c r="E880" t="s">
        <v>673</v>
      </c>
      <c r="F880">
        <v>10</v>
      </c>
      <c r="G880" t="str">
        <f>IFERROR(VLOOKUP(B880, Churches!H:H, 1, FALSE), "")</f>
        <v/>
      </c>
    </row>
    <row r="881" spans="1:7" x14ac:dyDescent="0.25">
      <c r="A881" t="s">
        <v>947</v>
      </c>
      <c r="B881" t="s">
        <v>2628</v>
      </c>
      <c r="C881">
        <v>51.459449720000002</v>
      </c>
      <c r="D881">
        <v>0.112535279999999</v>
      </c>
      <c r="E881" t="s">
        <v>673</v>
      </c>
      <c r="F881">
        <v>5</v>
      </c>
      <c r="G881" t="str">
        <f>IFERROR(VLOOKUP(B881, Churches!H:H, 1, FALSE), "")</f>
        <v/>
      </c>
    </row>
    <row r="882" spans="1:7" x14ac:dyDescent="0.25">
      <c r="A882" t="s">
        <v>1452</v>
      </c>
      <c r="B882" t="s">
        <v>2629</v>
      </c>
      <c r="C882">
        <v>51.364838690908996</v>
      </c>
      <c r="D882">
        <v>-0.1515</v>
      </c>
      <c r="F882">
        <v>11</v>
      </c>
      <c r="G882" t="str">
        <f>IFERROR(VLOOKUP(B882, Churches!H:H, 1, FALSE), "")</f>
        <v/>
      </c>
    </row>
    <row r="883" spans="1:7" x14ac:dyDescent="0.25">
      <c r="A883" t="s">
        <v>1453</v>
      </c>
      <c r="B883" t="s">
        <v>2630</v>
      </c>
      <c r="C883">
        <v>51.653048740000003</v>
      </c>
      <c r="D883">
        <v>-0.18497349333333299</v>
      </c>
      <c r="E883" t="s">
        <v>673</v>
      </c>
      <c r="F883">
        <v>15</v>
      </c>
      <c r="G883" t="str">
        <f>IFERROR(VLOOKUP(B883, Churches!H:H, 1, FALSE), "")</f>
        <v/>
      </c>
    </row>
    <row r="884" spans="1:7" x14ac:dyDescent="0.25">
      <c r="A884" t="s">
        <v>1454</v>
      </c>
      <c r="B884" t="s">
        <v>2275</v>
      </c>
      <c r="C884">
        <v>51.511698414285704</v>
      </c>
      <c r="D884">
        <v>-9.9268157142857097E-2</v>
      </c>
      <c r="E884" t="s">
        <v>673</v>
      </c>
      <c r="F884">
        <v>7</v>
      </c>
      <c r="G884" t="str">
        <f>IFERROR(VLOOKUP(B884, Churches!H:H, 1, FALSE), "")</f>
        <v/>
      </c>
    </row>
    <row r="885" spans="1:7" x14ac:dyDescent="0.25">
      <c r="A885" t="s">
        <v>1455</v>
      </c>
      <c r="B885" t="s">
        <v>2631</v>
      </c>
      <c r="C885">
        <v>51.516576788235298</v>
      </c>
      <c r="D885">
        <v>-8.4232799999999997E-2</v>
      </c>
      <c r="E885" t="s">
        <v>673</v>
      </c>
      <c r="F885">
        <v>17</v>
      </c>
      <c r="G885" t="str">
        <f>IFERROR(VLOOKUP(B885, Churches!H:H, 1, FALSE), "")</f>
        <v/>
      </c>
    </row>
    <row r="886" spans="1:7" x14ac:dyDescent="0.25">
      <c r="A886" t="s">
        <v>1456</v>
      </c>
      <c r="B886" t="s">
        <v>2632</v>
      </c>
      <c r="C886">
        <v>51.500134033333303</v>
      </c>
      <c r="D886">
        <v>-0.318169008333333</v>
      </c>
      <c r="E886" t="s">
        <v>673</v>
      </c>
      <c r="F886">
        <v>12</v>
      </c>
      <c r="G886" t="str">
        <f>IFERROR(VLOOKUP(B886, Churches!H:H, 1, FALSE), "")</f>
        <v/>
      </c>
    </row>
    <row r="887" spans="1:7" x14ac:dyDescent="0.25">
      <c r="A887" t="s">
        <v>1457</v>
      </c>
      <c r="B887" t="s">
        <v>2633</v>
      </c>
      <c r="C887">
        <v>51.3581376647059</v>
      </c>
      <c r="D887">
        <v>-0.1886787</v>
      </c>
      <c r="F887">
        <v>17</v>
      </c>
      <c r="G887" t="str">
        <f>IFERROR(VLOOKUP(B887, Churches!H:H, 1, FALSE), "")</f>
        <v/>
      </c>
    </row>
    <row r="888" spans="1:7" x14ac:dyDescent="0.25">
      <c r="A888" t="s">
        <v>1335</v>
      </c>
      <c r="B888" t="s">
        <v>2634</v>
      </c>
      <c r="C888">
        <v>51.372655752499902</v>
      </c>
      <c r="D888">
        <v>-0.1931654575</v>
      </c>
      <c r="E888" t="s">
        <v>673</v>
      </c>
      <c r="F888">
        <v>40</v>
      </c>
      <c r="G888" t="str">
        <f>IFERROR(VLOOKUP(B888, Churches!H:H, 1, FALSE), "")</f>
        <v/>
      </c>
    </row>
    <row r="889" spans="1:7" x14ac:dyDescent="0.25">
      <c r="A889" t="s">
        <v>1458</v>
      </c>
      <c r="B889" t="s">
        <v>2635</v>
      </c>
      <c r="C889">
        <v>51.630545954545397</v>
      </c>
      <c r="D889">
        <v>-0.17068329090909001</v>
      </c>
      <c r="F889">
        <v>11</v>
      </c>
      <c r="G889" t="str">
        <f>IFERROR(VLOOKUP(B889, Churches!H:H, 1, FALSE), "")</f>
        <v/>
      </c>
    </row>
    <row r="890" spans="1:7" x14ac:dyDescent="0.25">
      <c r="A890" t="s">
        <v>1459</v>
      </c>
      <c r="B890" t="s">
        <v>2636</v>
      </c>
      <c r="C890">
        <v>51.5133125714285</v>
      </c>
      <c r="D890">
        <v>-0.13447598571428501</v>
      </c>
      <c r="F890">
        <v>7</v>
      </c>
      <c r="G890" t="str">
        <f>IFERROR(VLOOKUP(B890, Churches!H:H, 1, FALSE), "")</f>
        <v/>
      </c>
    </row>
    <row r="891" spans="1:7" x14ac:dyDescent="0.25">
      <c r="A891" t="s">
        <v>961</v>
      </c>
      <c r="B891" t="s">
        <v>2637</v>
      </c>
      <c r="C891">
        <v>51.388093039130403</v>
      </c>
      <c r="D891">
        <v>-0.18138173043478201</v>
      </c>
      <c r="E891" t="s">
        <v>673</v>
      </c>
      <c r="F891">
        <v>23</v>
      </c>
      <c r="G891" t="str">
        <f>IFERROR(VLOOKUP(B891, Churches!H:H, 1, FALSE), "")</f>
        <v/>
      </c>
    </row>
    <row r="892" spans="1:7" x14ac:dyDescent="0.25">
      <c r="A892" t="s">
        <v>1460</v>
      </c>
      <c r="B892" t="s">
        <v>2638</v>
      </c>
      <c r="C892">
        <v>51.4566695866666</v>
      </c>
      <c r="D892">
        <v>-0.29572417333333301</v>
      </c>
      <c r="E892" t="s">
        <v>673</v>
      </c>
      <c r="F892">
        <v>15</v>
      </c>
      <c r="G892" t="str">
        <f>IFERROR(VLOOKUP(B892, Churches!H:H, 1, FALSE), "")</f>
        <v/>
      </c>
    </row>
    <row r="893" spans="1:7" x14ac:dyDescent="0.25">
      <c r="A893" t="s">
        <v>1461</v>
      </c>
      <c r="B893" t="s">
        <v>2275</v>
      </c>
      <c r="C893">
        <v>51.610492440000002</v>
      </c>
      <c r="D893">
        <v>-6.6615139999999906E-2</v>
      </c>
      <c r="F893">
        <v>5</v>
      </c>
      <c r="G893" t="str">
        <f>IFERROR(VLOOKUP(B893, Churches!H:H, 1, FALSE), "")</f>
        <v/>
      </c>
    </row>
    <row r="894" spans="1:7" x14ac:dyDescent="0.25">
      <c r="A894" t="s">
        <v>1462</v>
      </c>
      <c r="B894" t="s">
        <v>2639</v>
      </c>
      <c r="C894">
        <v>51.639649499999898</v>
      </c>
      <c r="D894">
        <v>-0.16143750000000001</v>
      </c>
      <c r="F894">
        <v>9</v>
      </c>
      <c r="G894" t="str">
        <f>IFERROR(VLOOKUP(B894, Churches!H:H, 1, FALSE), "")</f>
        <v/>
      </c>
    </row>
    <row r="895" spans="1:7" x14ac:dyDescent="0.25">
      <c r="A895" t="s">
        <v>1463</v>
      </c>
      <c r="B895" t="s">
        <v>2640</v>
      </c>
      <c r="C895">
        <v>51.480422779999898</v>
      </c>
      <c r="D895">
        <v>-9.7960719999999994E-3</v>
      </c>
      <c r="E895" t="s">
        <v>673</v>
      </c>
      <c r="F895">
        <v>25</v>
      </c>
      <c r="G895" t="str">
        <f>IFERROR(VLOOKUP(B895, Churches!H:H, 1, FALSE), "")</f>
        <v/>
      </c>
    </row>
    <row r="896" spans="1:7" x14ac:dyDescent="0.25">
      <c r="A896" t="s">
        <v>1464</v>
      </c>
      <c r="B896" t="s">
        <v>2641</v>
      </c>
      <c r="C896">
        <v>51.635303181818102</v>
      </c>
      <c r="D896">
        <v>-0.156104854545454</v>
      </c>
      <c r="F896">
        <v>11</v>
      </c>
      <c r="G896" t="str">
        <f>IFERROR(VLOOKUP(B896, Churches!H:H, 1, FALSE), "")</f>
        <v/>
      </c>
    </row>
    <row r="897" spans="1:7" x14ac:dyDescent="0.25">
      <c r="A897" t="s">
        <v>1076</v>
      </c>
      <c r="B897" t="s">
        <v>2275</v>
      </c>
      <c r="C897">
        <v>51.528749663636297</v>
      </c>
      <c r="D897">
        <v>-1.6652690909090901E-2</v>
      </c>
      <c r="F897">
        <v>11</v>
      </c>
      <c r="G897" t="str">
        <f>IFERROR(VLOOKUP(B897, Churches!H:H, 1, FALSE), "")</f>
        <v/>
      </c>
    </row>
    <row r="898" spans="1:7" x14ac:dyDescent="0.25">
      <c r="A898" t="s">
        <v>750</v>
      </c>
      <c r="B898" t="s">
        <v>2275</v>
      </c>
      <c r="C898">
        <v>51.485415976923001</v>
      </c>
      <c r="D898">
        <v>5.1213923076923002E-3</v>
      </c>
      <c r="E898" t="s">
        <v>673</v>
      </c>
      <c r="F898">
        <v>13</v>
      </c>
      <c r="G898" t="str">
        <f>IFERROR(VLOOKUP(B898, Churches!H:H, 1, FALSE), "")</f>
        <v/>
      </c>
    </row>
    <row r="899" spans="1:7" x14ac:dyDescent="0.25">
      <c r="A899" t="s">
        <v>1465</v>
      </c>
      <c r="B899" t="s">
        <v>2642</v>
      </c>
      <c r="C899">
        <v>51.504904271428501</v>
      </c>
      <c r="D899">
        <v>-0.136863471428571</v>
      </c>
      <c r="E899" t="s">
        <v>673</v>
      </c>
      <c r="F899">
        <v>7</v>
      </c>
      <c r="G899" t="str">
        <f>IFERROR(VLOOKUP(B899, Churches!H:H, 1, FALSE), "")</f>
        <v/>
      </c>
    </row>
    <row r="900" spans="1:7" x14ac:dyDescent="0.25">
      <c r="A900" t="s">
        <v>1466</v>
      </c>
      <c r="B900" t="s">
        <v>2275</v>
      </c>
      <c r="C900">
        <v>51.4817887782608</v>
      </c>
      <c r="D900">
        <v>3.5753869565217297E-2</v>
      </c>
      <c r="F900">
        <v>23</v>
      </c>
      <c r="G900" t="str">
        <f>IFERROR(VLOOKUP(B900, Churches!H:H, 1, FALSE), "")</f>
        <v/>
      </c>
    </row>
    <row r="901" spans="1:7" x14ac:dyDescent="0.25">
      <c r="A901" t="s">
        <v>1467</v>
      </c>
      <c r="B901" t="s">
        <v>2643</v>
      </c>
      <c r="C901">
        <v>51.587148669999998</v>
      </c>
      <c r="D901">
        <v>6.2507300000000003E-3</v>
      </c>
      <c r="E901" t="s">
        <v>673</v>
      </c>
      <c r="F901">
        <v>10</v>
      </c>
      <c r="G901" t="str">
        <f>IFERROR(VLOOKUP(B901, Churches!H:H, 1, FALSE), "")</f>
        <v/>
      </c>
    </row>
    <row r="902" spans="1:7" x14ac:dyDescent="0.25">
      <c r="A902" t="s">
        <v>1468</v>
      </c>
      <c r="B902" t="s">
        <v>2644</v>
      </c>
      <c r="C902">
        <v>51.378312637500002</v>
      </c>
      <c r="D902">
        <v>-0.100987156249999</v>
      </c>
      <c r="E902" t="s">
        <v>673</v>
      </c>
      <c r="F902">
        <v>32</v>
      </c>
      <c r="G902" t="str">
        <f>IFERROR(VLOOKUP(B902, Churches!H:H, 1, FALSE), "")</f>
        <v/>
      </c>
    </row>
    <row r="903" spans="1:7" x14ac:dyDescent="0.25">
      <c r="A903" t="s">
        <v>994</v>
      </c>
      <c r="B903" t="s">
        <v>2645</v>
      </c>
      <c r="C903">
        <v>51.375317584615303</v>
      </c>
      <c r="D903">
        <v>-0.10600268461538399</v>
      </c>
      <c r="F903">
        <v>13</v>
      </c>
      <c r="G903" t="str">
        <f>IFERROR(VLOOKUP(B903, Churches!H:H, 1, FALSE), "")</f>
        <v/>
      </c>
    </row>
    <row r="904" spans="1:7" x14ac:dyDescent="0.25">
      <c r="A904" t="s">
        <v>1469</v>
      </c>
      <c r="B904" t="s">
        <v>2646</v>
      </c>
      <c r="C904">
        <v>51.564901544444403</v>
      </c>
      <c r="D904">
        <v>-0.44398172222222199</v>
      </c>
      <c r="F904">
        <v>9</v>
      </c>
      <c r="G904" t="str">
        <f>IFERROR(VLOOKUP(B904, Churches!H:H, 1, FALSE), "")</f>
        <v/>
      </c>
    </row>
    <row r="905" spans="1:7" x14ac:dyDescent="0.25">
      <c r="A905" t="s">
        <v>1470</v>
      </c>
      <c r="B905" t="s">
        <v>2275</v>
      </c>
      <c r="C905">
        <v>51.515488775000001</v>
      </c>
      <c r="D905">
        <v>-8.20253499999999E-2</v>
      </c>
      <c r="E905" t="s">
        <v>673</v>
      </c>
      <c r="F905">
        <v>12</v>
      </c>
      <c r="G905" t="str">
        <f>IFERROR(VLOOKUP(B905, Churches!H:H, 1, FALSE), "")</f>
        <v/>
      </c>
    </row>
    <row r="906" spans="1:7" x14ac:dyDescent="0.25">
      <c r="A906" t="s">
        <v>1471</v>
      </c>
      <c r="B906" t="s">
        <v>2275</v>
      </c>
      <c r="C906">
        <v>51.512463183333303</v>
      </c>
      <c r="D906">
        <v>-8.6250158333333299E-2</v>
      </c>
      <c r="E906" t="s">
        <v>673</v>
      </c>
      <c r="F906">
        <v>12</v>
      </c>
      <c r="G906" t="str">
        <f>IFERROR(VLOOKUP(B906, Churches!H:H, 1, FALSE), "")</f>
        <v/>
      </c>
    </row>
    <row r="907" spans="1:7" x14ac:dyDescent="0.25">
      <c r="A907" t="s">
        <v>1472</v>
      </c>
      <c r="B907" t="s">
        <v>2275</v>
      </c>
      <c r="C907">
        <v>51.513225766666601</v>
      </c>
      <c r="D907">
        <v>-8.4591844444444397E-2</v>
      </c>
      <c r="F907">
        <v>9</v>
      </c>
      <c r="G907" t="str">
        <f>IFERROR(VLOOKUP(B907, Churches!H:H, 1, FALSE), "")</f>
        <v/>
      </c>
    </row>
    <row r="908" spans="1:7" x14ac:dyDescent="0.25">
      <c r="A908" t="s">
        <v>1473</v>
      </c>
      <c r="B908" t="s">
        <v>2647</v>
      </c>
      <c r="C908">
        <v>51.516490599999997</v>
      </c>
      <c r="D908">
        <v>-9.6366129999999994E-2</v>
      </c>
      <c r="E908" t="s">
        <v>673</v>
      </c>
      <c r="F908">
        <v>10</v>
      </c>
      <c r="G908" t="str">
        <f>IFERROR(VLOOKUP(B908, Churches!H:H, 1, FALSE), "")</f>
        <v/>
      </c>
    </row>
    <row r="909" spans="1:7" x14ac:dyDescent="0.25">
      <c r="A909" t="s">
        <v>1474</v>
      </c>
      <c r="B909" t="s">
        <v>2275</v>
      </c>
      <c r="C909">
        <v>51.5169825083333</v>
      </c>
      <c r="D909">
        <v>-9.73005166666666E-2</v>
      </c>
      <c r="F909">
        <v>12</v>
      </c>
      <c r="G909" t="str">
        <f>IFERROR(VLOOKUP(B909, Churches!H:H, 1, FALSE), "")</f>
        <v/>
      </c>
    </row>
    <row r="910" spans="1:7" x14ac:dyDescent="0.25">
      <c r="A910" t="s">
        <v>1475</v>
      </c>
      <c r="B910" t="s">
        <v>2648</v>
      </c>
      <c r="C910">
        <v>51.51301935</v>
      </c>
      <c r="D910">
        <v>-0.17658643571428501</v>
      </c>
      <c r="E910" t="s">
        <v>673</v>
      </c>
      <c r="F910">
        <v>14</v>
      </c>
      <c r="G910" t="str">
        <f>IFERROR(VLOOKUP(B910, Churches!H:H, 1, FALSE), "")</f>
        <v/>
      </c>
    </row>
    <row r="911" spans="1:7" x14ac:dyDescent="0.25">
      <c r="A911" t="s">
        <v>780</v>
      </c>
      <c r="B911" t="s">
        <v>2649</v>
      </c>
      <c r="C911">
        <v>51.471785481250002</v>
      </c>
      <c r="D911">
        <v>-0.11717095625</v>
      </c>
      <c r="F911">
        <v>16</v>
      </c>
      <c r="G911" t="str">
        <f>IFERROR(VLOOKUP(B911, Churches!H:H, 1, FALSE), "")</f>
        <v/>
      </c>
    </row>
    <row r="912" spans="1:7" x14ac:dyDescent="0.25">
      <c r="A912" t="s">
        <v>1400</v>
      </c>
      <c r="B912" t="s">
        <v>2275</v>
      </c>
      <c r="C912">
        <v>51.365747842857097</v>
      </c>
      <c r="D912">
        <v>-6.1448642857142802E-3</v>
      </c>
      <c r="E912" t="s">
        <v>673</v>
      </c>
      <c r="F912">
        <v>14</v>
      </c>
      <c r="G912" t="str">
        <f>IFERROR(VLOOKUP(B912, Churches!H:H, 1, FALSE), "")</f>
        <v/>
      </c>
    </row>
    <row r="913" spans="1:7" x14ac:dyDescent="0.25">
      <c r="A913" t="s">
        <v>1476</v>
      </c>
      <c r="B913" t="s">
        <v>2275</v>
      </c>
      <c r="C913">
        <v>51.358407726666599</v>
      </c>
      <c r="D913">
        <v>-3.2239266666666599E-2</v>
      </c>
      <c r="E913" t="s">
        <v>673</v>
      </c>
      <c r="F913">
        <v>15</v>
      </c>
      <c r="G913" t="str">
        <f>IFERROR(VLOOKUP(B913, Churches!H:H, 1, FALSE), "")</f>
        <v/>
      </c>
    </row>
    <row r="914" spans="1:7" x14ac:dyDescent="0.25">
      <c r="A914" t="s">
        <v>961</v>
      </c>
      <c r="B914" t="s">
        <v>2275</v>
      </c>
      <c r="C914">
        <v>51.3633699947368</v>
      </c>
      <c r="D914">
        <v>-9.54929105263157E-2</v>
      </c>
      <c r="E914" t="s">
        <v>673</v>
      </c>
      <c r="F914">
        <v>19</v>
      </c>
      <c r="G914" t="str">
        <f>IFERROR(VLOOKUP(B914, Churches!H:H, 1, FALSE), "")</f>
        <v/>
      </c>
    </row>
    <row r="915" spans="1:7" x14ac:dyDescent="0.25">
      <c r="A915" t="s">
        <v>704</v>
      </c>
      <c r="B915" t="s">
        <v>2650</v>
      </c>
      <c r="C915">
        <v>51.511490868749902</v>
      </c>
      <c r="D915">
        <v>-0.12377295625</v>
      </c>
      <c r="E915" t="s">
        <v>673</v>
      </c>
      <c r="F915">
        <v>16</v>
      </c>
      <c r="G915" t="str">
        <f>IFERROR(VLOOKUP(B915, Churches!H:H, 1, FALSE), "")</f>
        <v/>
      </c>
    </row>
    <row r="916" spans="1:7" x14ac:dyDescent="0.25">
      <c r="A916" t="s">
        <v>693</v>
      </c>
      <c r="B916" t="s">
        <v>2651</v>
      </c>
      <c r="C916">
        <v>51.353162328571401</v>
      </c>
      <c r="D916">
        <v>-0.13401940000000001</v>
      </c>
      <c r="E916" t="s">
        <v>673</v>
      </c>
      <c r="F916">
        <v>7</v>
      </c>
      <c r="G916" t="str">
        <f>IFERROR(VLOOKUP(B916, Churches!H:H, 1, FALSE), "")</f>
        <v/>
      </c>
    </row>
    <row r="917" spans="1:7" x14ac:dyDescent="0.25">
      <c r="A917" t="s">
        <v>1477</v>
      </c>
      <c r="B917" t="s">
        <v>2652</v>
      </c>
      <c r="C917">
        <v>51.516570836585302</v>
      </c>
      <c r="D917">
        <v>-0.1129255</v>
      </c>
      <c r="F917">
        <v>41</v>
      </c>
      <c r="G917" t="str">
        <f>IFERROR(VLOOKUP(B917, Churches!H:H, 1, FALSE), "")</f>
        <v/>
      </c>
    </row>
    <row r="918" spans="1:7" x14ac:dyDescent="0.25">
      <c r="A918" t="s">
        <v>1478</v>
      </c>
      <c r="B918" t="s">
        <v>2275</v>
      </c>
      <c r="C918">
        <v>51.576787684615297</v>
      </c>
      <c r="D918">
        <v>1.0835384615384599E-2</v>
      </c>
      <c r="F918">
        <v>13</v>
      </c>
      <c r="G918" t="str">
        <f>IFERROR(VLOOKUP(B918, Churches!H:H, 1, FALSE), "")</f>
        <v/>
      </c>
    </row>
    <row r="919" spans="1:7" x14ac:dyDescent="0.25">
      <c r="A919" t="s">
        <v>1479</v>
      </c>
      <c r="B919" t="s">
        <v>2653</v>
      </c>
      <c r="C919">
        <v>51.478191771428499</v>
      </c>
      <c r="D919">
        <v>-0.20265051428571401</v>
      </c>
      <c r="F919">
        <v>7</v>
      </c>
      <c r="G919" t="str">
        <f>IFERROR(VLOOKUP(B919, Churches!H:H, 1, FALSE), "")</f>
        <v/>
      </c>
    </row>
    <row r="920" spans="1:7" x14ac:dyDescent="0.25">
      <c r="A920" t="s">
        <v>1074</v>
      </c>
      <c r="B920" t="s">
        <v>2654</v>
      </c>
      <c r="C920">
        <v>51.432298727272702</v>
      </c>
      <c r="D920">
        <v>-0.10343479090909</v>
      </c>
      <c r="E920" t="s">
        <v>673</v>
      </c>
      <c r="F920">
        <v>11</v>
      </c>
      <c r="G920" t="str">
        <f>IFERROR(VLOOKUP(B920, Churches!H:H, 1, FALSE), "")</f>
        <v/>
      </c>
    </row>
    <row r="921" spans="1:7" x14ac:dyDescent="0.25">
      <c r="A921" t="s">
        <v>1480</v>
      </c>
      <c r="B921" t="s">
        <v>2275</v>
      </c>
      <c r="C921">
        <v>51.465045046153797</v>
      </c>
      <c r="D921">
        <v>-3.0606715384615301E-2</v>
      </c>
      <c r="F921">
        <v>13</v>
      </c>
      <c r="G921" t="str">
        <f>IFERROR(VLOOKUP(B921, Churches!H:H, 1, FALSE), "")</f>
        <v/>
      </c>
    </row>
    <row r="922" spans="1:7" x14ac:dyDescent="0.25">
      <c r="A922" t="s">
        <v>1481</v>
      </c>
      <c r="B922" t="s">
        <v>2655</v>
      </c>
      <c r="C922">
        <v>51.56492815</v>
      </c>
      <c r="D922">
        <v>-6.8826125000000002E-2</v>
      </c>
      <c r="F922">
        <v>8</v>
      </c>
      <c r="G922" t="str">
        <f>IFERROR(VLOOKUP(B922, Churches!H:H, 1, FALSE), "")</f>
        <v/>
      </c>
    </row>
    <row r="923" spans="1:7" x14ac:dyDescent="0.25">
      <c r="A923" t="s">
        <v>1482</v>
      </c>
      <c r="B923" t="s">
        <v>2656</v>
      </c>
      <c r="C923">
        <v>51.649514099999998</v>
      </c>
      <c r="D923">
        <v>-0.16969680000000001</v>
      </c>
      <c r="F923">
        <v>15</v>
      </c>
      <c r="G923" t="str">
        <f>IFERROR(VLOOKUP(B923, Churches!H:H, 1, FALSE), "")</f>
        <v/>
      </c>
    </row>
    <row r="924" spans="1:7" x14ac:dyDescent="0.25">
      <c r="A924" t="s">
        <v>1483</v>
      </c>
      <c r="B924" t="s">
        <v>2657</v>
      </c>
      <c r="C924">
        <v>51.651524517646997</v>
      </c>
      <c r="D924">
        <v>-0.15234450588235199</v>
      </c>
      <c r="E924" t="s">
        <v>673</v>
      </c>
      <c r="F924">
        <v>17</v>
      </c>
      <c r="G924" t="str">
        <f>IFERROR(VLOOKUP(B924, Churches!H:H, 1, FALSE), "")</f>
        <v/>
      </c>
    </row>
    <row r="925" spans="1:7" x14ac:dyDescent="0.25">
      <c r="A925" t="s">
        <v>1484</v>
      </c>
      <c r="B925" t="s">
        <v>2658</v>
      </c>
      <c r="C925">
        <v>51.563846040000001</v>
      </c>
      <c r="D925">
        <v>-0.12884519999999999</v>
      </c>
      <c r="F925">
        <v>5</v>
      </c>
      <c r="G925" t="str">
        <f>IFERROR(VLOOKUP(B925, Churches!H:H, 1, FALSE), "")</f>
        <v/>
      </c>
    </row>
    <row r="926" spans="1:7" x14ac:dyDescent="0.25">
      <c r="A926" t="s">
        <v>1485</v>
      </c>
      <c r="B926" t="s">
        <v>2275</v>
      </c>
      <c r="C926">
        <v>51.467689490476197</v>
      </c>
      <c r="D926">
        <v>-4.4395242857142803E-2</v>
      </c>
      <c r="E926" t="s">
        <v>673</v>
      </c>
      <c r="F926">
        <v>21</v>
      </c>
      <c r="G926" t="str">
        <f>IFERROR(VLOOKUP(B926, Churches!H:H, 1, FALSE), "")</f>
        <v/>
      </c>
    </row>
    <row r="927" spans="1:7" x14ac:dyDescent="0.25">
      <c r="A927" t="s">
        <v>1266</v>
      </c>
      <c r="B927" t="s">
        <v>2659</v>
      </c>
      <c r="C927">
        <v>51.4970751785714</v>
      </c>
      <c r="D927">
        <v>-0.13071058571428501</v>
      </c>
      <c r="E927" t="s">
        <v>673</v>
      </c>
      <c r="F927">
        <v>14</v>
      </c>
      <c r="G927" t="str">
        <f>IFERROR(VLOOKUP(B927, Churches!H:H, 1, FALSE), "")</f>
        <v/>
      </c>
    </row>
    <row r="928" spans="1:7" x14ac:dyDescent="0.25">
      <c r="A928" t="s">
        <v>1486</v>
      </c>
      <c r="B928" t="s">
        <v>2660</v>
      </c>
      <c r="C928">
        <v>51.307713324999902</v>
      </c>
      <c r="D928">
        <v>-0.11808336</v>
      </c>
      <c r="E928" t="s">
        <v>673</v>
      </c>
      <c r="F928">
        <v>20</v>
      </c>
      <c r="G928" t="str">
        <f>IFERROR(VLOOKUP(B928, Churches!H:H, 1, FALSE), "")</f>
        <v/>
      </c>
    </row>
    <row r="929" spans="1:7" x14ac:dyDescent="0.25">
      <c r="A929" t="s">
        <v>1487</v>
      </c>
      <c r="B929" t="s">
        <v>2661</v>
      </c>
      <c r="C929">
        <v>51.506491711111103</v>
      </c>
      <c r="D929">
        <v>0.21744191666666601</v>
      </c>
      <c r="F929">
        <v>18</v>
      </c>
      <c r="G929" t="str">
        <f>IFERROR(VLOOKUP(B929, Churches!H:H, 1, FALSE), "")</f>
        <v/>
      </c>
    </row>
    <row r="930" spans="1:7" x14ac:dyDescent="0.25">
      <c r="A930" t="s">
        <v>1488</v>
      </c>
      <c r="B930" t="s">
        <v>2662</v>
      </c>
      <c r="C930">
        <v>51.518304376922998</v>
      </c>
      <c r="D930">
        <v>0.190582176923076</v>
      </c>
      <c r="F930">
        <v>13</v>
      </c>
      <c r="G930" t="str">
        <f>IFERROR(VLOOKUP(B930, Churches!H:H, 1, FALSE), "")</f>
        <v/>
      </c>
    </row>
    <row r="931" spans="1:7" x14ac:dyDescent="0.25">
      <c r="A931" t="s">
        <v>1489</v>
      </c>
      <c r="B931" t="s">
        <v>2663</v>
      </c>
      <c r="C931">
        <v>51.461448587500001</v>
      </c>
      <c r="D931">
        <v>-0.1609278375</v>
      </c>
      <c r="E931" t="s">
        <v>673</v>
      </c>
      <c r="F931">
        <v>8</v>
      </c>
      <c r="G931" t="str">
        <f>IFERROR(VLOOKUP(B931, Churches!H:H, 1, FALSE), "")</f>
        <v/>
      </c>
    </row>
    <row r="932" spans="1:7" x14ac:dyDescent="0.25">
      <c r="A932" t="s">
        <v>1490</v>
      </c>
      <c r="B932" t="s">
        <v>2664</v>
      </c>
      <c r="C932">
        <v>51.515484999999998</v>
      </c>
      <c r="D932">
        <v>-0.168209346153846</v>
      </c>
      <c r="F932">
        <v>13</v>
      </c>
      <c r="G932" t="str">
        <f>IFERROR(VLOOKUP(B932, Churches!H:H, 1, FALSE), "")</f>
        <v/>
      </c>
    </row>
    <row r="933" spans="1:7" x14ac:dyDescent="0.25">
      <c r="A933" t="s">
        <v>1491</v>
      </c>
      <c r="B933" t="s">
        <v>2665</v>
      </c>
      <c r="C933">
        <v>51.516191333333303</v>
      </c>
      <c r="D933">
        <v>0.19639931666666599</v>
      </c>
      <c r="F933">
        <v>6</v>
      </c>
      <c r="G933" t="str">
        <f>IFERROR(VLOOKUP(B933, Churches!H:H, 1, FALSE), "")</f>
        <v/>
      </c>
    </row>
    <row r="934" spans="1:7" x14ac:dyDescent="0.25">
      <c r="A934" t="s">
        <v>1146</v>
      </c>
      <c r="B934" t="s">
        <v>2666</v>
      </c>
      <c r="C934">
        <v>51.460461559259201</v>
      </c>
      <c r="D934">
        <v>-0.17017095925925901</v>
      </c>
      <c r="E934" t="s">
        <v>673</v>
      </c>
      <c r="F934">
        <v>27</v>
      </c>
      <c r="G934" t="str">
        <f>IFERROR(VLOOKUP(B934, Churches!H:H, 1, FALSE), "")</f>
        <v/>
      </c>
    </row>
    <row r="935" spans="1:7" x14ac:dyDescent="0.25">
      <c r="A935" t="s">
        <v>1466</v>
      </c>
      <c r="B935" t="s">
        <v>2667</v>
      </c>
      <c r="C935">
        <v>51.452339273684203</v>
      </c>
      <c r="D935">
        <v>-0.156582247368421</v>
      </c>
      <c r="E935" t="s">
        <v>673</v>
      </c>
      <c r="F935">
        <v>19</v>
      </c>
      <c r="G935" t="str">
        <f>IFERROR(VLOOKUP(B935, Churches!H:H, 1, FALSE), "")</f>
        <v/>
      </c>
    </row>
    <row r="936" spans="1:7" x14ac:dyDescent="0.25">
      <c r="A936" t="s">
        <v>1492</v>
      </c>
      <c r="B936" t="s">
        <v>2275</v>
      </c>
      <c r="C936">
        <v>51.481973556521702</v>
      </c>
      <c r="D936">
        <v>-2.2826182608695601E-2</v>
      </c>
      <c r="E936" t="s">
        <v>673</v>
      </c>
      <c r="F936">
        <v>23</v>
      </c>
      <c r="G936" t="str">
        <f>IFERROR(VLOOKUP(B936, Churches!H:H, 1, FALSE), "")</f>
        <v/>
      </c>
    </row>
    <row r="937" spans="1:7" x14ac:dyDescent="0.25">
      <c r="A937" t="s">
        <v>1493</v>
      </c>
      <c r="B937" t="s">
        <v>2275</v>
      </c>
      <c r="C937">
        <v>51.5251503799999</v>
      </c>
      <c r="D937">
        <v>-6.7219359999999895E-2</v>
      </c>
      <c r="F937">
        <v>5</v>
      </c>
      <c r="G937" t="str">
        <f>IFERROR(VLOOKUP(B937, Churches!H:H, 1, FALSE), "")</f>
        <v/>
      </c>
    </row>
    <row r="938" spans="1:7" x14ac:dyDescent="0.25">
      <c r="A938" t="s">
        <v>1494</v>
      </c>
      <c r="B938" t="s">
        <v>2668</v>
      </c>
      <c r="C938">
        <v>51.450722207692301</v>
      </c>
      <c r="D938">
        <v>-0.14936035384615301</v>
      </c>
      <c r="E938" t="s">
        <v>673</v>
      </c>
      <c r="F938">
        <v>13</v>
      </c>
      <c r="G938" t="str">
        <f>IFERROR(VLOOKUP(B938, Churches!H:H, 1, FALSE), "")</f>
        <v/>
      </c>
    </row>
    <row r="939" spans="1:7" x14ac:dyDescent="0.25">
      <c r="A939" t="s">
        <v>1495</v>
      </c>
      <c r="B939" t="s">
        <v>2275</v>
      </c>
      <c r="C939">
        <v>51.397934686666602</v>
      </c>
      <c r="D939">
        <v>-9.2716553333333299E-2</v>
      </c>
      <c r="F939">
        <v>15</v>
      </c>
      <c r="G939" t="str">
        <f>IFERROR(VLOOKUP(B939, Churches!H:H, 1, FALSE), "")</f>
        <v/>
      </c>
    </row>
    <row r="940" spans="1:7" x14ac:dyDescent="0.25">
      <c r="A940" t="s">
        <v>1496</v>
      </c>
      <c r="B940" t="s">
        <v>2669</v>
      </c>
      <c r="C940">
        <v>51.461026199999999</v>
      </c>
      <c r="D940">
        <v>-0.12829634444444399</v>
      </c>
      <c r="F940">
        <v>9</v>
      </c>
      <c r="G940" t="str">
        <f>IFERROR(VLOOKUP(B940, Churches!H:H, 1, FALSE), "")</f>
        <v/>
      </c>
    </row>
    <row r="941" spans="1:7" x14ac:dyDescent="0.25">
      <c r="A941" t="s">
        <v>1497</v>
      </c>
      <c r="B941" t="s">
        <v>2670</v>
      </c>
      <c r="C941">
        <v>51.455319146666596</v>
      </c>
      <c r="D941">
        <v>-0.122528886666666</v>
      </c>
      <c r="F941">
        <v>15</v>
      </c>
      <c r="G941" t="str">
        <f>IFERROR(VLOOKUP(B941, Churches!H:H, 1, FALSE), "")</f>
        <v/>
      </c>
    </row>
    <row r="942" spans="1:7" x14ac:dyDescent="0.25">
      <c r="A942" t="s">
        <v>1498</v>
      </c>
      <c r="B942" t="s">
        <v>2522</v>
      </c>
      <c r="C942">
        <v>51.457549685714199</v>
      </c>
      <c r="D942">
        <v>-0.16753795714285699</v>
      </c>
      <c r="F942">
        <v>7</v>
      </c>
      <c r="G942" t="str">
        <f>IFERROR(VLOOKUP(B942, Churches!H:H, 1, FALSE), "")</f>
        <v/>
      </c>
    </row>
    <row r="943" spans="1:7" x14ac:dyDescent="0.25">
      <c r="A943" t="s">
        <v>1499</v>
      </c>
      <c r="B943" t="s">
        <v>2522</v>
      </c>
      <c r="C943">
        <v>51.454186323076897</v>
      </c>
      <c r="D943">
        <v>-0.166903807692307</v>
      </c>
      <c r="E943" t="s">
        <v>673</v>
      </c>
      <c r="F943">
        <v>13</v>
      </c>
      <c r="G943" t="str">
        <f>IFERROR(VLOOKUP(B943, Churches!H:H, 1, FALSE), "")</f>
        <v/>
      </c>
    </row>
    <row r="944" spans="1:7" x14ac:dyDescent="0.25">
      <c r="A944" t="s">
        <v>1500</v>
      </c>
      <c r="B944" t="s">
        <v>2671</v>
      </c>
      <c r="C944">
        <v>51.488772222222202</v>
      </c>
      <c r="D944">
        <v>-0.11170624444444401</v>
      </c>
      <c r="E944" t="s">
        <v>673</v>
      </c>
      <c r="F944">
        <v>9</v>
      </c>
      <c r="G944" t="str">
        <f>IFERROR(VLOOKUP(B944, Churches!H:H, 1, FALSE), "")</f>
        <v/>
      </c>
    </row>
    <row r="945" spans="1:7" x14ac:dyDescent="0.25">
      <c r="A945" t="s">
        <v>1501</v>
      </c>
      <c r="B945" t="s">
        <v>2672</v>
      </c>
      <c r="C945">
        <v>51.589144645454503</v>
      </c>
      <c r="D945">
        <v>-0.33228986363636298</v>
      </c>
      <c r="F945">
        <v>11</v>
      </c>
      <c r="G945" t="str">
        <f>IFERROR(VLOOKUP(B945, Churches!H:H, 1, FALSE), "")</f>
        <v/>
      </c>
    </row>
    <row r="946" spans="1:7" x14ac:dyDescent="0.25">
      <c r="A946" t="s">
        <v>1502</v>
      </c>
      <c r="B946" t="s">
        <v>2673</v>
      </c>
      <c r="C946">
        <v>51.611463685714199</v>
      </c>
      <c r="D946">
        <v>-0.27872439285714201</v>
      </c>
      <c r="F946">
        <v>14</v>
      </c>
      <c r="G946" t="str">
        <f>IFERROR(VLOOKUP(B946, Churches!H:H, 1, FALSE), "")</f>
        <v/>
      </c>
    </row>
    <row r="947" spans="1:7" x14ac:dyDescent="0.25">
      <c r="A947" t="s">
        <v>750</v>
      </c>
      <c r="B947" t="s">
        <v>2674</v>
      </c>
      <c r="C947">
        <v>51.610862290908997</v>
      </c>
      <c r="D947">
        <v>-0.17484369999999999</v>
      </c>
      <c r="E947" t="s">
        <v>673</v>
      </c>
      <c r="F947">
        <v>11</v>
      </c>
      <c r="G947" t="str">
        <f>IFERROR(VLOOKUP(B947, Churches!H:H, 1, FALSE), "")</f>
        <v/>
      </c>
    </row>
    <row r="948" spans="1:7" x14ac:dyDescent="0.25">
      <c r="A948" t="s">
        <v>1503</v>
      </c>
      <c r="B948" t="s">
        <v>2675</v>
      </c>
      <c r="C948">
        <v>51.613108168421</v>
      </c>
      <c r="D948">
        <v>-0.15442902105263101</v>
      </c>
      <c r="F948">
        <v>19</v>
      </c>
      <c r="G948" t="str">
        <f>IFERROR(VLOOKUP(B948, Churches!H:H, 1, FALSE), "")</f>
        <v/>
      </c>
    </row>
    <row r="949" spans="1:7" x14ac:dyDescent="0.25">
      <c r="A949" t="s">
        <v>1504</v>
      </c>
      <c r="B949" t="s">
        <v>2676</v>
      </c>
      <c r="C949">
        <v>51.615102449999902</v>
      </c>
      <c r="D949">
        <v>-0.14848187999999901</v>
      </c>
      <c r="F949">
        <v>10</v>
      </c>
      <c r="G949" t="str">
        <f>IFERROR(VLOOKUP(B949, Churches!H:H, 1, FALSE), "")</f>
        <v/>
      </c>
    </row>
    <row r="950" spans="1:7" x14ac:dyDescent="0.25">
      <c r="A950" t="s">
        <v>1505</v>
      </c>
      <c r="B950" t="s">
        <v>2677</v>
      </c>
      <c r="C950">
        <v>51.627665871428498</v>
      </c>
      <c r="D950">
        <v>-0.16252161428571399</v>
      </c>
      <c r="F950">
        <v>7</v>
      </c>
      <c r="G950" t="str">
        <f>IFERROR(VLOOKUP(B950, Churches!H:H, 1, FALSE), "")</f>
        <v/>
      </c>
    </row>
    <row r="951" spans="1:7" x14ac:dyDescent="0.25">
      <c r="A951" t="s">
        <v>1506</v>
      </c>
      <c r="B951" t="s">
        <v>2678</v>
      </c>
      <c r="C951">
        <v>51.629211857894703</v>
      </c>
      <c r="D951">
        <v>-0.16647287368420999</v>
      </c>
      <c r="E951" t="s">
        <v>673</v>
      </c>
      <c r="F951">
        <v>19</v>
      </c>
      <c r="G951" t="str">
        <f>IFERROR(VLOOKUP(B951, Churches!H:H, 1, FALSE), "")</f>
        <v/>
      </c>
    </row>
    <row r="952" spans="1:7" x14ac:dyDescent="0.25">
      <c r="A952" t="s">
        <v>1507</v>
      </c>
      <c r="B952" t="s">
        <v>2679</v>
      </c>
      <c r="C952">
        <v>51.471911442857099</v>
      </c>
      <c r="D952">
        <v>0.18885852857142801</v>
      </c>
      <c r="F952">
        <v>7</v>
      </c>
      <c r="G952" t="str">
        <f>IFERROR(VLOOKUP(B952, Churches!H:H, 1, FALSE), "")</f>
        <v/>
      </c>
    </row>
    <row r="953" spans="1:7" x14ac:dyDescent="0.25">
      <c r="A953" t="s">
        <v>725</v>
      </c>
      <c r="B953" t="s">
        <v>2275</v>
      </c>
      <c r="C953">
        <v>51.398402099999998</v>
      </c>
      <c r="D953">
        <v>1.5853755555555502E-2</v>
      </c>
      <c r="E953" t="s">
        <v>673</v>
      </c>
      <c r="F953">
        <v>9</v>
      </c>
      <c r="G953" t="str">
        <f>IFERROR(VLOOKUP(B953, Churches!H:H, 1, FALSE), "")</f>
        <v/>
      </c>
    </row>
    <row r="954" spans="1:7" x14ac:dyDescent="0.25">
      <c r="A954" t="s">
        <v>1508</v>
      </c>
      <c r="B954" t="s">
        <v>2275</v>
      </c>
      <c r="C954">
        <v>51.357858018181801</v>
      </c>
      <c r="D954">
        <v>7.2314890909090906E-2</v>
      </c>
      <c r="F954">
        <v>11</v>
      </c>
      <c r="G954" t="str">
        <f>IFERROR(VLOOKUP(B954, Churches!H:H, 1, FALSE), "")</f>
        <v/>
      </c>
    </row>
    <row r="955" spans="1:7" x14ac:dyDescent="0.25">
      <c r="A955" t="s">
        <v>1509</v>
      </c>
      <c r="B955" t="s">
        <v>2680</v>
      </c>
      <c r="C955">
        <v>51.482675114285698</v>
      </c>
      <c r="D955">
        <v>-0.124432742857142</v>
      </c>
      <c r="E955" t="s">
        <v>673</v>
      </c>
      <c r="F955">
        <v>7</v>
      </c>
      <c r="G955" t="str">
        <f>IFERROR(VLOOKUP(B955, Churches!H:H, 1, FALSE), "")</f>
        <v/>
      </c>
    </row>
    <row r="956" spans="1:7" x14ac:dyDescent="0.25">
      <c r="A956" t="s">
        <v>1510</v>
      </c>
      <c r="B956" t="s">
        <v>2681</v>
      </c>
      <c r="C956">
        <v>51.516543491666603</v>
      </c>
      <c r="D956">
        <v>-4.8402599999999997E-2</v>
      </c>
      <c r="F956">
        <v>12</v>
      </c>
      <c r="G956" t="str">
        <f>IFERROR(VLOOKUP(B956, Churches!H:H, 1, FALSE), "")</f>
        <v/>
      </c>
    </row>
    <row r="957" spans="1:7" x14ac:dyDescent="0.25">
      <c r="A957" t="s">
        <v>750</v>
      </c>
      <c r="B957" t="s">
        <v>2682</v>
      </c>
      <c r="C957">
        <v>51.444552160000001</v>
      </c>
      <c r="D957">
        <v>-0.121604279999999</v>
      </c>
      <c r="E957" t="s">
        <v>673</v>
      </c>
      <c r="F957">
        <v>5</v>
      </c>
      <c r="G957" t="str">
        <f>IFERROR(VLOOKUP(B957, Churches!H:H, 1, FALSE), "")</f>
        <v/>
      </c>
    </row>
    <row r="958" spans="1:7" x14ac:dyDescent="0.25">
      <c r="A958" t="s">
        <v>1069</v>
      </c>
      <c r="B958" t="s">
        <v>2275</v>
      </c>
      <c r="C958">
        <v>51.511233728571398</v>
      </c>
      <c r="D958">
        <v>-5.0675785714285701E-2</v>
      </c>
      <c r="E958" t="s">
        <v>673</v>
      </c>
      <c r="F958">
        <v>7</v>
      </c>
      <c r="G958" t="str">
        <f>IFERROR(VLOOKUP(B958, Churches!H:H, 1, FALSE), "")</f>
        <v/>
      </c>
    </row>
    <row r="959" spans="1:7" x14ac:dyDescent="0.25">
      <c r="A959" t="s">
        <v>1229</v>
      </c>
      <c r="B959" t="s">
        <v>2275</v>
      </c>
      <c r="C959">
        <v>51.511370639999903</v>
      </c>
      <c r="D959">
        <v>-4.1130099999999899E-2</v>
      </c>
      <c r="E959" t="s">
        <v>673</v>
      </c>
      <c r="F959">
        <v>10</v>
      </c>
      <c r="G959" t="str">
        <f>IFERROR(VLOOKUP(B959, Churches!H:H, 1, FALSE), "")</f>
        <v/>
      </c>
    </row>
    <row r="960" spans="1:7" x14ac:dyDescent="0.25">
      <c r="A960" t="s">
        <v>1511</v>
      </c>
      <c r="B960" t="s">
        <v>2261</v>
      </c>
      <c r="C960">
        <v>51.3981925</v>
      </c>
      <c r="D960">
        <v>-0.23593521249999999</v>
      </c>
      <c r="E960" t="s">
        <v>673</v>
      </c>
      <c r="F960">
        <v>8</v>
      </c>
      <c r="G960" t="str">
        <f>IFERROR(VLOOKUP(B960, Churches!H:H, 1, FALSE), "")</f>
        <v/>
      </c>
    </row>
    <row r="961" spans="1:7" x14ac:dyDescent="0.25">
      <c r="A961" t="s">
        <v>1512</v>
      </c>
      <c r="B961" t="s">
        <v>2683</v>
      </c>
      <c r="C961">
        <v>51.511647371428502</v>
      </c>
      <c r="D961">
        <v>-0.37524864285714199</v>
      </c>
      <c r="F961">
        <v>7</v>
      </c>
      <c r="G961" t="str">
        <f>IFERROR(VLOOKUP(B961, Churches!H:H, 1, FALSE), "")</f>
        <v/>
      </c>
    </row>
    <row r="962" spans="1:7" x14ac:dyDescent="0.25">
      <c r="A962" t="s">
        <v>1513</v>
      </c>
      <c r="B962" t="s">
        <v>2684</v>
      </c>
      <c r="C962">
        <v>51.506871739999902</v>
      </c>
      <c r="D962">
        <v>-0.37768565999999998</v>
      </c>
      <c r="F962">
        <v>5</v>
      </c>
      <c r="G962" t="str">
        <f>IFERROR(VLOOKUP(B962, Churches!H:H, 1, FALSE), "")</f>
        <v/>
      </c>
    </row>
    <row r="963" spans="1:7" x14ac:dyDescent="0.25">
      <c r="A963" t="s">
        <v>1514</v>
      </c>
      <c r="B963" t="s">
        <v>2685</v>
      </c>
      <c r="C963">
        <v>51.51005</v>
      </c>
      <c r="D963">
        <v>-0.38129619999999997</v>
      </c>
      <c r="F963">
        <v>5</v>
      </c>
      <c r="G963" t="str">
        <f>IFERROR(VLOOKUP(B963, Churches!H:H, 1, FALSE), "")</f>
        <v/>
      </c>
    </row>
    <row r="964" spans="1:7" x14ac:dyDescent="0.25">
      <c r="A964" t="s">
        <v>1515</v>
      </c>
      <c r="B964" t="s">
        <v>2686</v>
      </c>
      <c r="C964">
        <v>51.510000233333301</v>
      </c>
      <c r="D964">
        <v>-0.38088841666666601</v>
      </c>
      <c r="F964">
        <v>6</v>
      </c>
      <c r="G964" t="str">
        <f>IFERROR(VLOOKUP(B964, Churches!H:H, 1, FALSE), "")</f>
        <v/>
      </c>
    </row>
    <row r="965" spans="1:7" x14ac:dyDescent="0.25">
      <c r="A965" t="s">
        <v>1516</v>
      </c>
      <c r="B965" t="s">
        <v>2687</v>
      </c>
      <c r="C965">
        <v>51.5077627285714</v>
      </c>
      <c r="D965">
        <v>-0.37461832857142802</v>
      </c>
      <c r="F965">
        <v>7</v>
      </c>
      <c r="G965" t="str">
        <f>IFERROR(VLOOKUP(B965, Churches!H:H, 1, FALSE), "")</f>
        <v/>
      </c>
    </row>
    <row r="966" spans="1:7" x14ac:dyDescent="0.25">
      <c r="A966" t="s">
        <v>1517</v>
      </c>
      <c r="B966" t="s">
        <v>2688</v>
      </c>
      <c r="C966">
        <v>51.500379779999903</v>
      </c>
      <c r="D966">
        <v>-0.38106267999999999</v>
      </c>
      <c r="F966">
        <v>5</v>
      </c>
      <c r="G966" t="str">
        <f>IFERROR(VLOOKUP(B966, Churches!H:H, 1, FALSE), "")</f>
        <v/>
      </c>
    </row>
    <row r="967" spans="1:7" x14ac:dyDescent="0.25">
      <c r="A967" t="s">
        <v>1518</v>
      </c>
      <c r="B967" t="s">
        <v>2689</v>
      </c>
      <c r="C967">
        <v>51.501510283333303</v>
      </c>
      <c r="D967">
        <v>-0.38275948333333298</v>
      </c>
      <c r="F967">
        <v>6</v>
      </c>
      <c r="G967" t="str">
        <f>IFERROR(VLOOKUP(B967, Churches!H:H, 1, FALSE), "")</f>
        <v/>
      </c>
    </row>
    <row r="968" spans="1:7" x14ac:dyDescent="0.25">
      <c r="A968" t="s">
        <v>1519</v>
      </c>
      <c r="B968" t="s">
        <v>2690</v>
      </c>
      <c r="C968">
        <v>51.518971269999902</v>
      </c>
      <c r="D968">
        <v>-0.138260305</v>
      </c>
      <c r="F968">
        <v>20</v>
      </c>
      <c r="G968" t="str">
        <f>IFERROR(VLOOKUP(B968, Churches!H:H, 1, FALSE), "")</f>
        <v/>
      </c>
    </row>
    <row r="969" spans="1:7" x14ac:dyDescent="0.25">
      <c r="A969" t="s">
        <v>1520</v>
      </c>
      <c r="B969" t="s">
        <v>2275</v>
      </c>
      <c r="C969">
        <v>51.589683880000003</v>
      </c>
      <c r="D969">
        <v>-1.90389999999999E-2</v>
      </c>
      <c r="F969">
        <v>5</v>
      </c>
      <c r="G969" t="str">
        <f>IFERROR(VLOOKUP(B969, Churches!H:H, 1, FALSE), "")</f>
        <v/>
      </c>
    </row>
    <row r="970" spans="1:7" x14ac:dyDescent="0.25">
      <c r="A970" t="s">
        <v>713</v>
      </c>
      <c r="B970" t="s">
        <v>2275</v>
      </c>
      <c r="C970">
        <v>51.654151041176398</v>
      </c>
      <c r="D970">
        <v>-9.7026311764705803E-2</v>
      </c>
      <c r="F970">
        <v>17</v>
      </c>
      <c r="G970" t="str">
        <f>IFERROR(VLOOKUP(B970, Churches!H:H, 1, FALSE), "")</f>
        <v/>
      </c>
    </row>
    <row r="971" spans="1:7" x14ac:dyDescent="0.25">
      <c r="A971" t="s">
        <v>1521</v>
      </c>
      <c r="B971" t="s">
        <v>2275</v>
      </c>
      <c r="C971">
        <v>51.509733677777703</v>
      </c>
      <c r="D971">
        <v>1.84994111111111E-2</v>
      </c>
      <c r="F971">
        <v>9</v>
      </c>
      <c r="G971" t="str">
        <f>IFERROR(VLOOKUP(B971, Churches!H:H, 1, FALSE), "")</f>
        <v/>
      </c>
    </row>
    <row r="972" spans="1:7" x14ac:dyDescent="0.25">
      <c r="A972" t="s">
        <v>1522</v>
      </c>
      <c r="B972" t="s">
        <v>2691</v>
      </c>
      <c r="C972">
        <v>51.58435573125</v>
      </c>
      <c r="D972">
        <v>-1.487413125E-2</v>
      </c>
      <c r="F972">
        <v>16</v>
      </c>
      <c r="G972" t="str">
        <f>IFERROR(VLOOKUP(B972, Churches!H:H, 1, FALSE), "")</f>
        <v/>
      </c>
    </row>
    <row r="973" spans="1:7" x14ac:dyDescent="0.25">
      <c r="A973" t="s">
        <v>1523</v>
      </c>
      <c r="B973" t="s">
        <v>2275</v>
      </c>
      <c r="C973">
        <v>51.585440822222203</v>
      </c>
      <c r="D973">
        <v>-1.55176111111111E-2</v>
      </c>
      <c r="F973">
        <v>9</v>
      </c>
      <c r="G973" t="str">
        <f>IFERROR(VLOOKUP(B973, Churches!H:H, 1, FALSE), "")</f>
        <v/>
      </c>
    </row>
    <row r="974" spans="1:7" x14ac:dyDescent="0.25">
      <c r="A974" t="s">
        <v>1524</v>
      </c>
      <c r="B974" t="s">
        <v>2275</v>
      </c>
      <c r="C974">
        <v>51.583815414285702</v>
      </c>
      <c r="D974">
        <v>-1.45326428571428E-2</v>
      </c>
      <c r="F974">
        <v>7</v>
      </c>
      <c r="G974" t="str">
        <f>IFERROR(VLOOKUP(B974, Churches!H:H, 1, FALSE), "")</f>
        <v/>
      </c>
    </row>
    <row r="975" spans="1:7" x14ac:dyDescent="0.25">
      <c r="A975" t="s">
        <v>1525</v>
      </c>
      <c r="B975" t="s">
        <v>2275</v>
      </c>
      <c r="C975">
        <v>51.348315707692301</v>
      </c>
      <c r="D975">
        <v>3.5309215384615303E-2</v>
      </c>
      <c r="E975" t="s">
        <v>673</v>
      </c>
      <c r="F975">
        <v>13</v>
      </c>
      <c r="G975" t="str">
        <f>IFERROR(VLOOKUP(B975, Churches!H:H, 1, FALSE), "")</f>
        <v/>
      </c>
    </row>
    <row r="976" spans="1:7" x14ac:dyDescent="0.25">
      <c r="A976" t="s">
        <v>1526</v>
      </c>
      <c r="B976" t="s">
        <v>2275</v>
      </c>
      <c r="C976">
        <v>51.584869168421001</v>
      </c>
      <c r="D976">
        <v>-2.7536957894736799E-2</v>
      </c>
      <c r="F976">
        <v>19</v>
      </c>
      <c r="G976" t="str">
        <f>IFERROR(VLOOKUP(B976, Churches!H:H, 1, FALSE), "")</f>
        <v/>
      </c>
    </row>
    <row r="977" spans="1:7" x14ac:dyDescent="0.25">
      <c r="A977" t="s">
        <v>1527</v>
      </c>
      <c r="B977" t="s">
        <v>2275</v>
      </c>
      <c r="C977">
        <v>51.514217231578897</v>
      </c>
      <c r="D977">
        <v>-5.5375315789473597E-3</v>
      </c>
      <c r="E977" t="s">
        <v>673</v>
      </c>
      <c r="F977">
        <v>19</v>
      </c>
      <c r="G977" t="str">
        <f>IFERROR(VLOOKUP(B977, Churches!H:H, 1, FALSE), "")</f>
        <v/>
      </c>
    </row>
    <row r="978" spans="1:7" x14ac:dyDescent="0.25">
      <c r="A978" t="s">
        <v>1528</v>
      </c>
      <c r="B978" t="s">
        <v>2275</v>
      </c>
      <c r="C978">
        <v>51.513069454545402</v>
      </c>
      <c r="D978">
        <v>-3.2915454545454498E-2</v>
      </c>
      <c r="F978">
        <v>11</v>
      </c>
      <c r="G978" t="str">
        <f>IFERROR(VLOOKUP(B978, Churches!H:H, 1, FALSE), "")</f>
        <v/>
      </c>
    </row>
    <row r="979" spans="1:7" x14ac:dyDescent="0.25">
      <c r="A979" t="s">
        <v>1529</v>
      </c>
      <c r="B979" t="s">
        <v>2275</v>
      </c>
      <c r="C979">
        <v>51.582012738461501</v>
      </c>
      <c r="D979">
        <v>-1.52111615384615E-2</v>
      </c>
      <c r="F979">
        <v>13</v>
      </c>
      <c r="G979" t="str">
        <f>IFERROR(VLOOKUP(B979, Churches!H:H, 1, FALSE), "")</f>
        <v/>
      </c>
    </row>
    <row r="980" spans="1:7" x14ac:dyDescent="0.25">
      <c r="A980" t="s">
        <v>1530</v>
      </c>
      <c r="B980" t="s">
        <v>2691</v>
      </c>
      <c r="C980">
        <v>51.584148413333303</v>
      </c>
      <c r="D980">
        <v>-1.2266579999999999E-2</v>
      </c>
      <c r="F980">
        <v>15</v>
      </c>
      <c r="G980" t="str">
        <f>IFERROR(VLOOKUP(B980, Churches!H:H, 1, FALSE), "")</f>
        <v/>
      </c>
    </row>
    <row r="981" spans="1:7" x14ac:dyDescent="0.25">
      <c r="A981" t="s">
        <v>676</v>
      </c>
      <c r="B981" t="s">
        <v>2275</v>
      </c>
      <c r="C981">
        <v>51.5893157</v>
      </c>
      <c r="D981">
        <v>3.0395171428571399E-2</v>
      </c>
      <c r="E981" t="s">
        <v>673</v>
      </c>
      <c r="F981">
        <v>14</v>
      </c>
      <c r="G981" t="str">
        <f>IFERROR(VLOOKUP(B981, Churches!H:H, 1, FALSE), "")</f>
        <v/>
      </c>
    </row>
    <row r="982" spans="1:7" x14ac:dyDescent="0.25">
      <c r="A982" t="s">
        <v>1400</v>
      </c>
      <c r="B982" t="s">
        <v>2275</v>
      </c>
      <c r="C982">
        <v>51.597067586666597</v>
      </c>
      <c r="D982">
        <v>-1.4781126666666601E-2</v>
      </c>
      <c r="E982" t="s">
        <v>673</v>
      </c>
      <c r="F982">
        <v>15</v>
      </c>
      <c r="G982" t="str">
        <f>IFERROR(VLOOKUP(B982, Churches!H:H, 1, FALSE), "")</f>
        <v/>
      </c>
    </row>
    <row r="983" spans="1:7" x14ac:dyDescent="0.25">
      <c r="A983" t="s">
        <v>961</v>
      </c>
      <c r="B983" t="s">
        <v>645</v>
      </c>
      <c r="C983">
        <v>51.507002893749998</v>
      </c>
      <c r="D983">
        <v>-2.3904993749999999E-2</v>
      </c>
      <c r="F983">
        <v>16</v>
      </c>
    </row>
    <row r="984" spans="1:7" x14ac:dyDescent="0.25">
      <c r="A984" t="s">
        <v>1531</v>
      </c>
      <c r="B984" t="s">
        <v>2692</v>
      </c>
      <c r="C984">
        <v>51.602921500000001</v>
      </c>
      <c r="D984">
        <v>-0.26271805999999998</v>
      </c>
      <c r="F984">
        <v>5</v>
      </c>
      <c r="G984" t="str">
        <f>IFERROR(VLOOKUP(B984, Churches!H:H, 1, FALSE), "")</f>
        <v/>
      </c>
    </row>
    <row r="985" spans="1:7" x14ac:dyDescent="0.25">
      <c r="A985" t="s">
        <v>1532</v>
      </c>
      <c r="B985" t="s">
        <v>2693</v>
      </c>
      <c r="C985">
        <v>51.583060449999998</v>
      </c>
      <c r="D985">
        <v>-0.21609920714285699</v>
      </c>
      <c r="F985">
        <v>14</v>
      </c>
      <c r="G985" t="str">
        <f>IFERROR(VLOOKUP(B985, Churches!H:H, 1, FALSE), "")</f>
        <v/>
      </c>
    </row>
    <row r="986" spans="1:7" x14ac:dyDescent="0.25">
      <c r="A986" t="s">
        <v>1533</v>
      </c>
      <c r="B986" t="s">
        <v>2694</v>
      </c>
      <c r="C986">
        <v>51.586481249999999</v>
      </c>
      <c r="D986">
        <v>-0.21996853333333299</v>
      </c>
      <c r="F986">
        <v>6</v>
      </c>
      <c r="G986" t="str">
        <f>IFERROR(VLOOKUP(B986, Churches!H:H, 1, FALSE), "")</f>
        <v/>
      </c>
    </row>
    <row r="987" spans="1:7" x14ac:dyDescent="0.25">
      <c r="A987" t="s">
        <v>1534</v>
      </c>
      <c r="B987" t="s">
        <v>2695</v>
      </c>
      <c r="C987">
        <v>51.435029845454501</v>
      </c>
      <c r="D987">
        <v>-0.40086017272727198</v>
      </c>
      <c r="E987" t="s">
        <v>673</v>
      </c>
      <c r="F987">
        <v>11</v>
      </c>
      <c r="G987" t="str">
        <f>IFERROR(VLOOKUP(B987, Churches!H:H, 1, FALSE), "")</f>
        <v/>
      </c>
    </row>
    <row r="988" spans="1:7" x14ac:dyDescent="0.25">
      <c r="A988" t="s">
        <v>1535</v>
      </c>
      <c r="B988" t="s">
        <v>2696</v>
      </c>
      <c r="C988">
        <v>51.595217311111099</v>
      </c>
      <c r="D988">
        <v>-0.18927044444444399</v>
      </c>
      <c r="F988">
        <v>9</v>
      </c>
      <c r="G988" t="str">
        <f>IFERROR(VLOOKUP(B988, Churches!H:H, 1, FALSE), "")</f>
        <v/>
      </c>
    </row>
    <row r="989" spans="1:7" x14ac:dyDescent="0.25">
      <c r="A989" t="s">
        <v>1536</v>
      </c>
      <c r="B989" t="s">
        <v>2697</v>
      </c>
      <c r="C989">
        <v>51.498093211111097</v>
      </c>
      <c r="D989">
        <v>-0.395080044444444</v>
      </c>
      <c r="F989">
        <v>9</v>
      </c>
      <c r="G989" t="str">
        <f>IFERROR(VLOOKUP(B989, Churches!H:H, 1, FALSE), "")</f>
        <v/>
      </c>
    </row>
    <row r="990" spans="1:7" x14ac:dyDescent="0.25">
      <c r="A990" t="s">
        <v>1537</v>
      </c>
      <c r="B990" t="s">
        <v>2698</v>
      </c>
      <c r="C990">
        <v>51.602927929411699</v>
      </c>
      <c r="D990">
        <v>-0.18657962352941099</v>
      </c>
      <c r="F990">
        <v>17</v>
      </c>
      <c r="G990" t="str">
        <f>IFERROR(VLOOKUP(B990, Churches!H:H, 1, FALSE), "")</f>
        <v/>
      </c>
    </row>
    <row r="991" spans="1:7" x14ac:dyDescent="0.25">
      <c r="A991" t="s">
        <v>1538</v>
      </c>
      <c r="B991" t="s">
        <v>2699</v>
      </c>
      <c r="C991">
        <v>51.611471711111101</v>
      </c>
      <c r="D991">
        <v>-0.17613664444444399</v>
      </c>
      <c r="F991">
        <v>9</v>
      </c>
      <c r="G991" t="str">
        <f>IFERROR(VLOOKUP(B991, Churches!H:H, 1, FALSE), "")</f>
        <v/>
      </c>
    </row>
    <row r="992" spans="1:7" x14ac:dyDescent="0.25">
      <c r="A992" t="s">
        <v>1539</v>
      </c>
      <c r="B992" t="s">
        <v>2700</v>
      </c>
      <c r="C992">
        <v>51.6077872222222</v>
      </c>
      <c r="D992">
        <v>-0.181055377777777</v>
      </c>
      <c r="F992">
        <v>9</v>
      </c>
      <c r="G992" t="str">
        <f>IFERROR(VLOOKUP(B992, Churches!H:H, 1, FALSE), "")</f>
        <v/>
      </c>
    </row>
    <row r="993" spans="1:7" x14ac:dyDescent="0.25">
      <c r="A993" t="s">
        <v>1540</v>
      </c>
      <c r="B993" t="s">
        <v>2701</v>
      </c>
      <c r="C993">
        <v>51.510517944444402</v>
      </c>
      <c r="D993">
        <v>-0.119855533333333</v>
      </c>
      <c r="E993" t="s">
        <v>673</v>
      </c>
      <c r="F993">
        <v>9</v>
      </c>
      <c r="G993" t="str">
        <f>IFERROR(VLOOKUP(B993, Churches!H:H, 1, FALSE), "")</f>
        <v/>
      </c>
    </row>
    <row r="994" spans="1:7" x14ac:dyDescent="0.25">
      <c r="A994" t="s">
        <v>1541</v>
      </c>
      <c r="B994" t="s">
        <v>2275</v>
      </c>
      <c r="C994">
        <v>51.5952864461538</v>
      </c>
      <c r="D994">
        <v>5.2609276923076903E-2</v>
      </c>
      <c r="F994">
        <v>13</v>
      </c>
      <c r="G994" t="str">
        <f>IFERROR(VLOOKUP(B994, Churches!H:H, 1, FALSE), "")</f>
        <v/>
      </c>
    </row>
    <row r="995" spans="1:7" x14ac:dyDescent="0.25">
      <c r="A995" t="s">
        <v>1136</v>
      </c>
      <c r="B995" t="s">
        <v>2275</v>
      </c>
      <c r="C995">
        <v>51.3711524</v>
      </c>
      <c r="D995">
        <v>-4.9622476923076898E-2</v>
      </c>
      <c r="E995" t="s">
        <v>673</v>
      </c>
      <c r="F995">
        <v>13</v>
      </c>
      <c r="G995" t="str">
        <f>IFERROR(VLOOKUP(B995, Churches!H:H, 1, FALSE), "")</f>
        <v/>
      </c>
    </row>
    <row r="996" spans="1:7" x14ac:dyDescent="0.25">
      <c r="A996" t="s">
        <v>1542</v>
      </c>
      <c r="B996" t="s">
        <v>2275</v>
      </c>
      <c r="C996">
        <v>51.578748599999997</v>
      </c>
      <c r="D996">
        <v>-2.5341505263157899E-2</v>
      </c>
      <c r="F996">
        <v>19</v>
      </c>
      <c r="G996" t="str">
        <f>IFERROR(VLOOKUP(B996, Churches!H:H, 1, FALSE), "")</f>
        <v/>
      </c>
    </row>
    <row r="997" spans="1:7" x14ac:dyDescent="0.25">
      <c r="A997" t="s">
        <v>1543</v>
      </c>
      <c r="B997" t="s">
        <v>2275</v>
      </c>
      <c r="C997">
        <v>51.336628926315697</v>
      </c>
      <c r="D997">
        <v>-7.5654078947368406E-2</v>
      </c>
      <c r="E997" t="s">
        <v>673</v>
      </c>
      <c r="F997">
        <v>19</v>
      </c>
      <c r="G997" t="str">
        <f>IFERROR(VLOOKUP(B997, Churches!H:H, 1, FALSE), "")</f>
        <v/>
      </c>
    </row>
    <row r="998" spans="1:7" x14ac:dyDescent="0.25">
      <c r="A998" t="s">
        <v>1544</v>
      </c>
      <c r="B998" t="s">
        <v>2702</v>
      </c>
      <c r="C998">
        <v>51.342360839999998</v>
      </c>
      <c r="D998">
        <v>-6.5971119999999994E-2</v>
      </c>
      <c r="E998" t="s">
        <v>673</v>
      </c>
      <c r="F998">
        <v>15</v>
      </c>
      <c r="G998" t="str">
        <f>IFERROR(VLOOKUP(B998, Churches!H:H, 1, FALSE), "")</f>
        <v/>
      </c>
    </row>
    <row r="999" spans="1:7" x14ac:dyDescent="0.25">
      <c r="A999" t="s">
        <v>1545</v>
      </c>
      <c r="B999" t="s">
        <v>2275</v>
      </c>
      <c r="C999">
        <v>51.344414347058802</v>
      </c>
      <c r="D999">
        <v>-9.3541970588235296E-2</v>
      </c>
      <c r="E999" t="s">
        <v>673</v>
      </c>
      <c r="F999">
        <v>17</v>
      </c>
      <c r="G999" t="str">
        <f>IFERROR(VLOOKUP(B999, Churches!H:H, 1, FALSE), "")</f>
        <v/>
      </c>
    </row>
    <row r="1000" spans="1:7" x14ac:dyDescent="0.25">
      <c r="A1000" t="s">
        <v>1546</v>
      </c>
      <c r="B1000" t="s">
        <v>2703</v>
      </c>
      <c r="C1000">
        <v>51.522114979999898</v>
      </c>
      <c r="D1000">
        <v>-0.37815157999999999</v>
      </c>
      <c r="F1000">
        <v>5</v>
      </c>
      <c r="G1000" t="str">
        <f>IFERROR(VLOOKUP(B1000, Churches!H:H, 1, FALSE), "")</f>
        <v/>
      </c>
    </row>
    <row r="1001" spans="1:7" x14ac:dyDescent="0.25">
      <c r="A1001" t="s">
        <v>1547</v>
      </c>
      <c r="B1001" t="s">
        <v>2691</v>
      </c>
      <c r="C1001">
        <v>51.589237779999898</v>
      </c>
      <c r="D1001">
        <v>-5.4158599999999998E-3</v>
      </c>
      <c r="E1001" t="s">
        <v>673</v>
      </c>
      <c r="F1001">
        <v>15</v>
      </c>
      <c r="G1001" t="str">
        <f>IFERROR(VLOOKUP(B1001, Churches!H:H, 1, FALSE), "")</f>
        <v/>
      </c>
    </row>
    <row r="1002" spans="1:7" x14ac:dyDescent="0.25">
      <c r="A1002" t="s">
        <v>1548</v>
      </c>
      <c r="B1002" t="s">
        <v>2704</v>
      </c>
      <c r="C1002">
        <v>51.476540399999998</v>
      </c>
      <c r="D1002">
        <v>-0.17546728421052599</v>
      </c>
      <c r="E1002" t="s">
        <v>673</v>
      </c>
      <c r="F1002">
        <v>19</v>
      </c>
      <c r="G1002" t="str">
        <f>IFERROR(VLOOKUP(B1002, Churches!H:H, 1, FALSE), "")</f>
        <v/>
      </c>
    </row>
    <row r="1003" spans="1:7" x14ac:dyDescent="0.25">
      <c r="A1003" t="s">
        <v>1549</v>
      </c>
      <c r="B1003" t="s">
        <v>2705</v>
      </c>
      <c r="C1003">
        <v>51.407886536842099</v>
      </c>
      <c r="D1003">
        <v>-0.139928894736842</v>
      </c>
      <c r="F1003">
        <v>19</v>
      </c>
      <c r="G1003" t="str">
        <f>IFERROR(VLOOKUP(B1003, Churches!H:H, 1, FALSE), "")</f>
        <v/>
      </c>
    </row>
    <row r="1004" spans="1:7" x14ac:dyDescent="0.25">
      <c r="A1004" t="s">
        <v>1550</v>
      </c>
      <c r="B1004" t="s">
        <v>2706</v>
      </c>
      <c r="C1004">
        <v>51.555757911111101</v>
      </c>
      <c r="D1004">
        <v>0.24795248888888799</v>
      </c>
      <c r="E1004" t="s">
        <v>673</v>
      </c>
      <c r="F1004">
        <v>9</v>
      </c>
      <c r="G1004" t="str">
        <f>IFERROR(VLOOKUP(B1004, Churches!H:H, 1, FALSE), "")</f>
        <v/>
      </c>
    </row>
    <row r="1005" spans="1:7" x14ac:dyDescent="0.25">
      <c r="A1005" t="s">
        <v>1551</v>
      </c>
      <c r="B1005" t="s">
        <v>2707</v>
      </c>
      <c r="C1005">
        <v>51.587643862499903</v>
      </c>
      <c r="D1005">
        <v>0.2015586375</v>
      </c>
      <c r="E1005" t="s">
        <v>673</v>
      </c>
      <c r="F1005">
        <v>8</v>
      </c>
      <c r="G1005" t="str">
        <f>IFERROR(VLOOKUP(B1005, Churches!H:H, 1, FALSE), "")</f>
        <v/>
      </c>
    </row>
    <row r="1006" spans="1:7" x14ac:dyDescent="0.25">
      <c r="A1006" t="s">
        <v>1552</v>
      </c>
      <c r="B1006" t="s">
        <v>2275</v>
      </c>
      <c r="C1006">
        <v>51.532545928571402</v>
      </c>
      <c r="D1006">
        <v>5.2296742857142801E-2</v>
      </c>
      <c r="E1006" t="s">
        <v>673</v>
      </c>
      <c r="F1006">
        <v>7</v>
      </c>
      <c r="G1006" t="str">
        <f>IFERROR(VLOOKUP(B1006, Churches!H:H, 1, FALSE), "")</f>
        <v/>
      </c>
    </row>
    <row r="1007" spans="1:7" x14ac:dyDescent="0.25">
      <c r="A1007" t="s">
        <v>1553</v>
      </c>
      <c r="B1007" t="s">
        <v>2708</v>
      </c>
      <c r="C1007">
        <v>51.517522790908998</v>
      </c>
      <c r="D1007">
        <v>-0.32983466363636299</v>
      </c>
      <c r="F1007">
        <v>11</v>
      </c>
      <c r="G1007" t="str">
        <f>IFERROR(VLOOKUP(B1007, Churches!H:H, 1, FALSE), "")</f>
        <v/>
      </c>
    </row>
    <row r="1008" spans="1:7" x14ac:dyDescent="0.25">
      <c r="A1008" t="s">
        <v>1554</v>
      </c>
      <c r="B1008" t="s">
        <v>2709</v>
      </c>
      <c r="C1008">
        <v>51.522432379999998</v>
      </c>
      <c r="D1008">
        <v>-0.33848958000000001</v>
      </c>
      <c r="E1008" t="s">
        <v>673</v>
      </c>
      <c r="F1008">
        <v>5</v>
      </c>
      <c r="G1008" t="str">
        <f>IFERROR(VLOOKUP(B1008, Churches!H:H, 1, FALSE), "")</f>
        <v/>
      </c>
    </row>
    <row r="1009" spans="1:7" x14ac:dyDescent="0.25">
      <c r="A1009" t="s">
        <v>725</v>
      </c>
      <c r="B1009" t="s">
        <v>2710</v>
      </c>
      <c r="C1009">
        <v>51.518371484615301</v>
      </c>
      <c r="D1009">
        <v>-0.16661143076922999</v>
      </c>
      <c r="E1009" t="s">
        <v>673</v>
      </c>
      <c r="F1009">
        <v>13</v>
      </c>
      <c r="G1009" t="str">
        <f>IFERROR(VLOOKUP(B1009, Churches!H:H, 1, FALSE), "")</f>
        <v/>
      </c>
    </row>
    <row r="1010" spans="1:7" x14ac:dyDescent="0.25">
      <c r="A1010" t="s">
        <v>1555</v>
      </c>
      <c r="B1010" t="s">
        <v>2412</v>
      </c>
      <c r="C1010">
        <v>51.617774599999898</v>
      </c>
      <c r="D1010">
        <v>-0.22688839999999999</v>
      </c>
      <c r="F1010">
        <v>15</v>
      </c>
      <c r="G1010" t="str">
        <f>IFERROR(VLOOKUP(B1010, Churches!H:H, 1, FALSE), "")</f>
        <v/>
      </c>
    </row>
    <row r="1011" spans="1:7" x14ac:dyDescent="0.25">
      <c r="A1011" t="s">
        <v>1014</v>
      </c>
      <c r="B1011" t="s">
        <v>2711</v>
      </c>
      <c r="C1011">
        <v>51.415984912499901</v>
      </c>
      <c r="D1011">
        <v>-7.3081868750000001E-2</v>
      </c>
      <c r="E1011" t="s">
        <v>673</v>
      </c>
      <c r="F1011">
        <v>16</v>
      </c>
      <c r="G1011" t="str">
        <f>IFERROR(VLOOKUP(B1011, Churches!H:H, 1, FALSE), "")</f>
        <v/>
      </c>
    </row>
    <row r="1012" spans="1:7" x14ac:dyDescent="0.25">
      <c r="A1012" t="s">
        <v>1556</v>
      </c>
      <c r="B1012" t="s">
        <v>2712</v>
      </c>
      <c r="C1012">
        <v>51.496884899999998</v>
      </c>
      <c r="D1012">
        <v>-0.25625934</v>
      </c>
      <c r="F1012">
        <v>5</v>
      </c>
      <c r="G1012" t="str">
        <f>IFERROR(VLOOKUP(B1012, Churches!H:H, 1, FALSE), "")</f>
        <v/>
      </c>
    </row>
    <row r="1013" spans="1:7" x14ac:dyDescent="0.25">
      <c r="A1013" t="s">
        <v>1557</v>
      </c>
      <c r="B1013" t="s">
        <v>2713</v>
      </c>
      <c r="C1013">
        <v>51.494680000000002</v>
      </c>
      <c r="D1013">
        <v>-0.22997019999999899</v>
      </c>
      <c r="E1013" t="s">
        <v>673</v>
      </c>
      <c r="F1013">
        <v>7</v>
      </c>
      <c r="G1013" t="str">
        <f>IFERROR(VLOOKUP(B1013, Churches!H:H, 1, FALSE), "")</f>
        <v/>
      </c>
    </row>
    <row r="1014" spans="1:7" x14ac:dyDescent="0.25">
      <c r="A1014" t="s">
        <v>1558</v>
      </c>
      <c r="B1014" t="s">
        <v>2714</v>
      </c>
      <c r="C1014">
        <v>51.485915438461497</v>
      </c>
      <c r="D1014">
        <v>-0.25054339230769201</v>
      </c>
      <c r="E1014" t="s">
        <v>673</v>
      </c>
      <c r="F1014">
        <v>13</v>
      </c>
      <c r="G1014" t="str">
        <f>IFERROR(VLOOKUP(B1014, Churches!H:H, 1, FALSE), "")</f>
        <v/>
      </c>
    </row>
    <row r="1015" spans="1:7" x14ac:dyDescent="0.25">
      <c r="A1015" t="s">
        <v>1559</v>
      </c>
      <c r="B1015" t="s">
        <v>2715</v>
      </c>
      <c r="C1015">
        <v>51.577579499999899</v>
      </c>
      <c r="D1015">
        <v>4.5030800000000003E-2</v>
      </c>
      <c r="F1015">
        <v>6</v>
      </c>
      <c r="G1015" t="str">
        <f>IFERROR(VLOOKUP(B1015, Churches!H:H, 1, FALSE), "")</f>
        <v/>
      </c>
    </row>
    <row r="1016" spans="1:7" x14ac:dyDescent="0.25">
      <c r="A1016" t="s">
        <v>1560</v>
      </c>
      <c r="B1016" t="s">
        <v>2716</v>
      </c>
      <c r="C1016">
        <v>51.6007611</v>
      </c>
      <c r="D1016">
        <v>-8.8306659999999995E-2</v>
      </c>
      <c r="F1016">
        <v>5</v>
      </c>
      <c r="G1016" t="str">
        <f>IFERROR(VLOOKUP(B1016, Churches!H:H, 1, FALSE), "")</f>
        <v/>
      </c>
    </row>
    <row r="1017" spans="1:7" x14ac:dyDescent="0.25">
      <c r="A1017" t="s">
        <v>1561</v>
      </c>
      <c r="B1017" t="s">
        <v>2275</v>
      </c>
      <c r="C1017">
        <v>51.582630979999998</v>
      </c>
      <c r="D1017">
        <v>-7.1579299999999901E-2</v>
      </c>
      <c r="F1017">
        <v>5</v>
      </c>
      <c r="G1017" t="str">
        <f>IFERROR(VLOOKUP(B1017, Churches!H:H, 1, FALSE), "")</f>
        <v/>
      </c>
    </row>
    <row r="1018" spans="1:7" x14ac:dyDescent="0.25">
      <c r="A1018" t="s">
        <v>1562</v>
      </c>
      <c r="B1018" t="s">
        <v>2275</v>
      </c>
      <c r="C1018">
        <v>51.586396957142803</v>
      </c>
      <c r="D1018">
        <v>-4.6438285714285703E-3</v>
      </c>
      <c r="F1018">
        <v>7</v>
      </c>
      <c r="G1018" t="str">
        <f>IFERROR(VLOOKUP(B1018, Churches!H:H, 1, FALSE), "")</f>
        <v/>
      </c>
    </row>
    <row r="1019" spans="1:7" x14ac:dyDescent="0.25">
      <c r="A1019" t="s">
        <v>1563</v>
      </c>
      <c r="B1019" t="s">
        <v>2717</v>
      </c>
      <c r="C1019">
        <v>51.590092470000002</v>
      </c>
      <c r="D1019">
        <v>-3.69031E-3</v>
      </c>
      <c r="F1019">
        <v>10</v>
      </c>
      <c r="G1019" t="str">
        <f>IFERROR(VLOOKUP(B1019, Churches!H:H, 1, FALSE), "")</f>
        <v/>
      </c>
    </row>
    <row r="1020" spans="1:7" x14ac:dyDescent="0.25">
      <c r="A1020" t="s">
        <v>1564</v>
      </c>
      <c r="B1020" t="s">
        <v>2275</v>
      </c>
      <c r="C1020">
        <v>51.589123766666603</v>
      </c>
      <c r="D1020">
        <v>-1.01474444444444E-3</v>
      </c>
      <c r="F1020">
        <v>9</v>
      </c>
      <c r="G1020" t="str">
        <f>IFERROR(VLOOKUP(B1020, Churches!H:H, 1, FALSE), "")</f>
        <v/>
      </c>
    </row>
    <row r="1021" spans="1:7" x14ac:dyDescent="0.25">
      <c r="A1021" t="s">
        <v>887</v>
      </c>
      <c r="B1021" t="s">
        <v>2718</v>
      </c>
      <c r="C1021">
        <v>51.368012316666601</v>
      </c>
      <c r="D1021">
        <v>-0.102418675</v>
      </c>
      <c r="E1021" t="s">
        <v>673</v>
      </c>
      <c r="F1021">
        <v>12</v>
      </c>
      <c r="G1021" t="str">
        <f>IFERROR(VLOOKUP(B1021, Churches!H:H, 1, FALSE), "")</f>
        <v/>
      </c>
    </row>
    <row r="1022" spans="1:7" x14ac:dyDescent="0.25">
      <c r="A1022" t="s">
        <v>821</v>
      </c>
      <c r="B1022" t="s">
        <v>2275</v>
      </c>
      <c r="C1022">
        <v>51.322055115789396</v>
      </c>
      <c r="D1022">
        <v>-9.9540742105263105E-2</v>
      </c>
      <c r="E1022" t="s">
        <v>673</v>
      </c>
      <c r="F1022">
        <v>19</v>
      </c>
      <c r="G1022" t="str">
        <f>IFERROR(VLOOKUP(B1022, Churches!H:H, 1, FALSE), "")</f>
        <v/>
      </c>
    </row>
    <row r="1023" spans="1:7" x14ac:dyDescent="0.25">
      <c r="A1023" t="s">
        <v>1565</v>
      </c>
      <c r="B1023" t="s">
        <v>2719</v>
      </c>
      <c r="C1023">
        <v>51.550972386956502</v>
      </c>
      <c r="D1023">
        <v>-0.33281348695652102</v>
      </c>
      <c r="E1023" t="s">
        <v>673</v>
      </c>
      <c r="F1023">
        <v>23</v>
      </c>
      <c r="G1023" t="str">
        <f>IFERROR(VLOOKUP(B1023, Churches!H:H, 1, FALSE), "")</f>
        <v/>
      </c>
    </row>
    <row r="1024" spans="1:7" x14ac:dyDescent="0.25">
      <c r="A1024" t="s">
        <v>1566</v>
      </c>
      <c r="B1024" t="s">
        <v>2720</v>
      </c>
      <c r="C1024">
        <v>51.514853180000003</v>
      </c>
      <c r="D1024">
        <v>-8.8798619999999995E-2</v>
      </c>
      <c r="F1024">
        <v>5</v>
      </c>
      <c r="G1024" t="str">
        <f>IFERROR(VLOOKUP(B1024, Churches!H:H, 1, FALSE), "")</f>
        <v/>
      </c>
    </row>
    <row r="1025" spans="1:7" x14ac:dyDescent="0.25">
      <c r="A1025" t="s">
        <v>1359</v>
      </c>
      <c r="B1025" t="s">
        <v>2721</v>
      </c>
      <c r="C1025">
        <v>51.535758739999999</v>
      </c>
      <c r="D1025">
        <v>-0.35066414000000001</v>
      </c>
      <c r="E1025" t="s">
        <v>673</v>
      </c>
      <c r="F1025">
        <v>5</v>
      </c>
      <c r="G1025" t="str">
        <f>IFERROR(VLOOKUP(B1025, Churches!H:H, 1, FALSE), "")</f>
        <v/>
      </c>
    </row>
    <row r="1026" spans="1:7" x14ac:dyDescent="0.25">
      <c r="A1026" t="s">
        <v>1567</v>
      </c>
      <c r="B1026" t="s">
        <v>2722</v>
      </c>
      <c r="C1026">
        <v>51.531607899999997</v>
      </c>
      <c r="D1026">
        <v>-0.35327421999999897</v>
      </c>
      <c r="F1026">
        <v>10</v>
      </c>
      <c r="G1026" t="str">
        <f>IFERROR(VLOOKUP(B1026, Churches!H:H, 1, FALSE), "")</f>
        <v/>
      </c>
    </row>
    <row r="1027" spans="1:7" x14ac:dyDescent="0.25">
      <c r="A1027" t="s">
        <v>1568</v>
      </c>
      <c r="B1027" t="s">
        <v>2723</v>
      </c>
      <c r="C1027">
        <v>51.513803328571399</v>
      </c>
      <c r="D1027">
        <v>-0.34744918571428501</v>
      </c>
      <c r="E1027" t="s">
        <v>673</v>
      </c>
      <c r="F1027">
        <v>7</v>
      </c>
      <c r="G1027" t="str">
        <f>IFERROR(VLOOKUP(B1027, Churches!H:H, 1, FALSE), "")</f>
        <v/>
      </c>
    </row>
    <row r="1028" spans="1:7" x14ac:dyDescent="0.25">
      <c r="A1028" t="s">
        <v>1569</v>
      </c>
      <c r="B1028" t="s">
        <v>2275</v>
      </c>
      <c r="C1028">
        <v>51.320326946666597</v>
      </c>
      <c r="D1028">
        <v>7.2212493333333294E-2</v>
      </c>
      <c r="E1028" t="s">
        <v>673</v>
      </c>
      <c r="F1028">
        <v>15</v>
      </c>
      <c r="G1028" t="str">
        <f>IFERROR(VLOOKUP(B1028, Churches!H:H, 1, FALSE), "")</f>
        <v/>
      </c>
    </row>
    <row r="1029" spans="1:7" x14ac:dyDescent="0.25">
      <c r="A1029" t="s">
        <v>1229</v>
      </c>
      <c r="B1029" t="s">
        <v>2724</v>
      </c>
      <c r="C1029">
        <v>51.507284300000002</v>
      </c>
      <c r="D1029">
        <v>-0.349598559999999</v>
      </c>
      <c r="F1029">
        <v>15</v>
      </c>
      <c r="G1029" t="str">
        <f>IFERROR(VLOOKUP(B1029, Churches!H:H, 1, FALSE), "")</f>
        <v/>
      </c>
    </row>
    <row r="1030" spans="1:7" x14ac:dyDescent="0.25">
      <c r="A1030" t="s">
        <v>1229</v>
      </c>
      <c r="B1030" t="s">
        <v>2725</v>
      </c>
      <c r="C1030">
        <v>51.521977620000001</v>
      </c>
      <c r="D1030">
        <v>-0.35969308</v>
      </c>
      <c r="F1030">
        <v>5</v>
      </c>
      <c r="G1030" t="str">
        <f>IFERROR(VLOOKUP(B1030, Churches!H:H, 1, FALSE), "")</f>
        <v/>
      </c>
    </row>
    <row r="1031" spans="1:7" x14ac:dyDescent="0.25">
      <c r="A1031" t="s">
        <v>1570</v>
      </c>
      <c r="B1031" t="s">
        <v>2726</v>
      </c>
      <c r="C1031">
        <v>51.526184113333301</v>
      </c>
      <c r="D1031">
        <v>-0.36593190666666597</v>
      </c>
      <c r="F1031">
        <v>15</v>
      </c>
      <c r="G1031" t="str">
        <f>IFERROR(VLOOKUP(B1031, Churches!H:H, 1, FALSE), "")</f>
        <v/>
      </c>
    </row>
    <row r="1032" spans="1:7" x14ac:dyDescent="0.25">
      <c r="A1032" t="s">
        <v>1175</v>
      </c>
      <c r="B1032" t="s">
        <v>2727</v>
      </c>
      <c r="C1032">
        <v>51.543849771428498</v>
      </c>
      <c r="D1032">
        <v>-0.36892944285714202</v>
      </c>
      <c r="E1032" t="s">
        <v>673</v>
      </c>
      <c r="F1032">
        <v>7</v>
      </c>
      <c r="G1032" t="str">
        <f>IFERROR(VLOOKUP(B1032, Churches!H:H, 1, FALSE), "")</f>
        <v/>
      </c>
    </row>
    <row r="1033" spans="1:7" x14ac:dyDescent="0.25">
      <c r="A1033" t="s">
        <v>1571</v>
      </c>
      <c r="B1033" t="s">
        <v>2275</v>
      </c>
      <c r="C1033">
        <v>51.40989519</v>
      </c>
      <c r="D1033">
        <v>7.5156899999999902E-2</v>
      </c>
      <c r="E1033" t="s">
        <v>673</v>
      </c>
      <c r="F1033">
        <v>10</v>
      </c>
      <c r="G1033" t="str">
        <f>IFERROR(VLOOKUP(B1033, Churches!H:H, 1, FALSE), "")</f>
        <v/>
      </c>
    </row>
    <row r="1034" spans="1:7" x14ac:dyDescent="0.25">
      <c r="A1034" t="s">
        <v>1296</v>
      </c>
      <c r="B1034" t="s">
        <v>2728</v>
      </c>
      <c r="C1034">
        <v>51.550269857142801</v>
      </c>
      <c r="D1034">
        <v>-0.35323981428571399</v>
      </c>
      <c r="E1034" t="s">
        <v>673</v>
      </c>
      <c r="F1034">
        <v>14</v>
      </c>
      <c r="G1034" t="str">
        <f>IFERROR(VLOOKUP(B1034, Churches!H:H, 1, FALSE), "")</f>
        <v/>
      </c>
    </row>
    <row r="1035" spans="1:7" x14ac:dyDescent="0.25">
      <c r="A1035" t="s">
        <v>1572</v>
      </c>
      <c r="B1035" t="s">
        <v>2729</v>
      </c>
      <c r="C1035">
        <v>51.535029757142802</v>
      </c>
      <c r="D1035">
        <v>-0.39323811428571398</v>
      </c>
      <c r="E1035" t="s">
        <v>673</v>
      </c>
      <c r="F1035">
        <v>7</v>
      </c>
      <c r="G1035" t="str">
        <f>IFERROR(VLOOKUP(B1035, Churches!H:H, 1, FALSE), "")</f>
        <v/>
      </c>
    </row>
    <row r="1036" spans="1:7" x14ac:dyDescent="0.25">
      <c r="A1036" t="s">
        <v>731</v>
      </c>
      <c r="B1036" t="s">
        <v>2730</v>
      </c>
      <c r="C1036">
        <v>51.5511984555555</v>
      </c>
      <c r="D1036">
        <v>-0.366626688888888</v>
      </c>
      <c r="E1036" t="s">
        <v>673</v>
      </c>
      <c r="F1036">
        <v>9</v>
      </c>
      <c r="G1036" t="str">
        <f>IFERROR(VLOOKUP(B1036, Churches!H:H, 1, FALSE), "")</f>
        <v/>
      </c>
    </row>
    <row r="1037" spans="1:7" x14ac:dyDescent="0.25">
      <c r="A1037" t="s">
        <v>759</v>
      </c>
      <c r="B1037" t="s">
        <v>2731</v>
      </c>
      <c r="C1037">
        <v>51.493152918181799</v>
      </c>
      <c r="D1037">
        <v>-0.15742573636363599</v>
      </c>
      <c r="E1037" t="s">
        <v>673</v>
      </c>
      <c r="F1037">
        <v>22</v>
      </c>
      <c r="G1037" t="str">
        <f>IFERROR(VLOOKUP(B1037, Churches!H:H, 1, FALSE), "")</f>
        <v/>
      </c>
    </row>
    <row r="1038" spans="1:7" x14ac:dyDescent="0.25">
      <c r="A1038" t="s">
        <v>1211</v>
      </c>
      <c r="B1038" t="s">
        <v>2275</v>
      </c>
      <c r="C1038">
        <v>51.3970246444444</v>
      </c>
      <c r="D1038">
        <v>-7.9538444444444398E-2</v>
      </c>
      <c r="E1038" t="s">
        <v>673</v>
      </c>
      <c r="F1038">
        <v>9</v>
      </c>
      <c r="G1038" t="str">
        <f>IFERROR(VLOOKUP(B1038, Churches!H:H, 1, FALSE), "")</f>
        <v/>
      </c>
    </row>
    <row r="1039" spans="1:7" x14ac:dyDescent="0.25">
      <c r="A1039" t="s">
        <v>1573</v>
      </c>
      <c r="B1039" t="s">
        <v>2732</v>
      </c>
      <c r="C1039">
        <v>51.381136300000001</v>
      </c>
      <c r="D1039">
        <v>-0.105924285714285</v>
      </c>
      <c r="F1039">
        <v>7</v>
      </c>
      <c r="G1039" t="str">
        <f>IFERROR(VLOOKUP(B1039, Churches!H:H, 1, FALSE), "")</f>
        <v/>
      </c>
    </row>
    <row r="1040" spans="1:7" x14ac:dyDescent="0.25">
      <c r="A1040" t="s">
        <v>1574</v>
      </c>
      <c r="B1040" t="s">
        <v>2733</v>
      </c>
      <c r="C1040">
        <v>51.524563162500002</v>
      </c>
      <c r="D1040">
        <v>-7.4813875000000002E-2</v>
      </c>
      <c r="F1040">
        <v>8</v>
      </c>
      <c r="G1040" t="str">
        <f>IFERROR(VLOOKUP(B1040, Churches!H:H, 1, FALSE), "")</f>
        <v/>
      </c>
    </row>
    <row r="1041" spans="1:7" x14ac:dyDescent="0.25">
      <c r="A1041" t="s">
        <v>1575</v>
      </c>
      <c r="B1041" t="s">
        <v>2275</v>
      </c>
      <c r="C1041">
        <v>51.5144876111111</v>
      </c>
      <c r="D1041">
        <v>-7.8951822222222204E-2</v>
      </c>
      <c r="F1041">
        <v>9</v>
      </c>
      <c r="G1041" t="str">
        <f>IFERROR(VLOOKUP(B1041, Churches!H:H, 1, FALSE), "")</f>
        <v/>
      </c>
    </row>
    <row r="1042" spans="1:7" x14ac:dyDescent="0.25">
      <c r="A1042" t="s">
        <v>1576</v>
      </c>
      <c r="B1042" t="s">
        <v>2734</v>
      </c>
      <c r="C1042">
        <v>51.382472173333298</v>
      </c>
      <c r="D1042">
        <v>-0.109394253333333</v>
      </c>
      <c r="F1042">
        <v>15</v>
      </c>
      <c r="G1042" t="str">
        <f>IFERROR(VLOOKUP(B1042, Churches!H:H, 1, FALSE), "")</f>
        <v/>
      </c>
    </row>
    <row r="1043" spans="1:7" x14ac:dyDescent="0.25">
      <c r="A1043" t="s">
        <v>1577</v>
      </c>
      <c r="B1043" t="s">
        <v>2735</v>
      </c>
      <c r="C1043">
        <v>51.383409183333299</v>
      </c>
      <c r="D1043">
        <v>-0.108589299999999</v>
      </c>
      <c r="F1043">
        <v>6</v>
      </c>
      <c r="G1043" t="str">
        <f>IFERROR(VLOOKUP(B1043, Churches!H:H, 1, FALSE), "")</f>
        <v/>
      </c>
    </row>
    <row r="1044" spans="1:7" x14ac:dyDescent="0.25">
      <c r="A1044" t="s">
        <v>1022</v>
      </c>
      <c r="B1044" t="s">
        <v>2736</v>
      </c>
      <c r="C1044">
        <v>51.383795259999999</v>
      </c>
      <c r="D1044">
        <v>-0.10905993999999999</v>
      </c>
      <c r="F1044">
        <v>5</v>
      </c>
      <c r="G1044" t="str">
        <f>IFERROR(VLOOKUP(B1044, Churches!H:H, 1, FALSE), "")</f>
        <v/>
      </c>
    </row>
    <row r="1045" spans="1:7" x14ac:dyDescent="0.25">
      <c r="A1045" t="s">
        <v>1578</v>
      </c>
      <c r="B1045" t="s">
        <v>2691</v>
      </c>
      <c r="C1045">
        <v>51.592068553333299</v>
      </c>
      <c r="D1045">
        <v>-3.2728899999999998E-2</v>
      </c>
      <c r="F1045">
        <v>15</v>
      </c>
      <c r="G1045" t="str">
        <f>IFERROR(VLOOKUP(B1045, Churches!H:H, 1, FALSE), "")</f>
        <v/>
      </c>
    </row>
    <row r="1046" spans="1:7" x14ac:dyDescent="0.25">
      <c r="A1046" t="s">
        <v>842</v>
      </c>
      <c r="B1046" t="s">
        <v>2275</v>
      </c>
      <c r="C1046">
        <v>51.41841376</v>
      </c>
      <c r="D1046">
        <v>-8.0656633333333297E-2</v>
      </c>
      <c r="F1046">
        <v>15</v>
      </c>
      <c r="G1046" t="str">
        <f>IFERROR(VLOOKUP(B1046, Churches!H:H, 1, FALSE), "")</f>
        <v/>
      </c>
    </row>
    <row r="1047" spans="1:7" x14ac:dyDescent="0.25">
      <c r="A1047" t="s">
        <v>1579</v>
      </c>
      <c r="B1047" t="s">
        <v>2275</v>
      </c>
      <c r="C1047">
        <v>51.330367199999998</v>
      </c>
      <c r="D1047">
        <v>-9.3681836363636306E-2</v>
      </c>
      <c r="E1047" t="s">
        <v>673</v>
      </c>
      <c r="F1047">
        <v>11</v>
      </c>
      <c r="G1047" t="str">
        <f>IFERROR(VLOOKUP(B1047, Churches!H:H, 1, FALSE), "")</f>
        <v/>
      </c>
    </row>
    <row r="1048" spans="1:7" x14ac:dyDescent="0.25">
      <c r="A1048" t="s">
        <v>1580</v>
      </c>
      <c r="B1048" t="s">
        <v>2737</v>
      </c>
      <c r="C1048">
        <v>51.383982157142803</v>
      </c>
      <c r="D1048">
        <v>-0.10374937142857101</v>
      </c>
      <c r="F1048">
        <v>7</v>
      </c>
      <c r="G1048" t="str">
        <f>IFERROR(VLOOKUP(B1048, Churches!H:H, 1, FALSE), "")</f>
        <v/>
      </c>
    </row>
    <row r="1049" spans="1:7" x14ac:dyDescent="0.25">
      <c r="A1049" t="s">
        <v>1581</v>
      </c>
      <c r="B1049" t="s">
        <v>2738</v>
      </c>
      <c r="C1049">
        <v>51.383082299999998</v>
      </c>
      <c r="D1049">
        <v>-9.9152299999999999E-2</v>
      </c>
      <c r="F1049">
        <v>7</v>
      </c>
      <c r="G1049" t="str">
        <f>IFERROR(VLOOKUP(B1049, Churches!H:H, 1, FALSE), "")</f>
        <v/>
      </c>
    </row>
    <row r="1050" spans="1:7" x14ac:dyDescent="0.25">
      <c r="A1050" t="s">
        <v>1582</v>
      </c>
      <c r="B1050" t="s">
        <v>400</v>
      </c>
      <c r="C1050">
        <v>51.5696727846153</v>
      </c>
      <c r="D1050">
        <v>-0.117359538461538</v>
      </c>
      <c r="E1050" t="s">
        <v>673</v>
      </c>
      <c r="F1050">
        <v>13</v>
      </c>
    </row>
    <row r="1051" spans="1:7" x14ac:dyDescent="0.25">
      <c r="A1051" t="s">
        <v>880</v>
      </c>
      <c r="B1051" t="s">
        <v>2275</v>
      </c>
      <c r="C1051">
        <v>51.563515299999999</v>
      </c>
      <c r="D1051">
        <v>1.09048399999999E-2</v>
      </c>
      <c r="F1051">
        <v>5</v>
      </c>
      <c r="G1051" t="str">
        <f>IFERROR(VLOOKUP(B1051, Churches!H:H, 1, FALSE), "")</f>
        <v/>
      </c>
    </row>
    <row r="1052" spans="1:7" x14ac:dyDescent="0.25">
      <c r="A1052" t="s">
        <v>1583</v>
      </c>
      <c r="B1052" t="s">
        <v>2739</v>
      </c>
      <c r="C1052">
        <v>51.557124299999998</v>
      </c>
      <c r="D1052">
        <v>-0.31951173999999999</v>
      </c>
      <c r="F1052">
        <v>5</v>
      </c>
      <c r="G1052" t="str">
        <f>IFERROR(VLOOKUP(B1052, Churches!H:H, 1, FALSE), "")</f>
        <v/>
      </c>
    </row>
    <row r="1053" spans="1:7" x14ac:dyDescent="0.25">
      <c r="A1053" t="s">
        <v>1584</v>
      </c>
      <c r="B1053" t="s">
        <v>2449</v>
      </c>
      <c r="C1053">
        <v>51.569659609523796</v>
      </c>
      <c r="D1053">
        <v>-0.320691476190476</v>
      </c>
      <c r="E1053" t="s">
        <v>673</v>
      </c>
      <c r="F1053">
        <v>21</v>
      </c>
      <c r="G1053" t="str">
        <f>IFERROR(VLOOKUP(B1053, Churches!H:H, 1, FALSE), "")</f>
        <v/>
      </c>
    </row>
    <row r="1054" spans="1:7" x14ac:dyDescent="0.25">
      <c r="A1054" t="s">
        <v>759</v>
      </c>
      <c r="B1054" t="s">
        <v>2740</v>
      </c>
      <c r="C1054">
        <v>51.535909645454502</v>
      </c>
      <c r="D1054">
        <v>-0.33248710909090901</v>
      </c>
      <c r="E1054" t="s">
        <v>1159</v>
      </c>
      <c r="F1054">
        <v>11</v>
      </c>
      <c r="G1054" t="str">
        <f>IFERROR(VLOOKUP(B1054, Churches!H:H, 1, FALSE), "")</f>
        <v/>
      </c>
    </row>
    <row r="1055" spans="1:7" x14ac:dyDescent="0.25">
      <c r="A1055" t="s">
        <v>735</v>
      </c>
      <c r="B1055" t="s">
        <v>2741</v>
      </c>
      <c r="C1055">
        <v>51.518003507142801</v>
      </c>
      <c r="D1055">
        <v>-0.357320207142857</v>
      </c>
      <c r="E1055" t="s">
        <v>673</v>
      </c>
      <c r="F1055">
        <v>14</v>
      </c>
      <c r="G1055" t="str">
        <f>IFERROR(VLOOKUP(B1055, Churches!H:H, 1, FALSE), "")</f>
        <v/>
      </c>
    </row>
    <row r="1056" spans="1:7" x14ac:dyDescent="0.25">
      <c r="A1056" t="s">
        <v>1585</v>
      </c>
      <c r="B1056" t="s">
        <v>2742</v>
      </c>
      <c r="C1056">
        <v>51.540784780000003</v>
      </c>
      <c r="D1056">
        <v>-0.29826668000000001</v>
      </c>
      <c r="F1056">
        <v>5</v>
      </c>
      <c r="G1056" t="str">
        <f>IFERROR(VLOOKUP(B1056, Churches!H:H, 1, FALSE), "")</f>
        <v/>
      </c>
    </row>
    <row r="1057" spans="1:7" x14ac:dyDescent="0.25">
      <c r="A1057" t="s">
        <v>1586</v>
      </c>
      <c r="B1057" t="s">
        <v>2743</v>
      </c>
      <c r="C1057">
        <v>51.54415478</v>
      </c>
      <c r="D1057">
        <v>0.25923074000000002</v>
      </c>
      <c r="F1057">
        <v>5</v>
      </c>
      <c r="G1057" t="str">
        <f>IFERROR(VLOOKUP(B1057, Churches!H:H, 1, FALSE), "")</f>
        <v/>
      </c>
    </row>
    <row r="1058" spans="1:7" x14ac:dyDescent="0.25">
      <c r="A1058" t="s">
        <v>1587</v>
      </c>
      <c r="B1058" t="s">
        <v>2744</v>
      </c>
      <c r="C1058">
        <v>51.557532333333299</v>
      </c>
      <c r="D1058">
        <v>-0.120271666666666</v>
      </c>
      <c r="F1058">
        <v>15</v>
      </c>
      <c r="G1058" t="str">
        <f>IFERROR(VLOOKUP(B1058, Churches!H:H, 1, FALSE), "")</f>
        <v/>
      </c>
    </row>
    <row r="1059" spans="1:7" x14ac:dyDescent="0.25">
      <c r="A1059" t="s">
        <v>1588</v>
      </c>
      <c r="B1059" t="s">
        <v>2745</v>
      </c>
      <c r="C1059">
        <v>51.386741352000001</v>
      </c>
      <c r="D1059">
        <v>-0.110297232</v>
      </c>
      <c r="F1059">
        <v>25</v>
      </c>
      <c r="G1059" t="str">
        <f>IFERROR(VLOOKUP(B1059, Churches!H:H, 1, FALSE), "")</f>
        <v/>
      </c>
    </row>
    <row r="1060" spans="1:7" x14ac:dyDescent="0.25">
      <c r="A1060" t="s">
        <v>1589</v>
      </c>
      <c r="B1060" t="s">
        <v>2746</v>
      </c>
      <c r="C1060">
        <v>51.546567119999999</v>
      </c>
      <c r="D1060">
        <v>-8.8101960000000007E-2</v>
      </c>
      <c r="F1060">
        <v>5</v>
      </c>
      <c r="G1060" t="str">
        <f>IFERROR(VLOOKUP(B1060, Churches!H:H, 1, FALSE), "")</f>
        <v/>
      </c>
    </row>
    <row r="1061" spans="1:7" x14ac:dyDescent="0.25">
      <c r="A1061" t="s">
        <v>1590</v>
      </c>
      <c r="B1061" t="s">
        <v>2275</v>
      </c>
      <c r="C1061">
        <v>51.481619466666601</v>
      </c>
      <c r="D1061">
        <v>8.7391277777777707E-2</v>
      </c>
      <c r="E1061" t="s">
        <v>673</v>
      </c>
      <c r="F1061">
        <v>9</v>
      </c>
      <c r="G1061" t="str">
        <f>IFERROR(VLOOKUP(B1061, Churches!H:H, 1, FALSE), "")</f>
        <v/>
      </c>
    </row>
    <row r="1062" spans="1:7" x14ac:dyDescent="0.25">
      <c r="A1062" t="s">
        <v>1591</v>
      </c>
      <c r="B1062" t="s">
        <v>2747</v>
      </c>
      <c r="C1062">
        <v>51.510036014285703</v>
      </c>
      <c r="D1062">
        <v>-0.37306295714285698</v>
      </c>
      <c r="F1062">
        <v>7</v>
      </c>
      <c r="G1062" t="str">
        <f>IFERROR(VLOOKUP(B1062, Churches!H:H, 1, FALSE), "")</f>
        <v/>
      </c>
    </row>
    <row r="1063" spans="1:7" x14ac:dyDescent="0.25">
      <c r="A1063" t="s">
        <v>1592</v>
      </c>
      <c r="B1063" t="s">
        <v>2748</v>
      </c>
      <c r="C1063">
        <v>51.511166459999998</v>
      </c>
      <c r="D1063">
        <v>-0.370298979999999</v>
      </c>
      <c r="E1063" t="s">
        <v>673</v>
      </c>
      <c r="F1063">
        <v>5</v>
      </c>
      <c r="G1063" t="str">
        <f>IFERROR(VLOOKUP(B1063, Churches!H:H, 1, FALSE), "")</f>
        <v/>
      </c>
    </row>
    <row r="1064" spans="1:7" x14ac:dyDescent="0.25">
      <c r="A1064" t="s">
        <v>1593</v>
      </c>
      <c r="B1064" t="s">
        <v>2749</v>
      </c>
      <c r="C1064">
        <v>51.587779944444399</v>
      </c>
      <c r="D1064">
        <v>-0.30134523333333302</v>
      </c>
      <c r="F1064">
        <v>9</v>
      </c>
      <c r="G1064" t="str">
        <f>IFERROR(VLOOKUP(B1064, Churches!H:H, 1, FALSE), "")</f>
        <v/>
      </c>
    </row>
    <row r="1065" spans="1:7" x14ac:dyDescent="0.25">
      <c r="A1065" t="s">
        <v>1594</v>
      </c>
      <c r="B1065" t="s">
        <v>2750</v>
      </c>
      <c r="C1065">
        <v>51.570699099999999</v>
      </c>
      <c r="D1065">
        <v>-0.28853521999999998</v>
      </c>
      <c r="E1065" t="s">
        <v>673</v>
      </c>
      <c r="F1065">
        <v>5</v>
      </c>
      <c r="G1065" t="str">
        <f>IFERROR(VLOOKUP(B1065, Churches!H:H, 1, FALSE), "")</f>
        <v/>
      </c>
    </row>
    <row r="1066" spans="1:7" x14ac:dyDescent="0.25">
      <c r="A1066" t="s">
        <v>1595</v>
      </c>
      <c r="B1066" t="s">
        <v>2275</v>
      </c>
      <c r="C1066">
        <v>51.430305999999902</v>
      </c>
      <c r="D1066">
        <v>-6.5631799999999907E-2</v>
      </c>
      <c r="F1066">
        <v>5</v>
      </c>
      <c r="G1066" t="str">
        <f>IFERROR(VLOOKUP(B1066, Churches!H:H, 1, FALSE), "")</f>
        <v/>
      </c>
    </row>
    <row r="1067" spans="1:7" x14ac:dyDescent="0.25">
      <c r="A1067" t="s">
        <v>1596</v>
      </c>
      <c r="B1067" t="s">
        <v>2751</v>
      </c>
      <c r="C1067">
        <v>51.570993599999902</v>
      </c>
      <c r="D1067">
        <v>-0.29407896</v>
      </c>
      <c r="F1067">
        <v>5</v>
      </c>
      <c r="G1067" t="str">
        <f>IFERROR(VLOOKUP(B1067, Churches!H:H, 1, FALSE), "")</f>
        <v/>
      </c>
    </row>
    <row r="1068" spans="1:7" x14ac:dyDescent="0.25">
      <c r="A1068" t="s">
        <v>837</v>
      </c>
      <c r="B1068" t="s">
        <v>2752</v>
      </c>
      <c r="C1068">
        <v>51.568392619999997</v>
      </c>
      <c r="D1068">
        <v>-0.30643293999999999</v>
      </c>
      <c r="E1068" t="s">
        <v>673</v>
      </c>
      <c r="F1068">
        <v>5</v>
      </c>
      <c r="G1068" t="str">
        <f>IFERROR(VLOOKUP(B1068, Churches!H:H, 1, FALSE), "")</f>
        <v/>
      </c>
    </row>
    <row r="1069" spans="1:7" x14ac:dyDescent="0.25">
      <c r="A1069" t="s">
        <v>1597</v>
      </c>
      <c r="B1069" t="s">
        <v>2753</v>
      </c>
      <c r="C1069">
        <v>51.558416471428501</v>
      </c>
      <c r="D1069">
        <v>-0.248203714285714</v>
      </c>
      <c r="E1069" t="s">
        <v>673</v>
      </c>
      <c r="F1069">
        <v>7</v>
      </c>
      <c r="G1069" t="str">
        <f>IFERROR(VLOOKUP(B1069, Churches!H:H, 1, FALSE), "")</f>
        <v/>
      </c>
    </row>
    <row r="1070" spans="1:7" x14ac:dyDescent="0.25">
      <c r="A1070" t="s">
        <v>459</v>
      </c>
      <c r="B1070" t="s">
        <v>2754</v>
      </c>
      <c r="C1070">
        <v>51.632376286666599</v>
      </c>
      <c r="D1070">
        <v>-0.20013084</v>
      </c>
      <c r="E1070" t="s">
        <v>673</v>
      </c>
      <c r="F1070">
        <v>15</v>
      </c>
      <c r="G1070" t="str">
        <f>IFERROR(VLOOKUP(B1070, Churches!H:H, 1, FALSE), "")</f>
        <v/>
      </c>
    </row>
    <row r="1071" spans="1:7" x14ac:dyDescent="0.25">
      <c r="A1071" t="s">
        <v>1598</v>
      </c>
      <c r="B1071" t="s">
        <v>2755</v>
      </c>
      <c r="C1071">
        <v>51.515409742857102</v>
      </c>
      <c r="D1071">
        <v>-0.217308742857142</v>
      </c>
      <c r="F1071">
        <v>7</v>
      </c>
      <c r="G1071" t="str">
        <f>IFERROR(VLOOKUP(B1071, Churches!H:H, 1, FALSE), "")</f>
        <v/>
      </c>
    </row>
    <row r="1072" spans="1:7" x14ac:dyDescent="0.25">
      <c r="A1072" t="s">
        <v>1599</v>
      </c>
      <c r="B1072" t="s">
        <v>2275</v>
      </c>
      <c r="C1072">
        <v>51.546882944444398</v>
      </c>
      <c r="D1072">
        <v>-6.7626511111111107E-2</v>
      </c>
      <c r="F1072">
        <v>9</v>
      </c>
      <c r="G1072" t="str">
        <f>IFERROR(VLOOKUP(B1072, Churches!H:H, 1, FALSE), "")</f>
        <v/>
      </c>
    </row>
    <row r="1073" spans="1:7" x14ac:dyDescent="0.25">
      <c r="A1073" t="s">
        <v>1600</v>
      </c>
      <c r="B1073" t="s">
        <v>2275</v>
      </c>
      <c r="C1073">
        <v>51.453354014285701</v>
      </c>
      <c r="D1073">
        <v>6.2094099999999902E-2</v>
      </c>
      <c r="F1073">
        <v>7</v>
      </c>
      <c r="G1073" t="str">
        <f>IFERROR(VLOOKUP(B1073, Churches!H:H, 1, FALSE), "")</f>
        <v/>
      </c>
    </row>
    <row r="1074" spans="1:7" x14ac:dyDescent="0.25">
      <c r="A1074" t="s">
        <v>1601</v>
      </c>
      <c r="B1074" t="s">
        <v>2275</v>
      </c>
      <c r="C1074">
        <v>51.5305547888888</v>
      </c>
      <c r="D1074">
        <v>-8.3436044444444399E-2</v>
      </c>
      <c r="E1074" t="s">
        <v>673</v>
      </c>
      <c r="F1074">
        <v>9</v>
      </c>
      <c r="G1074" t="str">
        <f>IFERROR(VLOOKUP(B1074, Churches!H:H, 1, FALSE), "")</f>
        <v/>
      </c>
    </row>
    <row r="1075" spans="1:7" x14ac:dyDescent="0.25">
      <c r="A1075" t="s">
        <v>1602</v>
      </c>
      <c r="B1075" t="s">
        <v>2756</v>
      </c>
      <c r="C1075">
        <v>51.486988888235203</v>
      </c>
      <c r="D1075">
        <v>-0.2086547</v>
      </c>
      <c r="E1075" t="s">
        <v>673</v>
      </c>
      <c r="F1075">
        <v>17</v>
      </c>
      <c r="G1075" t="str">
        <f>IFERROR(VLOOKUP(B1075, Churches!H:H, 1, FALSE), "")</f>
        <v/>
      </c>
    </row>
    <row r="1076" spans="1:7" x14ac:dyDescent="0.25">
      <c r="A1076" t="s">
        <v>683</v>
      </c>
      <c r="B1076" t="s">
        <v>2275</v>
      </c>
      <c r="C1076">
        <v>51.451148523076903</v>
      </c>
      <c r="D1076">
        <v>5.1689053846153798E-2</v>
      </c>
      <c r="E1076" t="s">
        <v>673</v>
      </c>
      <c r="F1076">
        <v>13</v>
      </c>
      <c r="G1076" t="str">
        <f>IFERROR(VLOOKUP(B1076, Churches!H:H, 1, FALSE), "")</f>
        <v/>
      </c>
    </row>
    <row r="1077" spans="1:7" x14ac:dyDescent="0.25">
      <c r="A1077" t="s">
        <v>1603</v>
      </c>
      <c r="B1077" t="s">
        <v>2757</v>
      </c>
      <c r="C1077">
        <v>51.459784139999996</v>
      </c>
      <c r="D1077">
        <v>5.9089559999999999E-2</v>
      </c>
      <c r="F1077">
        <v>5</v>
      </c>
      <c r="G1077" t="str">
        <f>IFERROR(VLOOKUP(B1077, Churches!H:H, 1, FALSE), "")</f>
        <v/>
      </c>
    </row>
    <row r="1078" spans="1:7" x14ac:dyDescent="0.25">
      <c r="A1078" t="s">
        <v>1604</v>
      </c>
      <c r="B1078" t="s">
        <v>2275</v>
      </c>
      <c r="C1078">
        <v>51.452910230769199</v>
      </c>
      <c r="D1078">
        <v>5.2185707692307598E-2</v>
      </c>
      <c r="F1078">
        <v>13</v>
      </c>
      <c r="G1078" t="str">
        <f>IFERROR(VLOOKUP(B1078, Churches!H:H, 1, FALSE), "")</f>
        <v/>
      </c>
    </row>
    <row r="1079" spans="1:7" x14ac:dyDescent="0.25">
      <c r="A1079" t="s">
        <v>1605</v>
      </c>
      <c r="B1079" t="s">
        <v>2275</v>
      </c>
      <c r="C1079">
        <v>51.460419184210501</v>
      </c>
      <c r="D1079">
        <v>4.7656857894736802E-2</v>
      </c>
      <c r="E1079" t="s">
        <v>673</v>
      </c>
      <c r="F1079">
        <v>19</v>
      </c>
      <c r="G1079" t="str">
        <f>IFERROR(VLOOKUP(B1079, Churches!H:H, 1, FALSE), "")</f>
        <v/>
      </c>
    </row>
    <row r="1080" spans="1:7" x14ac:dyDescent="0.25">
      <c r="A1080" t="s">
        <v>674</v>
      </c>
      <c r="B1080" t="s">
        <v>2275</v>
      </c>
      <c r="C1080">
        <v>51.614214183333303</v>
      </c>
      <c r="D1080">
        <v>2.64202333333333E-2</v>
      </c>
      <c r="F1080">
        <v>6</v>
      </c>
      <c r="G1080" t="str">
        <f>IFERROR(VLOOKUP(B1080, Churches!H:H, 1, FALSE), "")</f>
        <v/>
      </c>
    </row>
    <row r="1081" spans="1:7" x14ac:dyDescent="0.25">
      <c r="A1081" t="s">
        <v>1135</v>
      </c>
      <c r="B1081" t="s">
        <v>2275</v>
      </c>
      <c r="C1081">
        <v>51.563790390909098</v>
      </c>
      <c r="D1081">
        <v>-1.50540727272727E-2</v>
      </c>
      <c r="E1081" t="s">
        <v>673</v>
      </c>
      <c r="F1081">
        <v>11</v>
      </c>
      <c r="G1081" t="str">
        <f>IFERROR(VLOOKUP(B1081, Churches!H:H, 1, FALSE), "")</f>
        <v/>
      </c>
    </row>
    <row r="1082" spans="1:7" x14ac:dyDescent="0.25">
      <c r="A1082" t="s">
        <v>1606</v>
      </c>
      <c r="B1082" t="s">
        <v>2758</v>
      </c>
      <c r="C1082">
        <v>51.488465214285696</v>
      </c>
      <c r="D1082">
        <v>-0.135305557142857</v>
      </c>
      <c r="F1082">
        <v>7</v>
      </c>
      <c r="G1082" t="str">
        <f>IFERROR(VLOOKUP(B1082, Churches!H:H, 1, FALSE), "")</f>
        <v/>
      </c>
    </row>
    <row r="1083" spans="1:7" x14ac:dyDescent="0.25">
      <c r="A1083" t="s">
        <v>1607</v>
      </c>
      <c r="B1083" t="s">
        <v>2759</v>
      </c>
      <c r="C1083">
        <v>51.461842774999901</v>
      </c>
      <c r="D1083">
        <v>-8.6758249999999999E-3</v>
      </c>
      <c r="F1083">
        <v>8</v>
      </c>
      <c r="G1083" t="str">
        <f>IFERROR(VLOOKUP(B1083, Churches!H:H, 1, FALSE), "")</f>
        <v/>
      </c>
    </row>
    <row r="1084" spans="1:7" x14ac:dyDescent="0.25">
      <c r="A1084" t="s">
        <v>674</v>
      </c>
      <c r="B1084" t="s">
        <v>2760</v>
      </c>
      <c r="C1084">
        <v>51.448524830769202</v>
      </c>
      <c r="D1084">
        <v>-0.12610212307692301</v>
      </c>
      <c r="E1084" t="s">
        <v>673</v>
      </c>
      <c r="F1084">
        <v>13</v>
      </c>
      <c r="G1084" t="str">
        <f>IFERROR(VLOOKUP(B1084, Churches!H:H, 1, FALSE), "")</f>
        <v/>
      </c>
    </row>
    <row r="1085" spans="1:7" x14ac:dyDescent="0.25">
      <c r="A1085" t="s">
        <v>725</v>
      </c>
      <c r="B1085" t="s">
        <v>2275</v>
      </c>
      <c r="C1085">
        <v>51.311838266666598</v>
      </c>
      <c r="D1085">
        <v>3.5476673333333299E-2</v>
      </c>
      <c r="E1085" t="s">
        <v>673</v>
      </c>
      <c r="F1085">
        <v>15</v>
      </c>
      <c r="G1085" t="str">
        <f>IFERROR(VLOOKUP(B1085, Churches!H:H, 1, FALSE), "")</f>
        <v/>
      </c>
    </row>
    <row r="1086" spans="1:7" x14ac:dyDescent="0.25">
      <c r="A1086" t="s">
        <v>1608</v>
      </c>
      <c r="B1086" t="s">
        <v>2761</v>
      </c>
      <c r="C1086">
        <v>51.3894736947368</v>
      </c>
      <c r="D1086">
        <v>-0.11264301052631499</v>
      </c>
      <c r="F1086">
        <v>19</v>
      </c>
      <c r="G1086" t="str">
        <f>IFERROR(VLOOKUP(B1086, Churches!H:H, 1, FALSE), "")</f>
        <v/>
      </c>
    </row>
    <row r="1087" spans="1:7" x14ac:dyDescent="0.25">
      <c r="A1087" t="s">
        <v>1609</v>
      </c>
      <c r="B1087" t="s">
        <v>2762</v>
      </c>
      <c r="C1087">
        <v>51.588423800000001</v>
      </c>
      <c r="D1087">
        <v>-0.4395676</v>
      </c>
      <c r="F1087">
        <v>14</v>
      </c>
      <c r="G1087" t="str">
        <f>IFERROR(VLOOKUP(B1087, Churches!H:H, 1, FALSE), "")</f>
        <v/>
      </c>
    </row>
    <row r="1088" spans="1:7" x14ac:dyDescent="0.25">
      <c r="A1088" t="s">
        <v>1610</v>
      </c>
      <c r="B1088" t="s">
        <v>2275</v>
      </c>
      <c r="C1088">
        <v>51.534406128571398</v>
      </c>
      <c r="D1088">
        <v>-8.1087514285714202E-2</v>
      </c>
      <c r="E1088" t="s">
        <v>673</v>
      </c>
      <c r="F1088">
        <v>7</v>
      </c>
      <c r="G1088" t="str">
        <f>IFERROR(VLOOKUP(B1088, Churches!H:H, 1, FALSE), "")</f>
        <v/>
      </c>
    </row>
    <row r="1089" spans="1:7" x14ac:dyDescent="0.25">
      <c r="A1089" t="s">
        <v>1611</v>
      </c>
      <c r="B1089" t="s">
        <v>2502</v>
      </c>
      <c r="C1089">
        <v>51.592286046153802</v>
      </c>
      <c r="D1089">
        <v>-0.173306923076923</v>
      </c>
      <c r="F1089">
        <v>13</v>
      </c>
      <c r="G1089" t="str">
        <f>IFERROR(VLOOKUP(B1089, Churches!H:H, 1, FALSE), "")</f>
        <v/>
      </c>
    </row>
    <row r="1090" spans="1:7" x14ac:dyDescent="0.25">
      <c r="A1090" t="s">
        <v>1612</v>
      </c>
      <c r="B1090" t="s">
        <v>2763</v>
      </c>
      <c r="C1090">
        <v>51.386257989999898</v>
      </c>
      <c r="D1090">
        <v>-0.11080785999999999</v>
      </c>
      <c r="F1090">
        <v>10</v>
      </c>
      <c r="G1090" t="str">
        <f>IFERROR(VLOOKUP(B1090, Churches!H:H, 1, FALSE), "")</f>
        <v/>
      </c>
    </row>
    <row r="1091" spans="1:7" x14ac:dyDescent="0.25">
      <c r="A1091" t="s">
        <v>1613</v>
      </c>
      <c r="B1091" t="s">
        <v>2764</v>
      </c>
      <c r="C1091">
        <v>51.421037464705798</v>
      </c>
      <c r="D1091">
        <v>-0.32091714117647002</v>
      </c>
      <c r="E1091" t="s">
        <v>673</v>
      </c>
      <c r="F1091">
        <v>17</v>
      </c>
      <c r="G1091" t="str">
        <f>IFERROR(VLOOKUP(B1091, Churches!H:H, 1, FALSE), "")</f>
        <v/>
      </c>
    </row>
    <row r="1092" spans="1:7" x14ac:dyDescent="0.25">
      <c r="A1092" t="s">
        <v>1614</v>
      </c>
      <c r="B1092" t="s">
        <v>2765</v>
      </c>
      <c r="C1092">
        <v>51.3882962818181</v>
      </c>
      <c r="D1092">
        <v>-0.10512539999999899</v>
      </c>
      <c r="F1092">
        <v>11</v>
      </c>
      <c r="G1092" t="str">
        <f>IFERROR(VLOOKUP(B1092, Churches!H:H, 1, FALSE), "")</f>
        <v/>
      </c>
    </row>
    <row r="1093" spans="1:7" x14ac:dyDescent="0.25">
      <c r="A1093" t="s">
        <v>1615</v>
      </c>
      <c r="B1093" t="s">
        <v>2766</v>
      </c>
      <c r="C1093">
        <v>51.531536080000002</v>
      </c>
      <c r="D1093">
        <v>-0.23130577999999999</v>
      </c>
      <c r="F1093">
        <v>5</v>
      </c>
      <c r="G1093" t="str">
        <f>IFERROR(VLOOKUP(B1093, Churches!H:H, 1, FALSE), "")</f>
        <v/>
      </c>
    </row>
    <row r="1094" spans="1:7" x14ac:dyDescent="0.25">
      <c r="A1094" t="s">
        <v>708</v>
      </c>
      <c r="B1094" t="s">
        <v>2275</v>
      </c>
      <c r="C1094">
        <v>51.398910649999998</v>
      </c>
      <c r="D1094">
        <v>-7.0360257142857097E-2</v>
      </c>
      <c r="E1094" t="s">
        <v>673</v>
      </c>
      <c r="F1094">
        <v>14</v>
      </c>
      <c r="G1094" t="str">
        <f>IFERROR(VLOOKUP(B1094, Churches!H:H, 1, FALSE), "")</f>
        <v/>
      </c>
    </row>
    <row r="1095" spans="1:7" x14ac:dyDescent="0.25">
      <c r="A1095" t="s">
        <v>1080</v>
      </c>
      <c r="B1095" t="s">
        <v>2767</v>
      </c>
      <c r="C1095">
        <v>51.3854707590909</v>
      </c>
      <c r="D1095">
        <v>-0.29718954090909</v>
      </c>
      <c r="E1095" t="s">
        <v>673</v>
      </c>
      <c r="F1095">
        <v>22</v>
      </c>
      <c r="G1095" t="str">
        <f>IFERROR(VLOOKUP(B1095, Churches!H:H, 1, FALSE), "")</f>
        <v/>
      </c>
    </row>
    <row r="1096" spans="1:7" x14ac:dyDescent="0.25">
      <c r="A1096" t="s">
        <v>727</v>
      </c>
      <c r="B1096" t="s">
        <v>2275</v>
      </c>
      <c r="C1096">
        <v>51.451183916666601</v>
      </c>
      <c r="D1096">
        <v>9.5917633333333294E-2</v>
      </c>
      <c r="F1096">
        <v>6</v>
      </c>
      <c r="G1096" t="str">
        <f>IFERROR(VLOOKUP(B1096, Churches!H:H, 1, FALSE), "")</f>
        <v/>
      </c>
    </row>
    <row r="1097" spans="1:7" x14ac:dyDescent="0.25">
      <c r="A1097" t="s">
        <v>1616</v>
      </c>
      <c r="B1097" t="s">
        <v>2768</v>
      </c>
      <c r="C1097">
        <v>51.585703836363599</v>
      </c>
      <c r="D1097">
        <v>-0.31026351818181802</v>
      </c>
      <c r="E1097" t="s">
        <v>673</v>
      </c>
      <c r="F1097">
        <v>11</v>
      </c>
      <c r="G1097" t="str">
        <f>IFERROR(VLOOKUP(B1097, Churches!H:H, 1, FALSE), "")</f>
        <v/>
      </c>
    </row>
    <row r="1098" spans="1:7" x14ac:dyDescent="0.25">
      <c r="A1098" t="s">
        <v>1617</v>
      </c>
      <c r="B1098" t="s">
        <v>2769</v>
      </c>
      <c r="C1098">
        <v>51.552488118181799</v>
      </c>
      <c r="D1098">
        <v>-0.12127505454545399</v>
      </c>
      <c r="E1098" t="s">
        <v>673</v>
      </c>
      <c r="F1098">
        <v>11</v>
      </c>
      <c r="G1098" t="str">
        <f>IFERROR(VLOOKUP(B1098, Churches!H:H, 1, FALSE), "")</f>
        <v/>
      </c>
    </row>
    <row r="1099" spans="1:7" x14ac:dyDescent="0.25">
      <c r="A1099" t="s">
        <v>1618</v>
      </c>
      <c r="B1099" t="s">
        <v>2770</v>
      </c>
      <c r="C1099">
        <v>51.501378847619002</v>
      </c>
      <c r="D1099">
        <v>-5.4034400000000003E-2</v>
      </c>
      <c r="E1099" t="s">
        <v>673</v>
      </c>
      <c r="F1099">
        <v>21</v>
      </c>
      <c r="G1099" t="str">
        <f>IFERROR(VLOOKUP(B1099, Churches!H:H, 1, FALSE), "")</f>
        <v/>
      </c>
    </row>
    <row r="1100" spans="1:7" x14ac:dyDescent="0.25">
      <c r="A1100" t="s">
        <v>841</v>
      </c>
      <c r="B1100" t="s">
        <v>2771</v>
      </c>
      <c r="C1100">
        <v>51.333674877777703</v>
      </c>
      <c r="D1100">
        <v>-0.124677222222222</v>
      </c>
      <c r="E1100" t="s">
        <v>673</v>
      </c>
      <c r="F1100">
        <v>9</v>
      </c>
      <c r="G1100" t="str">
        <f>IFERROR(VLOOKUP(B1100, Churches!H:H, 1, FALSE), "")</f>
        <v/>
      </c>
    </row>
    <row r="1101" spans="1:7" x14ac:dyDescent="0.25">
      <c r="A1101" t="s">
        <v>1619</v>
      </c>
      <c r="B1101" t="s">
        <v>2772</v>
      </c>
      <c r="C1101">
        <v>51.522028374999998</v>
      </c>
      <c r="D1101">
        <v>-4.0741556249999998E-2</v>
      </c>
      <c r="F1101">
        <v>16</v>
      </c>
      <c r="G1101" t="str">
        <f>IFERROR(VLOOKUP(B1101, Churches!H:H, 1, FALSE), "")</f>
        <v/>
      </c>
    </row>
    <row r="1102" spans="1:7" x14ac:dyDescent="0.25">
      <c r="A1102" t="s">
        <v>674</v>
      </c>
      <c r="B1102" t="s">
        <v>2773</v>
      </c>
      <c r="C1102">
        <v>51.421417361538403</v>
      </c>
      <c r="D1102">
        <v>0.121177476923076</v>
      </c>
      <c r="F1102">
        <v>13</v>
      </c>
      <c r="G1102" t="str">
        <f>IFERROR(VLOOKUP(B1102, Churches!H:H, 1, FALSE), "")</f>
        <v/>
      </c>
    </row>
    <row r="1103" spans="1:7" x14ac:dyDescent="0.25">
      <c r="A1103" t="s">
        <v>1620</v>
      </c>
      <c r="B1103" t="s">
        <v>2275</v>
      </c>
      <c r="C1103">
        <v>51.542499471428499</v>
      </c>
      <c r="D1103">
        <v>3.6615771428571399E-2</v>
      </c>
      <c r="F1103">
        <v>7</v>
      </c>
      <c r="G1103" t="str">
        <f>IFERROR(VLOOKUP(B1103, Churches!H:H, 1, FALSE), "")</f>
        <v/>
      </c>
    </row>
    <row r="1104" spans="1:7" x14ac:dyDescent="0.25">
      <c r="A1104" t="s">
        <v>1621</v>
      </c>
      <c r="B1104" t="s">
        <v>2774</v>
      </c>
      <c r="C1104">
        <v>51.568183933333302</v>
      </c>
      <c r="D1104">
        <v>-0.112792811111111</v>
      </c>
      <c r="F1104">
        <v>9</v>
      </c>
      <c r="G1104" t="str">
        <f>IFERROR(VLOOKUP(B1104, Churches!H:H, 1, FALSE), "")</f>
        <v/>
      </c>
    </row>
    <row r="1105" spans="1:7" x14ac:dyDescent="0.25">
      <c r="A1105" t="s">
        <v>1296</v>
      </c>
      <c r="B1105" t="s">
        <v>2775</v>
      </c>
      <c r="C1105">
        <v>51.527273185714201</v>
      </c>
      <c r="D1105">
        <v>-0.30977132857142797</v>
      </c>
      <c r="E1105" t="s">
        <v>673</v>
      </c>
      <c r="F1105">
        <v>7</v>
      </c>
      <c r="G1105" t="str">
        <f>IFERROR(VLOOKUP(B1105, Churches!H:H, 1, FALSE), "")</f>
        <v/>
      </c>
    </row>
    <row r="1106" spans="1:7" x14ac:dyDescent="0.25">
      <c r="A1106" t="s">
        <v>674</v>
      </c>
      <c r="B1106" t="s">
        <v>2776</v>
      </c>
      <c r="C1106">
        <v>51.507103122222198</v>
      </c>
      <c r="D1106">
        <v>-0.29531687777777699</v>
      </c>
      <c r="F1106">
        <v>9</v>
      </c>
      <c r="G1106" t="str">
        <f>IFERROR(VLOOKUP(B1106, Churches!H:H, 1, FALSE), "")</f>
        <v/>
      </c>
    </row>
    <row r="1107" spans="1:7" x14ac:dyDescent="0.25">
      <c r="A1107" t="s">
        <v>1622</v>
      </c>
      <c r="B1107" t="s">
        <v>2275</v>
      </c>
      <c r="C1107">
        <v>51.499751709090901</v>
      </c>
      <c r="D1107">
        <v>-2.33639181818181E-2</v>
      </c>
      <c r="E1107" t="s">
        <v>673</v>
      </c>
      <c r="F1107">
        <v>11</v>
      </c>
      <c r="G1107" t="str">
        <f>IFERROR(VLOOKUP(B1107, Churches!H:H, 1, FALSE), "")</f>
        <v/>
      </c>
    </row>
    <row r="1108" spans="1:7" x14ac:dyDescent="0.25">
      <c r="A1108" t="s">
        <v>759</v>
      </c>
      <c r="B1108" t="s">
        <v>2777</v>
      </c>
      <c r="C1108">
        <v>51.435975740000003</v>
      </c>
      <c r="D1108">
        <v>0.10230462</v>
      </c>
      <c r="E1108" t="s">
        <v>673</v>
      </c>
      <c r="F1108">
        <v>5</v>
      </c>
      <c r="G1108" t="str">
        <f>IFERROR(VLOOKUP(B1108, Churches!H:H, 1, FALSE), "")</f>
        <v/>
      </c>
    </row>
    <row r="1109" spans="1:7" x14ac:dyDescent="0.25">
      <c r="A1109" t="s">
        <v>1623</v>
      </c>
      <c r="B1109" t="s">
        <v>2778</v>
      </c>
      <c r="C1109">
        <v>51.515436199999897</v>
      </c>
      <c r="D1109">
        <v>-0.14719862</v>
      </c>
      <c r="F1109">
        <v>5</v>
      </c>
      <c r="G1109" t="str">
        <f>IFERROR(VLOOKUP(B1109, Churches!H:H, 1, FALSE), "")</f>
        <v/>
      </c>
    </row>
    <row r="1110" spans="1:7" x14ac:dyDescent="0.25">
      <c r="A1110" t="s">
        <v>1624</v>
      </c>
      <c r="B1110" t="s">
        <v>2779</v>
      </c>
      <c r="C1110">
        <v>51.393116899999903</v>
      </c>
      <c r="D1110">
        <v>-2.672472E-2</v>
      </c>
      <c r="E1110" t="s">
        <v>673</v>
      </c>
      <c r="F1110">
        <v>5</v>
      </c>
      <c r="G1110" t="str">
        <f>IFERROR(VLOOKUP(B1110, Churches!H:H, 1, FALSE), "")</f>
        <v/>
      </c>
    </row>
    <row r="1111" spans="1:7" x14ac:dyDescent="0.25">
      <c r="A1111" t="s">
        <v>1625</v>
      </c>
      <c r="B1111" t="s">
        <v>2275</v>
      </c>
      <c r="C1111">
        <v>51.382323307142798</v>
      </c>
      <c r="D1111">
        <v>-9.7174735714285698E-2</v>
      </c>
      <c r="F1111">
        <v>14</v>
      </c>
      <c r="G1111" t="str">
        <f>IFERROR(VLOOKUP(B1111, Churches!H:H, 1, FALSE), "")</f>
        <v/>
      </c>
    </row>
    <row r="1112" spans="1:7" x14ac:dyDescent="0.25">
      <c r="A1112" t="s">
        <v>1626</v>
      </c>
      <c r="B1112" t="s">
        <v>2780</v>
      </c>
      <c r="C1112">
        <v>51.382293623076897</v>
      </c>
      <c r="D1112">
        <v>-0.26126392307692298</v>
      </c>
      <c r="F1112">
        <v>13</v>
      </c>
      <c r="G1112" t="str">
        <f>IFERROR(VLOOKUP(B1112, Churches!H:H, 1, FALSE), "")</f>
        <v/>
      </c>
    </row>
    <row r="1113" spans="1:7" x14ac:dyDescent="0.25">
      <c r="A1113" t="s">
        <v>1627</v>
      </c>
      <c r="B1113" t="s">
        <v>2781</v>
      </c>
      <c r="C1113">
        <v>51.424243135294098</v>
      </c>
      <c r="D1113">
        <v>-0.13099830588235201</v>
      </c>
      <c r="F1113">
        <v>17</v>
      </c>
      <c r="G1113" t="str">
        <f>IFERROR(VLOOKUP(B1113, Churches!H:H, 1, FALSE), "")</f>
        <v/>
      </c>
    </row>
    <row r="1114" spans="1:7" x14ac:dyDescent="0.25">
      <c r="A1114" t="s">
        <v>1135</v>
      </c>
      <c r="B1114" t="s">
        <v>2108</v>
      </c>
      <c r="C1114">
        <v>51.561633</v>
      </c>
      <c r="D1114">
        <v>8.7896160000000001E-2</v>
      </c>
      <c r="E1114" t="s">
        <v>673</v>
      </c>
      <c r="F1114">
        <v>10</v>
      </c>
      <c r="G1114" t="str">
        <f>IFERROR(VLOOKUP(B1114, Churches!H:H, 1, FALSE), "")</f>
        <v/>
      </c>
    </row>
    <row r="1115" spans="1:7" x14ac:dyDescent="0.25">
      <c r="A1115" t="s">
        <v>1628</v>
      </c>
      <c r="B1115" t="s">
        <v>2782</v>
      </c>
      <c r="C1115">
        <v>51.430260027272702</v>
      </c>
      <c r="D1115">
        <v>-0.361282518181818</v>
      </c>
      <c r="E1115" t="s">
        <v>673</v>
      </c>
      <c r="F1115">
        <v>11</v>
      </c>
      <c r="G1115" t="str">
        <f>IFERROR(VLOOKUP(B1115, Churches!H:H, 1, FALSE), "")</f>
        <v/>
      </c>
    </row>
    <row r="1116" spans="1:7" x14ac:dyDescent="0.25">
      <c r="A1116" t="s">
        <v>1629</v>
      </c>
      <c r="B1116" t="s">
        <v>2783</v>
      </c>
      <c r="C1116">
        <v>51.491856800000001</v>
      </c>
      <c r="D1116">
        <v>-0.414601114285714</v>
      </c>
      <c r="F1116">
        <v>7</v>
      </c>
      <c r="G1116" t="str">
        <f>IFERROR(VLOOKUP(B1116, Churches!H:H, 1, FALSE), "")</f>
        <v/>
      </c>
    </row>
    <row r="1117" spans="1:7" x14ac:dyDescent="0.25">
      <c r="A1117" t="s">
        <v>1630</v>
      </c>
      <c r="B1117" t="s">
        <v>2784</v>
      </c>
      <c r="C1117">
        <v>51.514761075000003</v>
      </c>
      <c r="D1117">
        <v>-0.130799054999999</v>
      </c>
      <c r="E1117" t="s">
        <v>673</v>
      </c>
      <c r="F1117">
        <v>20</v>
      </c>
      <c r="G1117" t="str">
        <f>IFERROR(VLOOKUP(B1117, Churches!H:H, 1, FALSE), "")</f>
        <v/>
      </c>
    </row>
    <row r="1118" spans="1:7" x14ac:dyDescent="0.25">
      <c r="A1118" t="s">
        <v>759</v>
      </c>
      <c r="B1118" t="s">
        <v>2785</v>
      </c>
      <c r="C1118">
        <v>51.614534342857098</v>
      </c>
      <c r="D1118">
        <v>-0.43764352857142802</v>
      </c>
      <c r="F1118">
        <v>7</v>
      </c>
      <c r="G1118" t="str">
        <f>IFERROR(VLOOKUP(B1118, Churches!H:H, 1, FALSE), "")</f>
        <v/>
      </c>
    </row>
    <row r="1119" spans="1:7" x14ac:dyDescent="0.25">
      <c r="A1119" t="s">
        <v>1631</v>
      </c>
      <c r="B1119" t="s">
        <v>2786</v>
      </c>
      <c r="C1119">
        <v>51.529263579999999</v>
      </c>
      <c r="D1119">
        <v>4.7787459999999997E-2</v>
      </c>
      <c r="F1119">
        <v>5</v>
      </c>
      <c r="G1119" t="str">
        <f>IFERROR(VLOOKUP(B1119, Churches!H:H, 1, FALSE), "")</f>
        <v/>
      </c>
    </row>
    <row r="1120" spans="1:7" x14ac:dyDescent="0.25">
      <c r="A1120" t="s">
        <v>1632</v>
      </c>
      <c r="B1120" t="s">
        <v>2275</v>
      </c>
      <c r="C1120">
        <v>51.5243272857142</v>
      </c>
      <c r="D1120">
        <v>-5.9554271428571399E-2</v>
      </c>
      <c r="F1120">
        <v>7</v>
      </c>
      <c r="G1120" t="str">
        <f>IFERROR(VLOOKUP(B1120, Churches!H:H, 1, FALSE), "")</f>
        <v/>
      </c>
    </row>
    <row r="1121" spans="1:7" x14ac:dyDescent="0.25">
      <c r="A1121" t="s">
        <v>1633</v>
      </c>
      <c r="B1121" t="s">
        <v>2787</v>
      </c>
      <c r="C1121">
        <v>51.439819012500003</v>
      </c>
      <c r="D1121">
        <v>-5.3510037500000003E-2</v>
      </c>
      <c r="F1121">
        <v>8</v>
      </c>
      <c r="G1121" t="str">
        <f>IFERROR(VLOOKUP(B1121, Churches!H:H, 1, FALSE), "")</f>
        <v/>
      </c>
    </row>
    <row r="1122" spans="1:7" x14ac:dyDescent="0.25">
      <c r="A1122" t="s">
        <v>1634</v>
      </c>
      <c r="B1122" t="s">
        <v>2275</v>
      </c>
      <c r="C1122">
        <v>51.445168424999999</v>
      </c>
      <c r="D1122">
        <v>-4.3321633333333297E-2</v>
      </c>
      <c r="E1122" t="s">
        <v>673</v>
      </c>
      <c r="F1122">
        <v>12</v>
      </c>
      <c r="G1122" t="str">
        <f>IFERROR(VLOOKUP(B1122, Churches!H:H, 1, FALSE), "")</f>
        <v/>
      </c>
    </row>
    <row r="1123" spans="1:7" x14ac:dyDescent="0.25">
      <c r="A1123" t="s">
        <v>1635</v>
      </c>
      <c r="B1123" t="s">
        <v>2788</v>
      </c>
      <c r="C1123">
        <v>51.450402789999998</v>
      </c>
      <c r="D1123">
        <v>-5.0710089999999999E-2</v>
      </c>
      <c r="E1123" t="s">
        <v>673</v>
      </c>
      <c r="F1123">
        <v>10</v>
      </c>
      <c r="G1123" t="str">
        <f>IFERROR(VLOOKUP(B1123, Churches!H:H, 1, FALSE), "")</f>
        <v/>
      </c>
    </row>
    <row r="1124" spans="1:7" x14ac:dyDescent="0.25">
      <c r="A1124" t="s">
        <v>1636</v>
      </c>
      <c r="B1124" t="s">
        <v>2789</v>
      </c>
      <c r="C1124">
        <v>51.436081799999997</v>
      </c>
      <c r="D1124">
        <v>-1.670116E-2</v>
      </c>
      <c r="F1124">
        <v>5</v>
      </c>
      <c r="G1124" t="str">
        <f>IFERROR(VLOOKUP(B1124, Churches!H:H, 1, FALSE), "")</f>
        <v/>
      </c>
    </row>
    <row r="1125" spans="1:7" x14ac:dyDescent="0.25">
      <c r="A1125" t="s">
        <v>1637</v>
      </c>
      <c r="B1125" t="s">
        <v>2790</v>
      </c>
      <c r="C1125">
        <v>51.407963124999903</v>
      </c>
      <c r="D1125">
        <v>6.8186999999999996E-3</v>
      </c>
      <c r="F1125">
        <v>8</v>
      </c>
      <c r="G1125" t="str">
        <f>IFERROR(VLOOKUP(B1125, Churches!H:H, 1, FALSE), "")</f>
        <v/>
      </c>
    </row>
    <row r="1126" spans="1:7" x14ac:dyDescent="0.25">
      <c r="A1126" t="s">
        <v>1638</v>
      </c>
      <c r="B1126" t="s">
        <v>2791</v>
      </c>
      <c r="C1126">
        <v>51.575157170588199</v>
      </c>
      <c r="D1126">
        <v>-2.0481000000000002E-3</v>
      </c>
      <c r="E1126" t="s">
        <v>673</v>
      </c>
      <c r="F1126">
        <v>17</v>
      </c>
      <c r="G1126" t="str">
        <f>IFERROR(VLOOKUP(B1126, Churches!H:H, 1, FALSE), "")</f>
        <v/>
      </c>
    </row>
    <row r="1127" spans="1:7" x14ac:dyDescent="0.25">
      <c r="A1127" t="s">
        <v>678</v>
      </c>
      <c r="B1127" t="s">
        <v>2275</v>
      </c>
      <c r="C1127">
        <v>51.575511319999997</v>
      </c>
      <c r="D1127">
        <v>7.5263399999999899E-3</v>
      </c>
      <c r="E1127" t="s">
        <v>673</v>
      </c>
      <c r="F1127">
        <v>5</v>
      </c>
      <c r="G1127" t="str">
        <f>IFERROR(VLOOKUP(B1127, Churches!H:H, 1, FALSE), "")</f>
        <v/>
      </c>
    </row>
    <row r="1128" spans="1:7" x14ac:dyDescent="0.25">
      <c r="A1128" t="s">
        <v>1639</v>
      </c>
      <c r="B1128" t="s">
        <v>2792</v>
      </c>
      <c r="C1128">
        <v>51.569046219999997</v>
      </c>
      <c r="D1128">
        <v>0.27732167999999902</v>
      </c>
      <c r="E1128" t="s">
        <v>673</v>
      </c>
      <c r="F1128">
        <v>5</v>
      </c>
      <c r="G1128" t="str">
        <f>IFERROR(VLOOKUP(B1128, Churches!H:H, 1, FALSE), "")</f>
        <v/>
      </c>
    </row>
    <row r="1129" spans="1:7" x14ac:dyDescent="0.25">
      <c r="A1129" t="s">
        <v>1640</v>
      </c>
      <c r="B1129" t="s">
        <v>2793</v>
      </c>
      <c r="C1129">
        <v>51.392285142857098</v>
      </c>
      <c r="D1129">
        <v>-0.204232085714285</v>
      </c>
      <c r="E1129" t="s">
        <v>673</v>
      </c>
      <c r="F1129">
        <v>7</v>
      </c>
      <c r="G1129" t="str">
        <f>IFERROR(VLOOKUP(B1129, Churches!H:H, 1, FALSE), "")</f>
        <v/>
      </c>
    </row>
    <row r="1130" spans="1:7" x14ac:dyDescent="0.25">
      <c r="A1130" t="s">
        <v>750</v>
      </c>
      <c r="B1130" t="s">
        <v>2794</v>
      </c>
      <c r="C1130">
        <v>51.421581719999999</v>
      </c>
      <c r="D1130">
        <v>-8.3873320000000001E-2</v>
      </c>
      <c r="E1130" t="s">
        <v>673</v>
      </c>
      <c r="F1130">
        <v>5</v>
      </c>
      <c r="G1130" t="str">
        <f>IFERROR(VLOOKUP(B1130, Churches!H:H, 1, FALSE), "")</f>
        <v/>
      </c>
    </row>
    <row r="1131" spans="1:7" x14ac:dyDescent="0.25">
      <c r="A1131" t="s">
        <v>1641</v>
      </c>
      <c r="B1131" t="s">
        <v>2795</v>
      </c>
      <c r="C1131">
        <v>51.459051566666602</v>
      </c>
      <c r="D1131">
        <v>-0.23441779999999901</v>
      </c>
      <c r="E1131" t="s">
        <v>673</v>
      </c>
      <c r="F1131">
        <v>9</v>
      </c>
      <c r="G1131" t="str">
        <f>IFERROR(VLOOKUP(B1131, Churches!H:H, 1, FALSE), "")</f>
        <v/>
      </c>
    </row>
    <row r="1132" spans="1:7" x14ac:dyDescent="0.25">
      <c r="A1132" t="s">
        <v>1296</v>
      </c>
      <c r="B1132" t="s">
        <v>2275</v>
      </c>
      <c r="C1132">
        <v>51.426324264705798</v>
      </c>
      <c r="D1132">
        <v>2.4932411764705801E-3</v>
      </c>
      <c r="E1132" t="s">
        <v>673</v>
      </c>
      <c r="F1132">
        <v>17</v>
      </c>
      <c r="G1132" t="str">
        <f>IFERROR(VLOOKUP(B1132, Churches!H:H, 1, FALSE), "")</f>
        <v/>
      </c>
    </row>
    <row r="1133" spans="1:7" x14ac:dyDescent="0.25">
      <c r="A1133" t="s">
        <v>1642</v>
      </c>
      <c r="B1133" t="s">
        <v>2796</v>
      </c>
      <c r="C1133">
        <v>51.464189300000001</v>
      </c>
      <c r="D1133">
        <v>-0.30040371999999999</v>
      </c>
      <c r="E1133" t="s">
        <v>673</v>
      </c>
      <c r="F1133">
        <v>5</v>
      </c>
      <c r="G1133" t="str">
        <f>IFERROR(VLOOKUP(B1133, Churches!H:H, 1, FALSE), "")</f>
        <v/>
      </c>
    </row>
    <row r="1134" spans="1:7" x14ac:dyDescent="0.25">
      <c r="A1134" t="s">
        <v>1643</v>
      </c>
      <c r="B1134" t="s">
        <v>2797</v>
      </c>
      <c r="C1134">
        <v>51.426308560000003</v>
      </c>
      <c r="D1134">
        <v>-0.33607459000000001</v>
      </c>
      <c r="E1134" t="s">
        <v>673</v>
      </c>
      <c r="F1134">
        <v>10</v>
      </c>
      <c r="G1134" t="str">
        <f>IFERROR(VLOOKUP(B1134, Churches!H:H, 1, FALSE), "")</f>
        <v/>
      </c>
    </row>
    <row r="1135" spans="1:7" x14ac:dyDescent="0.25">
      <c r="A1135" t="s">
        <v>1644</v>
      </c>
      <c r="B1135" t="s">
        <v>2275</v>
      </c>
      <c r="C1135">
        <v>51.520066700000001</v>
      </c>
      <c r="D1135">
        <v>-4.0859528571428501E-2</v>
      </c>
      <c r="F1135">
        <v>7</v>
      </c>
      <c r="G1135" t="str">
        <f>IFERROR(VLOOKUP(B1135, Churches!H:H, 1, FALSE), "")</f>
        <v/>
      </c>
    </row>
    <row r="1136" spans="1:7" x14ac:dyDescent="0.25">
      <c r="A1136" t="s">
        <v>1645</v>
      </c>
      <c r="B1136" t="s">
        <v>2798</v>
      </c>
      <c r="C1136">
        <v>51.481524199999903</v>
      </c>
      <c r="D1136">
        <v>-0.119706236842105</v>
      </c>
      <c r="F1136">
        <v>19</v>
      </c>
      <c r="G1136" t="str">
        <f>IFERROR(VLOOKUP(B1136, Churches!H:H, 1, FALSE), "")</f>
        <v/>
      </c>
    </row>
    <row r="1137" spans="1:7" x14ac:dyDescent="0.25">
      <c r="A1137" t="s">
        <v>1646</v>
      </c>
      <c r="B1137" t="s">
        <v>2275</v>
      </c>
      <c r="C1137">
        <v>51.549887679999998</v>
      </c>
      <c r="D1137">
        <v>-7.4002259999999903E-2</v>
      </c>
      <c r="F1137">
        <v>5</v>
      </c>
      <c r="G1137" t="str">
        <f>IFERROR(VLOOKUP(B1137, Churches!H:H, 1, FALSE), "")</f>
        <v/>
      </c>
    </row>
    <row r="1138" spans="1:7" x14ac:dyDescent="0.25">
      <c r="A1138" t="s">
        <v>767</v>
      </c>
      <c r="B1138" t="s">
        <v>2799</v>
      </c>
      <c r="C1138">
        <v>51.461781579999901</v>
      </c>
      <c r="D1138">
        <v>0.15384511333333301</v>
      </c>
      <c r="E1138" t="s">
        <v>673</v>
      </c>
      <c r="F1138">
        <v>15</v>
      </c>
      <c r="G1138" t="str">
        <f>IFERROR(VLOOKUP(B1138, Churches!H:H, 1, FALSE), "")</f>
        <v/>
      </c>
    </row>
    <row r="1139" spans="1:7" x14ac:dyDescent="0.25">
      <c r="A1139" t="s">
        <v>750</v>
      </c>
      <c r="B1139" t="s">
        <v>2800</v>
      </c>
      <c r="C1139">
        <v>51.477577211764697</v>
      </c>
      <c r="D1139">
        <v>-0.112868317647058</v>
      </c>
      <c r="E1139" t="s">
        <v>673</v>
      </c>
      <c r="F1139">
        <v>17</v>
      </c>
      <c r="G1139" t="str">
        <f>IFERROR(VLOOKUP(B1139, Churches!H:H, 1, FALSE), "")</f>
        <v/>
      </c>
    </row>
    <row r="1140" spans="1:7" x14ac:dyDescent="0.25">
      <c r="A1140" t="s">
        <v>1647</v>
      </c>
      <c r="B1140" t="s">
        <v>2275</v>
      </c>
      <c r="C1140">
        <v>51.493242340000002</v>
      </c>
      <c r="D1140">
        <v>6.0602159999999898E-2</v>
      </c>
      <c r="F1140">
        <v>5</v>
      </c>
      <c r="G1140" t="str">
        <f>IFERROR(VLOOKUP(B1140, Churches!H:H, 1, FALSE), "")</f>
        <v/>
      </c>
    </row>
    <row r="1141" spans="1:7" x14ac:dyDescent="0.25">
      <c r="A1141" t="s">
        <v>1648</v>
      </c>
      <c r="B1141" t="s">
        <v>2801</v>
      </c>
      <c r="C1141">
        <v>51.561266060000001</v>
      </c>
      <c r="D1141">
        <v>8.5793560000000005E-2</v>
      </c>
      <c r="F1141">
        <v>5</v>
      </c>
      <c r="G1141" t="str">
        <f>IFERROR(VLOOKUP(B1141, Churches!H:H, 1, FALSE), "")</f>
        <v/>
      </c>
    </row>
    <row r="1142" spans="1:7" x14ac:dyDescent="0.25">
      <c r="A1142" t="s">
        <v>1649</v>
      </c>
      <c r="B1142" t="s">
        <v>2802</v>
      </c>
      <c r="C1142">
        <v>51.557956049999902</v>
      </c>
      <c r="D1142">
        <v>6.9304149999999995E-2</v>
      </c>
      <c r="F1142">
        <v>8</v>
      </c>
      <c r="G1142" t="str">
        <f>IFERROR(VLOOKUP(B1142, Churches!H:H, 1, FALSE), "")</f>
        <v/>
      </c>
    </row>
    <row r="1143" spans="1:7" x14ac:dyDescent="0.25">
      <c r="A1143" t="s">
        <v>1650</v>
      </c>
      <c r="B1143" t="s">
        <v>2803</v>
      </c>
      <c r="C1143">
        <v>51.447499052941097</v>
      </c>
      <c r="D1143">
        <v>-0.15538618823529399</v>
      </c>
      <c r="F1143">
        <v>17</v>
      </c>
      <c r="G1143" t="str">
        <f>IFERROR(VLOOKUP(B1143, Churches!H:H, 1, FALSE), "")</f>
        <v/>
      </c>
    </row>
    <row r="1144" spans="1:7" x14ac:dyDescent="0.25">
      <c r="A1144" t="s">
        <v>1651</v>
      </c>
      <c r="B1144" t="s">
        <v>2804</v>
      </c>
      <c r="C1144">
        <v>51.561691257142797</v>
      </c>
      <c r="D1144">
        <v>-0.266094085714285</v>
      </c>
      <c r="F1144">
        <v>7</v>
      </c>
      <c r="G1144" t="str">
        <f>IFERROR(VLOOKUP(B1144, Churches!H:H, 1, FALSE), "")</f>
        <v/>
      </c>
    </row>
    <row r="1145" spans="1:7" x14ac:dyDescent="0.25">
      <c r="A1145" t="s">
        <v>1652</v>
      </c>
      <c r="B1145" t="s">
        <v>2275</v>
      </c>
      <c r="C1145">
        <v>51.535302242857099</v>
      </c>
      <c r="D1145">
        <v>-7.6400414285714299E-2</v>
      </c>
      <c r="F1145">
        <v>7</v>
      </c>
      <c r="G1145" t="str">
        <f>IFERROR(VLOOKUP(B1145, Churches!H:H, 1, FALSE), "")</f>
        <v/>
      </c>
    </row>
    <row r="1146" spans="1:7" x14ac:dyDescent="0.25">
      <c r="A1146" t="s">
        <v>1653</v>
      </c>
      <c r="B1146" t="s">
        <v>2805</v>
      </c>
      <c r="C1146">
        <v>51.496673919999999</v>
      </c>
      <c r="D1146">
        <v>-0.26822034</v>
      </c>
      <c r="F1146">
        <v>5</v>
      </c>
      <c r="G1146" t="str">
        <f>IFERROR(VLOOKUP(B1146, Churches!H:H, 1, FALSE), "")</f>
        <v/>
      </c>
    </row>
    <row r="1147" spans="1:7" x14ac:dyDescent="0.25">
      <c r="A1147" t="s">
        <v>1654</v>
      </c>
      <c r="B1147" t="s">
        <v>2806</v>
      </c>
      <c r="C1147">
        <v>51.466010939999997</v>
      </c>
      <c r="D1147">
        <v>-0.17646619999999999</v>
      </c>
      <c r="E1147" t="s">
        <v>673</v>
      </c>
      <c r="F1147">
        <v>5</v>
      </c>
      <c r="G1147" t="str">
        <f>IFERROR(VLOOKUP(B1147, Churches!H:H, 1, FALSE), "")</f>
        <v/>
      </c>
    </row>
    <row r="1148" spans="1:7" x14ac:dyDescent="0.25">
      <c r="A1148" t="s">
        <v>713</v>
      </c>
      <c r="B1148" t="s">
        <v>2275</v>
      </c>
      <c r="C1148">
        <v>51.492957105263102</v>
      </c>
      <c r="D1148">
        <v>5.9543389473684198E-2</v>
      </c>
      <c r="E1148" t="s">
        <v>673</v>
      </c>
      <c r="F1148">
        <v>19</v>
      </c>
      <c r="G1148" t="str">
        <f>IFERROR(VLOOKUP(B1148, Churches!H:H, 1, FALSE), "")</f>
        <v/>
      </c>
    </row>
    <row r="1149" spans="1:7" x14ac:dyDescent="0.25">
      <c r="A1149" t="s">
        <v>1655</v>
      </c>
      <c r="B1149" t="s">
        <v>2275</v>
      </c>
      <c r="C1149">
        <v>51.573538227272699</v>
      </c>
      <c r="D1149">
        <v>-2.8836172727272701E-2</v>
      </c>
      <c r="F1149">
        <v>11</v>
      </c>
      <c r="G1149" t="str">
        <f>IFERROR(VLOOKUP(B1149, Churches!H:H, 1, FALSE), "")</f>
        <v/>
      </c>
    </row>
    <row r="1150" spans="1:7" x14ac:dyDescent="0.25">
      <c r="A1150" t="s">
        <v>1656</v>
      </c>
      <c r="B1150" t="s">
        <v>2807</v>
      </c>
      <c r="C1150">
        <v>51.635411579999897</v>
      </c>
      <c r="D1150">
        <v>-0.10572013333333299</v>
      </c>
      <c r="E1150" t="s">
        <v>673</v>
      </c>
      <c r="F1150">
        <v>15</v>
      </c>
      <c r="G1150" t="str">
        <f>IFERROR(VLOOKUP(B1150, Churches!H:H, 1, FALSE), "")</f>
        <v/>
      </c>
    </row>
    <row r="1151" spans="1:7" x14ac:dyDescent="0.25">
      <c r="A1151" t="s">
        <v>1657</v>
      </c>
      <c r="B1151" t="s">
        <v>2808</v>
      </c>
      <c r="C1151">
        <v>51.426434514285702</v>
      </c>
      <c r="D1151">
        <v>-0.332402742857142</v>
      </c>
      <c r="F1151">
        <v>7</v>
      </c>
      <c r="G1151" t="str">
        <f>IFERROR(VLOOKUP(B1151, Churches!H:H, 1, FALSE), "")</f>
        <v/>
      </c>
    </row>
    <row r="1152" spans="1:7" x14ac:dyDescent="0.25">
      <c r="A1152" t="s">
        <v>821</v>
      </c>
      <c r="B1152" t="s">
        <v>2275</v>
      </c>
      <c r="C1152">
        <v>51.468239011475298</v>
      </c>
      <c r="D1152">
        <v>7.7102295081967198E-3</v>
      </c>
      <c r="E1152" t="s">
        <v>673</v>
      </c>
      <c r="F1152">
        <v>61</v>
      </c>
      <c r="G1152" t="str">
        <f>IFERROR(VLOOKUP(B1152, Churches!H:H, 1, FALSE), "")</f>
        <v/>
      </c>
    </row>
    <row r="1153" spans="1:7" x14ac:dyDescent="0.25">
      <c r="A1153" t="s">
        <v>1658</v>
      </c>
      <c r="B1153" t="s">
        <v>2809</v>
      </c>
      <c r="C1153">
        <v>51.649520340000002</v>
      </c>
      <c r="D1153">
        <v>-8.0363879999999999E-2</v>
      </c>
      <c r="F1153">
        <v>5</v>
      </c>
      <c r="G1153" t="str">
        <f>IFERROR(VLOOKUP(B1153, Churches!H:H, 1, FALSE), "")</f>
        <v/>
      </c>
    </row>
    <row r="1154" spans="1:7" x14ac:dyDescent="0.25">
      <c r="A1154" t="s">
        <v>305</v>
      </c>
      <c r="B1154" t="s">
        <v>2275</v>
      </c>
      <c r="C1154">
        <v>51.531030600000001</v>
      </c>
      <c r="D1154">
        <v>-9.1799871428571406E-2</v>
      </c>
      <c r="E1154" t="s">
        <v>673</v>
      </c>
      <c r="F1154">
        <v>7</v>
      </c>
      <c r="G1154" t="str">
        <f>IFERROR(VLOOKUP(B1154, Churches!H:H, 1, FALSE), "")</f>
        <v/>
      </c>
    </row>
    <row r="1155" spans="1:7" x14ac:dyDescent="0.25">
      <c r="A1155" t="s">
        <v>1659</v>
      </c>
      <c r="B1155" t="s">
        <v>2275</v>
      </c>
      <c r="C1155">
        <v>51.464196618181802</v>
      </c>
      <c r="D1155">
        <v>-1.0194127272727199E-2</v>
      </c>
      <c r="F1155">
        <v>11</v>
      </c>
      <c r="G1155" t="str">
        <f>IFERROR(VLOOKUP(B1155, Churches!H:H, 1, FALSE), "")</f>
        <v/>
      </c>
    </row>
    <row r="1156" spans="1:7" x14ac:dyDescent="0.25">
      <c r="A1156" t="s">
        <v>1660</v>
      </c>
      <c r="B1156" t="s">
        <v>2275</v>
      </c>
      <c r="C1156">
        <v>51.536279350000001</v>
      </c>
      <c r="D1156">
        <v>8.07107833333333E-2</v>
      </c>
      <c r="F1156">
        <v>6</v>
      </c>
      <c r="G1156" t="str">
        <f>IFERROR(VLOOKUP(B1156, Churches!H:H, 1, FALSE), "")</f>
        <v/>
      </c>
    </row>
    <row r="1157" spans="1:7" x14ac:dyDescent="0.25">
      <c r="A1157" t="s">
        <v>1594</v>
      </c>
      <c r="B1157" t="s">
        <v>2810</v>
      </c>
      <c r="C1157">
        <v>51.521958550000001</v>
      </c>
      <c r="D1157">
        <v>-0.29058534000000003</v>
      </c>
      <c r="E1157" t="s">
        <v>673</v>
      </c>
      <c r="F1157">
        <v>10</v>
      </c>
      <c r="G1157" t="str">
        <f>IFERROR(VLOOKUP(B1157, Churches!H:H, 1, FALSE), "")</f>
        <v/>
      </c>
    </row>
    <row r="1158" spans="1:7" x14ac:dyDescent="0.25">
      <c r="A1158" t="s">
        <v>1661</v>
      </c>
      <c r="B1158" t="s">
        <v>2811</v>
      </c>
      <c r="C1158">
        <v>51.509365939999903</v>
      </c>
      <c r="D1158">
        <v>-0.33497184000000002</v>
      </c>
      <c r="E1158" t="s">
        <v>673</v>
      </c>
      <c r="F1158">
        <v>5</v>
      </c>
      <c r="G1158" t="str">
        <f>IFERROR(VLOOKUP(B1158, Churches!H:H, 1, FALSE), "")</f>
        <v/>
      </c>
    </row>
    <row r="1159" spans="1:7" x14ac:dyDescent="0.25">
      <c r="A1159" t="s">
        <v>1662</v>
      </c>
      <c r="B1159" t="s">
        <v>2812</v>
      </c>
      <c r="C1159">
        <v>51.526915940000002</v>
      </c>
      <c r="D1159">
        <v>-0.35194359999999902</v>
      </c>
      <c r="F1159">
        <v>5</v>
      </c>
      <c r="G1159" t="str">
        <f>IFERROR(VLOOKUP(B1159, Churches!H:H, 1, FALSE), "")</f>
        <v/>
      </c>
    </row>
    <row r="1160" spans="1:7" x14ac:dyDescent="0.25">
      <c r="A1160" t="s">
        <v>1663</v>
      </c>
      <c r="B1160" t="s">
        <v>2813</v>
      </c>
      <c r="C1160">
        <v>51.533883299999999</v>
      </c>
      <c r="D1160">
        <v>-0.37119447999999999</v>
      </c>
      <c r="E1160" t="s">
        <v>673</v>
      </c>
      <c r="F1160">
        <v>5</v>
      </c>
      <c r="G1160" t="str">
        <f>IFERROR(VLOOKUP(B1160, Churches!H:H, 1, FALSE), "")</f>
        <v/>
      </c>
    </row>
    <row r="1161" spans="1:7" x14ac:dyDescent="0.25">
      <c r="A1161" t="s">
        <v>1664</v>
      </c>
      <c r="B1161" t="s">
        <v>2814</v>
      </c>
      <c r="C1161">
        <v>51.510414857142798</v>
      </c>
      <c r="D1161">
        <v>-0.326150257142857</v>
      </c>
      <c r="F1161">
        <v>7</v>
      </c>
      <c r="G1161" t="str">
        <f>IFERROR(VLOOKUP(B1161, Churches!H:H, 1, FALSE), "")</f>
        <v/>
      </c>
    </row>
    <row r="1162" spans="1:7" x14ac:dyDescent="0.25">
      <c r="A1162" t="s">
        <v>1665</v>
      </c>
      <c r="B1162" t="s">
        <v>2815</v>
      </c>
      <c r="C1162">
        <v>51.511197779999897</v>
      </c>
      <c r="D1162">
        <v>-0.3248259</v>
      </c>
      <c r="F1162">
        <v>5</v>
      </c>
      <c r="G1162" t="str">
        <f>IFERROR(VLOOKUP(B1162, Churches!H:H, 1, FALSE), "")</f>
        <v/>
      </c>
    </row>
    <row r="1163" spans="1:7" x14ac:dyDescent="0.25">
      <c r="A1163" t="s">
        <v>1666</v>
      </c>
      <c r="B1163" t="s">
        <v>2816</v>
      </c>
      <c r="C1163">
        <v>51.440250178571397</v>
      </c>
      <c r="D1163">
        <v>-0.18639576071428501</v>
      </c>
      <c r="F1163">
        <v>28</v>
      </c>
      <c r="G1163" t="str">
        <f>IFERROR(VLOOKUP(B1163, Churches!H:H, 1, FALSE), "")</f>
        <v/>
      </c>
    </row>
    <row r="1164" spans="1:7" x14ac:dyDescent="0.25">
      <c r="A1164" t="s">
        <v>1667</v>
      </c>
      <c r="B1164" t="s">
        <v>2817</v>
      </c>
      <c r="C1164">
        <v>51.565897237499897</v>
      </c>
      <c r="D1164">
        <v>-0.12071224999999999</v>
      </c>
      <c r="F1164">
        <v>8</v>
      </c>
      <c r="G1164" t="str">
        <f>IFERROR(VLOOKUP(B1164, Churches!H:H, 1, FALSE), "")</f>
        <v/>
      </c>
    </row>
    <row r="1165" spans="1:7" x14ac:dyDescent="0.25">
      <c r="A1165" t="s">
        <v>1668</v>
      </c>
      <c r="B1165" t="s">
        <v>2818</v>
      </c>
      <c r="C1165">
        <v>51.507926155555502</v>
      </c>
      <c r="D1165">
        <v>-0.33912195555555502</v>
      </c>
      <c r="F1165">
        <v>9</v>
      </c>
      <c r="G1165" t="str">
        <f>IFERROR(VLOOKUP(B1165, Churches!H:H, 1, FALSE), "")</f>
        <v/>
      </c>
    </row>
    <row r="1166" spans="1:7" x14ac:dyDescent="0.25">
      <c r="A1166" t="s">
        <v>1669</v>
      </c>
      <c r="B1166" t="s">
        <v>2819</v>
      </c>
      <c r="C1166">
        <v>51.460733380000001</v>
      </c>
      <c r="D1166">
        <v>-0.11854558</v>
      </c>
      <c r="F1166">
        <v>5</v>
      </c>
      <c r="G1166" t="str">
        <f>IFERROR(VLOOKUP(B1166, Churches!H:H, 1, FALSE), "")</f>
        <v/>
      </c>
    </row>
    <row r="1167" spans="1:7" x14ac:dyDescent="0.25">
      <c r="A1167" t="s">
        <v>1670</v>
      </c>
      <c r="B1167" t="s">
        <v>2820</v>
      </c>
      <c r="C1167">
        <v>51.501398866666598</v>
      </c>
      <c r="D1167">
        <v>-0.38169686666666602</v>
      </c>
      <c r="E1167" t="s">
        <v>673</v>
      </c>
      <c r="F1167">
        <v>9</v>
      </c>
      <c r="G1167" t="str">
        <f>IFERROR(VLOOKUP(B1167, Churches!H:H, 1, FALSE), "")</f>
        <v/>
      </c>
    </row>
    <row r="1168" spans="1:7" x14ac:dyDescent="0.25">
      <c r="A1168" t="s">
        <v>1671</v>
      </c>
      <c r="B1168" t="s">
        <v>2821</v>
      </c>
      <c r="C1168">
        <v>51.507330359999898</v>
      </c>
      <c r="D1168">
        <v>-0.37396881999999998</v>
      </c>
      <c r="F1168">
        <v>5</v>
      </c>
      <c r="G1168" t="str">
        <f>IFERROR(VLOOKUP(B1168, Churches!H:H, 1, FALSE), "")</f>
        <v/>
      </c>
    </row>
    <row r="1169" spans="1:7" x14ac:dyDescent="0.25">
      <c r="A1169" t="s">
        <v>1672</v>
      </c>
      <c r="B1169" t="s">
        <v>2822</v>
      </c>
      <c r="C1169">
        <v>51.499597899999998</v>
      </c>
      <c r="D1169">
        <v>-0.38245708571428499</v>
      </c>
      <c r="F1169">
        <v>7</v>
      </c>
      <c r="G1169" t="str">
        <f>IFERROR(VLOOKUP(B1169, Churches!H:H, 1, FALSE), "")</f>
        <v/>
      </c>
    </row>
    <row r="1170" spans="1:7" x14ac:dyDescent="0.25">
      <c r="A1170" t="s">
        <v>1673</v>
      </c>
      <c r="B1170" t="s">
        <v>2822</v>
      </c>
      <c r="C1170">
        <v>51.499220119999997</v>
      </c>
      <c r="D1170">
        <v>-0.382993379999999</v>
      </c>
      <c r="F1170">
        <v>10</v>
      </c>
      <c r="G1170" t="str">
        <f>IFERROR(VLOOKUP(B1170, Churches!H:H, 1, FALSE), "")</f>
        <v/>
      </c>
    </row>
    <row r="1171" spans="1:7" x14ac:dyDescent="0.25">
      <c r="A1171" t="s">
        <v>1674</v>
      </c>
      <c r="B1171" t="s">
        <v>2823</v>
      </c>
      <c r="C1171">
        <v>51.499288899999897</v>
      </c>
      <c r="D1171">
        <v>-0.38476438750000003</v>
      </c>
      <c r="F1171">
        <v>8</v>
      </c>
      <c r="G1171" t="str">
        <f>IFERROR(VLOOKUP(B1171, Churches!H:H, 1, FALSE), "")</f>
        <v/>
      </c>
    </row>
    <row r="1172" spans="1:7" x14ac:dyDescent="0.25">
      <c r="A1172" t="s">
        <v>1675</v>
      </c>
      <c r="B1172" t="s">
        <v>2824</v>
      </c>
      <c r="C1172">
        <v>51.502436771428499</v>
      </c>
      <c r="D1172">
        <v>-0.383181257142857</v>
      </c>
      <c r="F1172">
        <v>7</v>
      </c>
      <c r="G1172" t="str">
        <f>IFERROR(VLOOKUP(B1172, Churches!H:H, 1, FALSE), "")</f>
        <v/>
      </c>
    </row>
    <row r="1173" spans="1:7" x14ac:dyDescent="0.25">
      <c r="A1173" t="s">
        <v>1676</v>
      </c>
      <c r="B1173" t="s">
        <v>2825</v>
      </c>
      <c r="C1173">
        <v>51.511847083333301</v>
      </c>
      <c r="D1173">
        <v>-0.37388538333333299</v>
      </c>
      <c r="F1173">
        <v>6</v>
      </c>
      <c r="G1173" t="str">
        <f>IFERROR(VLOOKUP(B1173, Churches!H:H, 1, FALSE), "")</f>
        <v/>
      </c>
    </row>
    <row r="1174" spans="1:7" x14ac:dyDescent="0.25">
      <c r="A1174" t="s">
        <v>1677</v>
      </c>
      <c r="B1174" t="s">
        <v>2826</v>
      </c>
      <c r="C1174">
        <v>51.455002112499997</v>
      </c>
      <c r="D1174">
        <v>-0.18740676249999999</v>
      </c>
      <c r="E1174" t="s">
        <v>673</v>
      </c>
      <c r="F1174">
        <v>16</v>
      </c>
      <c r="G1174" t="str">
        <f>IFERROR(VLOOKUP(B1174, Churches!H:H, 1, FALSE), "")</f>
        <v/>
      </c>
    </row>
    <row r="1175" spans="1:7" x14ac:dyDescent="0.25">
      <c r="A1175" t="s">
        <v>1678</v>
      </c>
      <c r="B1175" t="s">
        <v>2827</v>
      </c>
      <c r="C1175">
        <v>51.501244253333297</v>
      </c>
      <c r="D1175">
        <v>-0.330246506666666</v>
      </c>
      <c r="E1175" t="s">
        <v>673</v>
      </c>
      <c r="F1175">
        <v>15</v>
      </c>
      <c r="G1175" t="str">
        <f>IFERROR(VLOOKUP(B1175, Churches!H:H, 1, FALSE), "")</f>
        <v/>
      </c>
    </row>
    <row r="1176" spans="1:7" x14ac:dyDescent="0.25">
      <c r="A1176" t="s">
        <v>977</v>
      </c>
      <c r="B1176" t="s">
        <v>2828</v>
      </c>
      <c r="C1176">
        <v>51.512940176923003</v>
      </c>
      <c r="D1176">
        <v>-0.384455269230769</v>
      </c>
      <c r="E1176" t="s">
        <v>673</v>
      </c>
      <c r="F1176">
        <v>13</v>
      </c>
      <c r="G1176" t="str">
        <f>IFERROR(VLOOKUP(B1176, Churches!H:H, 1, FALSE), "")</f>
        <v/>
      </c>
    </row>
    <row r="1177" spans="1:7" x14ac:dyDescent="0.25">
      <c r="A1177" t="s">
        <v>1679</v>
      </c>
      <c r="B1177" t="s">
        <v>2465</v>
      </c>
      <c r="C1177">
        <v>51.587645260000002</v>
      </c>
      <c r="D1177">
        <v>-0.10881484</v>
      </c>
      <c r="F1177">
        <v>5</v>
      </c>
      <c r="G1177" t="str">
        <f>IFERROR(VLOOKUP(B1177, Churches!H:H, 1, FALSE), "")</f>
        <v/>
      </c>
    </row>
    <row r="1178" spans="1:7" x14ac:dyDescent="0.25">
      <c r="A1178" t="s">
        <v>1680</v>
      </c>
      <c r="B1178" t="s">
        <v>2275</v>
      </c>
      <c r="C1178">
        <v>51.4613309285714</v>
      </c>
      <c r="D1178">
        <v>-8.5610428571428494E-3</v>
      </c>
      <c r="F1178">
        <v>7</v>
      </c>
      <c r="G1178" t="str">
        <f>IFERROR(VLOOKUP(B1178, Churches!H:H, 1, FALSE), "")</f>
        <v/>
      </c>
    </row>
    <row r="1179" spans="1:7" x14ac:dyDescent="0.25">
      <c r="A1179" t="s">
        <v>1681</v>
      </c>
      <c r="B1179" t="s">
        <v>2829</v>
      </c>
      <c r="C1179">
        <v>51.428173447058803</v>
      </c>
      <c r="D1179">
        <v>0.101898576470588</v>
      </c>
      <c r="F1179">
        <v>17</v>
      </c>
      <c r="G1179" t="str">
        <f>IFERROR(VLOOKUP(B1179, Churches!H:H, 1, FALSE), "")</f>
        <v/>
      </c>
    </row>
    <row r="1180" spans="1:7" x14ac:dyDescent="0.25">
      <c r="A1180" t="s">
        <v>1682</v>
      </c>
      <c r="B1180" t="s">
        <v>2275</v>
      </c>
      <c r="C1180">
        <v>51.382030319999998</v>
      </c>
      <c r="D1180">
        <v>-6.7765579999999895E-2</v>
      </c>
      <c r="F1180">
        <v>5</v>
      </c>
      <c r="G1180" t="str">
        <f>IFERROR(VLOOKUP(B1180, Churches!H:H, 1, FALSE), "")</f>
        <v/>
      </c>
    </row>
    <row r="1181" spans="1:7" x14ac:dyDescent="0.25">
      <c r="A1181" t="s">
        <v>1683</v>
      </c>
      <c r="B1181" t="s">
        <v>2830</v>
      </c>
      <c r="C1181">
        <v>51.468892749999902</v>
      </c>
      <c r="D1181">
        <v>-0.190477333333333</v>
      </c>
      <c r="E1181" t="s">
        <v>673</v>
      </c>
      <c r="F1181">
        <v>6</v>
      </c>
      <c r="G1181" t="str">
        <f>IFERROR(VLOOKUP(B1181, Churches!H:H, 1, FALSE), "")</f>
        <v/>
      </c>
    </row>
    <row r="1182" spans="1:7" x14ac:dyDescent="0.25">
      <c r="A1182" t="s">
        <v>1684</v>
      </c>
      <c r="B1182" t="s">
        <v>2016</v>
      </c>
      <c r="C1182">
        <v>51.588025216666601</v>
      </c>
      <c r="D1182">
        <v>-0.1174794</v>
      </c>
      <c r="F1182">
        <v>6</v>
      </c>
      <c r="G1182" t="str">
        <f>IFERROR(VLOOKUP(B1182, Churches!H:H, 1, FALSE), "")</f>
        <v/>
      </c>
    </row>
    <row r="1183" spans="1:7" x14ac:dyDescent="0.25">
      <c r="A1183" t="s">
        <v>1685</v>
      </c>
      <c r="B1183" t="s">
        <v>2831</v>
      </c>
      <c r="C1183">
        <v>51.473830385714201</v>
      </c>
      <c r="D1183">
        <v>-0.15775424285714201</v>
      </c>
      <c r="E1183" t="s">
        <v>673</v>
      </c>
      <c r="F1183">
        <v>7</v>
      </c>
      <c r="G1183" t="str">
        <f>IFERROR(VLOOKUP(B1183, Churches!H:H, 1, FALSE), "")</f>
        <v/>
      </c>
    </row>
    <row r="1184" spans="1:7" x14ac:dyDescent="0.25">
      <c r="A1184" t="s">
        <v>1686</v>
      </c>
      <c r="B1184" t="s">
        <v>2275</v>
      </c>
      <c r="C1184">
        <v>51.460753785714203</v>
      </c>
      <c r="D1184">
        <v>-9.7962142857142796E-3</v>
      </c>
      <c r="F1184">
        <v>7</v>
      </c>
      <c r="G1184" t="str">
        <f>IFERROR(VLOOKUP(B1184, Churches!H:H, 1, FALSE), "")</f>
        <v/>
      </c>
    </row>
    <row r="1185" spans="1:7" x14ac:dyDescent="0.25">
      <c r="A1185" t="s">
        <v>1687</v>
      </c>
      <c r="B1185" t="s">
        <v>2832</v>
      </c>
      <c r="C1185">
        <v>51.460064189999898</v>
      </c>
      <c r="D1185">
        <v>-1.0725500000000001E-2</v>
      </c>
      <c r="F1185">
        <v>10</v>
      </c>
      <c r="G1185" t="str">
        <f>IFERROR(VLOOKUP(B1185, Churches!H:H, 1, FALSE), "")</f>
        <v/>
      </c>
    </row>
    <row r="1186" spans="1:7" x14ac:dyDescent="0.25">
      <c r="A1186" t="s">
        <v>724</v>
      </c>
      <c r="B1186" t="s">
        <v>2833</v>
      </c>
      <c r="C1186">
        <v>51.623570221052603</v>
      </c>
      <c r="D1186">
        <v>-0.104863552631578</v>
      </c>
      <c r="E1186" t="s">
        <v>673</v>
      </c>
      <c r="F1186">
        <v>19</v>
      </c>
      <c r="G1186" t="str">
        <f>IFERROR(VLOOKUP(B1186, Churches!H:H, 1, FALSE), "")</f>
        <v/>
      </c>
    </row>
    <row r="1187" spans="1:7" x14ac:dyDescent="0.25">
      <c r="A1187" t="s">
        <v>1191</v>
      </c>
      <c r="B1187" t="s">
        <v>2834</v>
      </c>
      <c r="C1187">
        <v>51.595304585714203</v>
      </c>
      <c r="D1187">
        <v>-0.480722714285714</v>
      </c>
      <c r="E1187" t="s">
        <v>673</v>
      </c>
      <c r="F1187">
        <v>7</v>
      </c>
      <c r="G1187" t="str">
        <f>IFERROR(VLOOKUP(B1187, Churches!H:H, 1, FALSE), "")</f>
        <v/>
      </c>
    </row>
    <row r="1188" spans="1:7" x14ac:dyDescent="0.25">
      <c r="A1188" t="s">
        <v>1688</v>
      </c>
      <c r="B1188" t="s">
        <v>2835</v>
      </c>
      <c r="C1188">
        <v>51.472565790909101</v>
      </c>
      <c r="D1188">
        <v>-0.16507581818181799</v>
      </c>
      <c r="F1188">
        <v>11</v>
      </c>
      <c r="G1188" t="str">
        <f>IFERROR(VLOOKUP(B1188, Churches!H:H, 1, FALSE), "")</f>
        <v/>
      </c>
    </row>
    <row r="1189" spans="1:7" x14ac:dyDescent="0.25">
      <c r="A1189" t="s">
        <v>1689</v>
      </c>
      <c r="B1189" t="s">
        <v>2836</v>
      </c>
      <c r="C1189">
        <v>51.432255046153799</v>
      </c>
      <c r="D1189">
        <v>-0.18299269999999901</v>
      </c>
      <c r="E1189" t="s">
        <v>673</v>
      </c>
      <c r="F1189">
        <v>13</v>
      </c>
      <c r="G1189" t="str">
        <f>IFERROR(VLOOKUP(B1189, Churches!H:H, 1, FALSE), "")</f>
        <v/>
      </c>
    </row>
    <row r="1190" spans="1:7" x14ac:dyDescent="0.25">
      <c r="A1190" t="s">
        <v>1690</v>
      </c>
      <c r="B1190" t="s">
        <v>2837</v>
      </c>
      <c r="C1190">
        <v>51.465982459999999</v>
      </c>
      <c r="D1190">
        <v>-0.12982885999999999</v>
      </c>
      <c r="F1190">
        <v>5</v>
      </c>
      <c r="G1190" t="str">
        <f>IFERROR(VLOOKUP(B1190, Churches!H:H, 1, FALSE), "")</f>
        <v/>
      </c>
    </row>
    <row r="1191" spans="1:7" x14ac:dyDescent="0.25">
      <c r="A1191" t="s">
        <v>735</v>
      </c>
      <c r="B1191" t="s">
        <v>2275</v>
      </c>
      <c r="C1191">
        <v>51.356674537037001</v>
      </c>
      <c r="D1191">
        <v>-8.8631303703703701E-2</v>
      </c>
      <c r="E1191" t="s">
        <v>673</v>
      </c>
      <c r="F1191">
        <v>27</v>
      </c>
      <c r="G1191" t="str">
        <f>IFERROR(VLOOKUP(B1191, Churches!H:H, 1, FALSE), "")</f>
        <v/>
      </c>
    </row>
    <row r="1192" spans="1:7" x14ac:dyDescent="0.25">
      <c r="A1192" t="s">
        <v>1691</v>
      </c>
      <c r="B1192" t="s">
        <v>2838</v>
      </c>
      <c r="C1192">
        <v>51.433537407142801</v>
      </c>
      <c r="D1192">
        <v>-0.347664842857142</v>
      </c>
      <c r="E1192" t="s">
        <v>673</v>
      </c>
      <c r="F1192">
        <v>14</v>
      </c>
      <c r="G1192" t="str">
        <f>IFERROR(VLOOKUP(B1192, Churches!H:H, 1, FALSE), "")</f>
        <v/>
      </c>
    </row>
    <row r="1193" spans="1:7" x14ac:dyDescent="0.25">
      <c r="A1193" t="s">
        <v>1692</v>
      </c>
      <c r="B1193" t="s">
        <v>2839</v>
      </c>
      <c r="C1193">
        <v>51.537106566666601</v>
      </c>
      <c r="D1193">
        <v>-0.14046085</v>
      </c>
      <c r="F1193">
        <v>6</v>
      </c>
      <c r="G1193" t="str">
        <f>IFERROR(VLOOKUP(B1193, Churches!H:H, 1, FALSE), "")</f>
        <v/>
      </c>
    </row>
    <row r="1194" spans="1:7" x14ac:dyDescent="0.25">
      <c r="A1194" t="s">
        <v>821</v>
      </c>
      <c r="B1194" t="s">
        <v>2840</v>
      </c>
      <c r="C1194">
        <v>51.457571738095197</v>
      </c>
      <c r="D1194">
        <v>-0.19528481904761899</v>
      </c>
      <c r="E1194" t="s">
        <v>677</v>
      </c>
      <c r="F1194">
        <v>21</v>
      </c>
      <c r="G1194" t="str">
        <f>IFERROR(VLOOKUP(B1194, Churches!H:H, 1, FALSE), "")</f>
        <v/>
      </c>
    </row>
    <row r="1195" spans="1:7" x14ac:dyDescent="0.25">
      <c r="A1195" t="s">
        <v>1693</v>
      </c>
      <c r="B1195" t="s">
        <v>2275</v>
      </c>
      <c r="C1195">
        <v>51.514867733333297</v>
      </c>
      <c r="D1195">
        <v>-9.6194544444444405E-2</v>
      </c>
      <c r="F1195">
        <v>9</v>
      </c>
      <c r="G1195" t="str">
        <f>IFERROR(VLOOKUP(B1195, Churches!H:H, 1, FALSE), "")</f>
        <v/>
      </c>
    </row>
    <row r="1196" spans="1:7" x14ac:dyDescent="0.25">
      <c r="A1196" t="s">
        <v>1694</v>
      </c>
      <c r="B1196" t="s">
        <v>2841</v>
      </c>
      <c r="C1196">
        <v>51.416159176923003</v>
      </c>
      <c r="D1196">
        <v>-0.17748161538461499</v>
      </c>
      <c r="E1196" t="s">
        <v>673</v>
      </c>
      <c r="F1196">
        <v>13</v>
      </c>
      <c r="G1196" t="str">
        <f>IFERROR(VLOOKUP(B1196, Churches!H:H, 1, FALSE), "")</f>
        <v/>
      </c>
    </row>
    <row r="1197" spans="1:7" x14ac:dyDescent="0.25">
      <c r="A1197" t="s">
        <v>1695</v>
      </c>
      <c r="B1197" t="s">
        <v>2842</v>
      </c>
      <c r="C1197">
        <v>51.4135627307692</v>
      </c>
      <c r="D1197">
        <v>-0.19147382307692301</v>
      </c>
      <c r="E1197" t="s">
        <v>673</v>
      </c>
      <c r="F1197">
        <v>13</v>
      </c>
      <c r="G1197" t="str">
        <f>IFERROR(VLOOKUP(B1197, Churches!H:H, 1, FALSE), "")</f>
        <v/>
      </c>
    </row>
    <row r="1198" spans="1:7" x14ac:dyDescent="0.25">
      <c r="A1198" t="s">
        <v>1696</v>
      </c>
      <c r="B1198" t="s">
        <v>2843</v>
      </c>
      <c r="C1198">
        <v>51.515321721739099</v>
      </c>
      <c r="D1198">
        <v>-0.205174260869565</v>
      </c>
      <c r="F1198">
        <v>23</v>
      </c>
      <c r="G1198" t="str">
        <f>IFERROR(VLOOKUP(B1198, Churches!H:H, 1, FALSE), "")</f>
        <v/>
      </c>
    </row>
    <row r="1199" spans="1:7" x14ac:dyDescent="0.25">
      <c r="A1199" t="s">
        <v>1697</v>
      </c>
      <c r="B1199" t="s">
        <v>2844</v>
      </c>
      <c r="C1199">
        <v>51.540410440000002</v>
      </c>
      <c r="D1199">
        <v>-0.116743179999999</v>
      </c>
      <c r="F1199">
        <v>5</v>
      </c>
      <c r="G1199" t="str">
        <f>IFERROR(VLOOKUP(B1199, Churches!H:H, 1, FALSE), "")</f>
        <v/>
      </c>
    </row>
    <row r="1200" spans="1:7" x14ac:dyDescent="0.25">
      <c r="A1200" t="s">
        <v>1698</v>
      </c>
      <c r="B1200" t="s">
        <v>2845</v>
      </c>
      <c r="C1200">
        <v>51.4118366133333</v>
      </c>
      <c r="D1200">
        <v>-0.23385065999999999</v>
      </c>
      <c r="E1200" t="s">
        <v>673</v>
      </c>
      <c r="F1200">
        <v>15</v>
      </c>
      <c r="G1200" t="str">
        <f>IFERROR(VLOOKUP(B1200, Churches!H:H, 1, FALSE), "")</f>
        <v/>
      </c>
    </row>
    <row r="1201" spans="1:7" x14ac:dyDescent="0.25">
      <c r="A1201" t="s">
        <v>1699</v>
      </c>
      <c r="B1201" t="s">
        <v>2846</v>
      </c>
      <c r="C1201">
        <v>51.417958433333297</v>
      </c>
      <c r="D1201">
        <v>-0.23032649999999999</v>
      </c>
      <c r="E1201" t="s">
        <v>673</v>
      </c>
      <c r="F1201">
        <v>9</v>
      </c>
      <c r="G1201" t="str">
        <f>IFERROR(VLOOKUP(B1201, Churches!H:H, 1, FALSE), "")</f>
        <v/>
      </c>
    </row>
    <row r="1202" spans="1:7" x14ac:dyDescent="0.25">
      <c r="A1202" t="s">
        <v>676</v>
      </c>
      <c r="B1202" t="s">
        <v>2847</v>
      </c>
      <c r="C1202">
        <v>51.449236057142798</v>
      </c>
      <c r="D1202">
        <v>-0.237223257142857</v>
      </c>
      <c r="E1202" t="s">
        <v>673</v>
      </c>
      <c r="F1202">
        <v>7</v>
      </c>
      <c r="G1202" t="str">
        <f>IFERROR(VLOOKUP(B1202, Churches!H:H, 1, FALSE), "")</f>
        <v/>
      </c>
    </row>
    <row r="1203" spans="1:7" x14ac:dyDescent="0.25">
      <c r="A1203" t="s">
        <v>821</v>
      </c>
      <c r="B1203" t="s">
        <v>2848</v>
      </c>
      <c r="C1203">
        <v>51.462492560000001</v>
      </c>
      <c r="D1203">
        <v>-0.26190037999999999</v>
      </c>
      <c r="E1203" t="s">
        <v>673</v>
      </c>
      <c r="F1203">
        <v>5</v>
      </c>
      <c r="G1203" t="str">
        <f>IFERROR(VLOOKUP(B1203, Churches!H:H, 1, FALSE), "")</f>
        <v/>
      </c>
    </row>
    <row r="1204" spans="1:7" x14ac:dyDescent="0.25">
      <c r="A1204" t="s">
        <v>1175</v>
      </c>
      <c r="B1204" t="s">
        <v>2849</v>
      </c>
      <c r="C1204">
        <v>51.548983183333299</v>
      </c>
      <c r="D1204">
        <v>-0.249883011111111</v>
      </c>
      <c r="E1204" t="s">
        <v>673</v>
      </c>
      <c r="F1204">
        <v>18</v>
      </c>
      <c r="G1204" t="str">
        <f>IFERROR(VLOOKUP(B1204, Churches!H:H, 1, FALSE), "")</f>
        <v/>
      </c>
    </row>
    <row r="1205" spans="1:7" x14ac:dyDescent="0.25">
      <c r="A1205" t="s">
        <v>1265</v>
      </c>
      <c r="B1205" t="s">
        <v>2850</v>
      </c>
      <c r="C1205">
        <v>51.460544400000003</v>
      </c>
      <c r="D1205">
        <v>-0.32523671999999998</v>
      </c>
      <c r="E1205" t="s">
        <v>673</v>
      </c>
      <c r="F1205">
        <v>5</v>
      </c>
      <c r="G1205" t="str">
        <f>IFERROR(VLOOKUP(B1205, Churches!H:H, 1, FALSE), "")</f>
        <v/>
      </c>
    </row>
    <row r="1206" spans="1:7" x14ac:dyDescent="0.25">
      <c r="A1206" t="s">
        <v>1304</v>
      </c>
      <c r="B1206" t="s">
        <v>2851</v>
      </c>
      <c r="C1206">
        <v>51.454221942857103</v>
      </c>
      <c r="D1206">
        <v>-0.333918214285714</v>
      </c>
      <c r="E1206" t="s">
        <v>673</v>
      </c>
      <c r="F1206">
        <v>14</v>
      </c>
      <c r="G1206" t="str">
        <f>IFERROR(VLOOKUP(B1206, Churches!H:H, 1, FALSE), "")</f>
        <v/>
      </c>
    </row>
    <row r="1207" spans="1:7" x14ac:dyDescent="0.25">
      <c r="A1207" t="s">
        <v>1700</v>
      </c>
      <c r="B1207" t="s">
        <v>2852</v>
      </c>
      <c r="C1207">
        <v>51.3647487625</v>
      </c>
      <c r="D1207">
        <v>-0.18316641249999999</v>
      </c>
      <c r="E1207" t="s">
        <v>673</v>
      </c>
      <c r="F1207">
        <v>8</v>
      </c>
      <c r="G1207" t="str">
        <f>IFERROR(VLOOKUP(B1207, Churches!H:H, 1, FALSE), "")</f>
        <v/>
      </c>
    </row>
    <row r="1208" spans="1:7" x14ac:dyDescent="0.25">
      <c r="A1208" t="s">
        <v>1701</v>
      </c>
      <c r="B1208" t="s">
        <v>2853</v>
      </c>
      <c r="C1208">
        <v>51.410586199999997</v>
      </c>
      <c r="D1208">
        <v>-0.22203883999999999</v>
      </c>
      <c r="E1208" t="s">
        <v>673</v>
      </c>
      <c r="F1208">
        <v>5</v>
      </c>
      <c r="G1208" t="str">
        <f>IFERROR(VLOOKUP(B1208, Churches!H:H, 1, FALSE), "")</f>
        <v/>
      </c>
    </row>
    <row r="1209" spans="1:7" x14ac:dyDescent="0.25">
      <c r="A1209" t="s">
        <v>1702</v>
      </c>
      <c r="B1209" t="s">
        <v>2854</v>
      </c>
      <c r="C1209">
        <v>51.416858679999997</v>
      </c>
      <c r="D1209">
        <v>-0.20437875999999999</v>
      </c>
      <c r="E1209" t="s">
        <v>673</v>
      </c>
      <c r="F1209">
        <v>5</v>
      </c>
      <c r="G1209" t="str">
        <f>IFERROR(VLOOKUP(B1209, Churches!H:H, 1, FALSE), "")</f>
        <v/>
      </c>
    </row>
    <row r="1210" spans="1:7" x14ac:dyDescent="0.25">
      <c r="A1210" t="s">
        <v>683</v>
      </c>
      <c r="B1210" t="s">
        <v>2855</v>
      </c>
      <c r="C1210">
        <v>51.420219355555503</v>
      </c>
      <c r="D1210">
        <v>-0.21645507777777701</v>
      </c>
      <c r="E1210" t="s">
        <v>673</v>
      </c>
      <c r="F1210">
        <v>9</v>
      </c>
      <c r="G1210" t="str">
        <f>IFERROR(VLOOKUP(B1210, Churches!H:H, 1, FALSE), "")</f>
        <v/>
      </c>
    </row>
    <row r="1211" spans="1:7" x14ac:dyDescent="0.25">
      <c r="A1211" t="s">
        <v>1185</v>
      </c>
      <c r="B1211" t="s">
        <v>2856</v>
      </c>
      <c r="C1211">
        <v>51.423048299999998</v>
      </c>
      <c r="D1211">
        <v>-0.21723256153846099</v>
      </c>
      <c r="E1211" t="s">
        <v>673</v>
      </c>
      <c r="F1211">
        <v>13</v>
      </c>
      <c r="G1211" t="str">
        <f>IFERROR(VLOOKUP(B1211, Churches!H:H, 1, FALSE), "")</f>
        <v/>
      </c>
    </row>
    <row r="1212" spans="1:7" x14ac:dyDescent="0.25">
      <c r="A1212" t="s">
        <v>1703</v>
      </c>
      <c r="B1212" t="s">
        <v>2857</v>
      </c>
      <c r="C1212">
        <v>51.358442228571398</v>
      </c>
      <c r="D1212">
        <v>-0.14101647142857099</v>
      </c>
      <c r="E1212" t="s">
        <v>673</v>
      </c>
      <c r="F1212">
        <v>7</v>
      </c>
      <c r="G1212" t="str">
        <f>IFERROR(VLOOKUP(B1212, Churches!H:H, 1, FALSE), "")</f>
        <v/>
      </c>
    </row>
    <row r="1213" spans="1:7" x14ac:dyDescent="0.25">
      <c r="A1213" t="s">
        <v>1704</v>
      </c>
      <c r="B1213" t="s">
        <v>2858</v>
      </c>
      <c r="C1213">
        <v>51.376746359999999</v>
      </c>
      <c r="D1213">
        <v>-1.7166339999999999E-2</v>
      </c>
      <c r="E1213" t="s">
        <v>673</v>
      </c>
      <c r="F1213">
        <v>5</v>
      </c>
      <c r="G1213" t="str">
        <f>IFERROR(VLOOKUP(B1213, Churches!H:H, 1, FALSE), "")</f>
        <v/>
      </c>
    </row>
    <row r="1214" spans="1:7" x14ac:dyDescent="0.25">
      <c r="A1214" t="s">
        <v>1705</v>
      </c>
      <c r="B1214" t="s">
        <v>2859</v>
      </c>
      <c r="C1214">
        <v>51.454887900000003</v>
      </c>
      <c r="D1214">
        <v>0.17470034117646999</v>
      </c>
      <c r="E1214" t="s">
        <v>673</v>
      </c>
      <c r="F1214">
        <v>17</v>
      </c>
      <c r="G1214" t="str">
        <f>IFERROR(VLOOKUP(B1214, Churches!H:H, 1, FALSE), "")</f>
        <v/>
      </c>
    </row>
    <row r="1215" spans="1:7" x14ac:dyDescent="0.25">
      <c r="A1215" t="s">
        <v>1426</v>
      </c>
      <c r="B1215" t="s">
        <v>2860</v>
      </c>
      <c r="C1215">
        <v>51.4791467444444</v>
      </c>
      <c r="D1215">
        <v>-0.208319166666666</v>
      </c>
      <c r="E1215" t="s">
        <v>673</v>
      </c>
      <c r="F1215">
        <v>9</v>
      </c>
      <c r="G1215" t="str">
        <f>IFERROR(VLOOKUP(B1215, Churches!H:H, 1, FALSE), "")</f>
        <v/>
      </c>
    </row>
    <row r="1216" spans="1:7" x14ac:dyDescent="0.25">
      <c r="A1216" t="s">
        <v>1706</v>
      </c>
      <c r="B1216" t="s">
        <v>2861</v>
      </c>
      <c r="C1216">
        <v>51.44974208</v>
      </c>
      <c r="D1216">
        <v>-0.20224635999999999</v>
      </c>
      <c r="E1216" t="s">
        <v>673</v>
      </c>
      <c r="F1216">
        <v>5</v>
      </c>
      <c r="G1216" t="str">
        <f>IFERROR(VLOOKUP(B1216, Churches!H:H, 1, FALSE), "")</f>
        <v/>
      </c>
    </row>
    <row r="1217" spans="1:7" x14ac:dyDescent="0.25">
      <c r="A1217" t="s">
        <v>1074</v>
      </c>
      <c r="B1217" t="s">
        <v>2862</v>
      </c>
      <c r="C1217">
        <v>51.436060477777701</v>
      </c>
      <c r="D1217">
        <v>-0.19835908888888801</v>
      </c>
      <c r="E1217" t="s">
        <v>673</v>
      </c>
      <c r="F1217">
        <v>9</v>
      </c>
      <c r="G1217" t="str">
        <f>IFERROR(VLOOKUP(B1217, Churches!H:H, 1, FALSE), "")</f>
        <v/>
      </c>
    </row>
    <row r="1218" spans="1:7" x14ac:dyDescent="0.25">
      <c r="A1218" t="s">
        <v>1707</v>
      </c>
      <c r="B1218" t="s">
        <v>2275</v>
      </c>
      <c r="C1218">
        <v>51.530197599999902</v>
      </c>
      <c r="D1218">
        <v>-6.4526439999999893E-2</v>
      </c>
      <c r="E1218" t="s">
        <v>673</v>
      </c>
      <c r="F1218">
        <v>5</v>
      </c>
      <c r="G1218" t="str">
        <f>IFERROR(VLOOKUP(B1218, Churches!H:H, 1, FALSE), "")</f>
        <v/>
      </c>
    </row>
    <row r="1219" spans="1:7" x14ac:dyDescent="0.25">
      <c r="A1219" t="s">
        <v>1708</v>
      </c>
      <c r="B1219" t="s">
        <v>2863</v>
      </c>
      <c r="C1219">
        <v>51.489134499999899</v>
      </c>
      <c r="D1219">
        <v>-0.184097515384615</v>
      </c>
      <c r="E1219" t="s">
        <v>673</v>
      </c>
      <c r="F1219">
        <v>13</v>
      </c>
      <c r="G1219" t="str">
        <f>IFERROR(VLOOKUP(B1219, Churches!H:H, 1, FALSE), "")</f>
        <v/>
      </c>
    </row>
    <row r="1220" spans="1:7" x14ac:dyDescent="0.25">
      <c r="A1220" t="s">
        <v>1709</v>
      </c>
      <c r="B1220" t="s">
        <v>2275</v>
      </c>
      <c r="C1220">
        <v>51.506166285714201</v>
      </c>
      <c r="D1220">
        <v>-5.8126157142857099E-2</v>
      </c>
      <c r="E1220" t="s">
        <v>673</v>
      </c>
      <c r="F1220">
        <v>7</v>
      </c>
      <c r="G1220" t="str">
        <f>IFERROR(VLOOKUP(B1220, Churches!H:H, 1, FALSE), "")</f>
        <v/>
      </c>
    </row>
    <row r="1221" spans="1:7" x14ac:dyDescent="0.25">
      <c r="A1221" t="s">
        <v>1710</v>
      </c>
      <c r="B1221" t="s">
        <v>2864</v>
      </c>
      <c r="C1221">
        <v>51.463126119999998</v>
      </c>
      <c r="D1221">
        <v>-0.12080486</v>
      </c>
      <c r="E1221" t="s">
        <v>673</v>
      </c>
      <c r="F1221">
        <v>5</v>
      </c>
      <c r="G1221" t="str">
        <f>IFERROR(VLOOKUP(B1221, Churches!H:H, 1, FALSE), "")</f>
        <v/>
      </c>
    </row>
    <row r="1222" spans="1:7" x14ac:dyDescent="0.25">
      <c r="A1222" t="s">
        <v>1711</v>
      </c>
      <c r="B1222" t="s">
        <v>2865</v>
      </c>
      <c r="C1222">
        <v>51.471702924999903</v>
      </c>
      <c r="D1222">
        <v>-0.194511408333333</v>
      </c>
      <c r="E1222" t="s">
        <v>673</v>
      </c>
      <c r="F1222">
        <v>12</v>
      </c>
      <c r="G1222" t="str">
        <f>IFERROR(VLOOKUP(B1222, Churches!H:H, 1, FALSE), "")</f>
        <v/>
      </c>
    </row>
    <row r="1223" spans="1:7" x14ac:dyDescent="0.25">
      <c r="A1223" t="s">
        <v>750</v>
      </c>
      <c r="B1223" t="s">
        <v>2866</v>
      </c>
      <c r="C1223">
        <v>51.559542055555497</v>
      </c>
      <c r="D1223">
        <v>-0.17689415555555499</v>
      </c>
      <c r="E1223" t="s">
        <v>673</v>
      </c>
      <c r="F1223">
        <v>9</v>
      </c>
      <c r="G1223" t="str">
        <f>IFERROR(VLOOKUP(B1223, Churches!H:H, 1, FALSE), "")</f>
        <v/>
      </c>
    </row>
    <row r="1224" spans="1:7" x14ac:dyDescent="0.25">
      <c r="A1224" t="s">
        <v>1712</v>
      </c>
      <c r="B1224" t="s">
        <v>2275</v>
      </c>
      <c r="C1224">
        <v>51.549126207407397</v>
      </c>
      <c r="D1224">
        <v>-5.3253462962962898E-2</v>
      </c>
      <c r="E1224" t="s">
        <v>673</v>
      </c>
      <c r="F1224">
        <v>81</v>
      </c>
      <c r="G1224" t="str">
        <f>IFERROR(VLOOKUP(B1224, Churches!H:H, 1, FALSE), "")</f>
        <v/>
      </c>
    </row>
    <row r="1225" spans="1:7" x14ac:dyDescent="0.25">
      <c r="A1225" t="s">
        <v>1713</v>
      </c>
      <c r="B1225" t="s">
        <v>2275</v>
      </c>
      <c r="C1225">
        <v>51.508545382352899</v>
      </c>
      <c r="D1225">
        <v>-7.6825441176470596E-2</v>
      </c>
      <c r="E1225" t="s">
        <v>673</v>
      </c>
      <c r="F1225">
        <v>17</v>
      </c>
      <c r="G1225" t="str">
        <f>IFERROR(VLOOKUP(B1225, Churches!H:H, 1, FALSE), "")</f>
        <v/>
      </c>
    </row>
    <row r="1226" spans="1:7" x14ac:dyDescent="0.25">
      <c r="A1226" t="s">
        <v>1714</v>
      </c>
      <c r="B1226" t="s">
        <v>2867</v>
      </c>
      <c r="C1226">
        <v>51.54085405</v>
      </c>
      <c r="D1226">
        <v>-6.3932139999999998E-2</v>
      </c>
      <c r="E1226" t="s">
        <v>673</v>
      </c>
      <c r="F1226">
        <v>10</v>
      </c>
      <c r="G1226" t="str">
        <f>IFERROR(VLOOKUP(B1226, Churches!H:H, 1, FALSE), "")</f>
        <v/>
      </c>
    </row>
    <row r="1227" spans="1:7" x14ac:dyDescent="0.25">
      <c r="A1227" t="s">
        <v>750</v>
      </c>
      <c r="B1227" t="s">
        <v>2275</v>
      </c>
      <c r="C1227">
        <v>51.469916955555497</v>
      </c>
      <c r="D1227">
        <v>6.0428822222222199E-2</v>
      </c>
      <c r="E1227" t="s">
        <v>673</v>
      </c>
      <c r="F1227">
        <v>9</v>
      </c>
      <c r="G1227" t="str">
        <f>IFERROR(VLOOKUP(B1227, Churches!H:H, 1, FALSE), "")</f>
        <v/>
      </c>
    </row>
    <row r="1228" spans="1:7" x14ac:dyDescent="0.25">
      <c r="A1228" t="s">
        <v>1715</v>
      </c>
      <c r="B1228" t="s">
        <v>2868</v>
      </c>
      <c r="C1228">
        <v>51.413947860869499</v>
      </c>
      <c r="D1228">
        <v>-0.14058509999999999</v>
      </c>
      <c r="E1228" t="s">
        <v>673</v>
      </c>
      <c r="F1228">
        <v>23</v>
      </c>
      <c r="G1228" t="str">
        <f>IFERROR(VLOOKUP(B1228, Churches!H:H, 1, FALSE), "")</f>
        <v/>
      </c>
    </row>
    <row r="1229" spans="1:7" x14ac:dyDescent="0.25">
      <c r="A1229" t="s">
        <v>1022</v>
      </c>
      <c r="B1229" t="s">
        <v>2275</v>
      </c>
      <c r="C1229">
        <v>51.552931386440598</v>
      </c>
      <c r="D1229">
        <v>-5.7398708474576197E-2</v>
      </c>
      <c r="F1229">
        <v>59</v>
      </c>
      <c r="G1229" t="str">
        <f>IFERROR(VLOOKUP(B1229, Churches!H:H, 1, FALSE), "")</f>
        <v/>
      </c>
    </row>
    <row r="1230" spans="1:7" x14ac:dyDescent="0.25">
      <c r="A1230" t="s">
        <v>1716</v>
      </c>
      <c r="B1230" t="s">
        <v>2275</v>
      </c>
      <c r="C1230">
        <v>51.597977511111097</v>
      </c>
      <c r="D1230">
        <v>-1.6735744444444402E-2</v>
      </c>
      <c r="F1230">
        <v>9</v>
      </c>
      <c r="G1230" t="str">
        <f>IFERROR(VLOOKUP(B1230, Churches!H:H, 1, FALSE), "")</f>
        <v/>
      </c>
    </row>
    <row r="1231" spans="1:7" x14ac:dyDescent="0.25">
      <c r="A1231" t="s">
        <v>1717</v>
      </c>
      <c r="B1231" t="s">
        <v>2691</v>
      </c>
      <c r="C1231">
        <v>51.587973599999998</v>
      </c>
      <c r="D1231">
        <v>-2.7834049999999999E-2</v>
      </c>
      <c r="F1231">
        <v>6</v>
      </c>
      <c r="G1231" t="str">
        <f>IFERROR(VLOOKUP(B1231, Churches!H:H, 1, FALSE), "")</f>
        <v/>
      </c>
    </row>
    <row r="1232" spans="1:7" x14ac:dyDescent="0.25">
      <c r="A1232" t="s">
        <v>1718</v>
      </c>
      <c r="B1232" t="s">
        <v>2691</v>
      </c>
      <c r="C1232">
        <v>51.596598399999998</v>
      </c>
      <c r="D1232">
        <v>-9.0054200000000001E-3</v>
      </c>
      <c r="F1232">
        <v>5</v>
      </c>
      <c r="G1232" t="str">
        <f>IFERROR(VLOOKUP(B1232, Churches!H:H, 1, FALSE), "")</f>
        <v/>
      </c>
    </row>
    <row r="1233" spans="1:7" x14ac:dyDescent="0.25">
      <c r="A1233" t="s">
        <v>1719</v>
      </c>
      <c r="B1233" t="s">
        <v>2691</v>
      </c>
      <c r="C1233">
        <v>51.574666700000002</v>
      </c>
      <c r="D1233">
        <v>-2.143314E-2</v>
      </c>
      <c r="F1233">
        <v>5</v>
      </c>
      <c r="G1233" t="str">
        <f>IFERROR(VLOOKUP(B1233, Churches!H:H, 1, FALSE), "")</f>
        <v/>
      </c>
    </row>
    <row r="1234" spans="1:7" x14ac:dyDescent="0.25">
      <c r="A1234" t="s">
        <v>1720</v>
      </c>
      <c r="B1234" t="s">
        <v>2275</v>
      </c>
      <c r="C1234">
        <v>51.588873714285697</v>
      </c>
      <c r="D1234">
        <v>-3.1151771428571399E-2</v>
      </c>
      <c r="F1234">
        <v>7</v>
      </c>
      <c r="G1234" t="str">
        <f>IFERROR(VLOOKUP(B1234, Churches!H:H, 1, FALSE), "")</f>
        <v/>
      </c>
    </row>
    <row r="1235" spans="1:7" x14ac:dyDescent="0.25">
      <c r="A1235" t="s">
        <v>1721</v>
      </c>
      <c r="B1235" t="s">
        <v>2275</v>
      </c>
      <c r="C1235">
        <v>51.593610033333299</v>
      </c>
      <c r="D1235">
        <v>-3.3538977777777701E-2</v>
      </c>
      <c r="F1235">
        <v>9</v>
      </c>
      <c r="G1235" t="str">
        <f>IFERROR(VLOOKUP(B1235, Churches!H:H, 1, FALSE), "")</f>
        <v/>
      </c>
    </row>
    <row r="1236" spans="1:7" x14ac:dyDescent="0.25">
      <c r="A1236" t="s">
        <v>1722</v>
      </c>
      <c r="B1236" t="s">
        <v>2275</v>
      </c>
      <c r="C1236">
        <v>51.512763692307601</v>
      </c>
      <c r="D1236">
        <v>-8.8026630769230702E-2</v>
      </c>
      <c r="E1236" t="s">
        <v>673</v>
      </c>
      <c r="F1236">
        <v>26</v>
      </c>
      <c r="G1236" t="str">
        <f>IFERROR(VLOOKUP(B1236, Churches!H:H, 1, FALSE), "")</f>
        <v/>
      </c>
    </row>
    <row r="1237" spans="1:7" x14ac:dyDescent="0.25">
      <c r="A1237" t="s">
        <v>1723</v>
      </c>
      <c r="B1237" t="s">
        <v>2275</v>
      </c>
      <c r="C1237">
        <v>51.535467428571401</v>
      </c>
      <c r="D1237">
        <v>7.5805607142857098E-2</v>
      </c>
      <c r="E1237" t="s">
        <v>673</v>
      </c>
      <c r="F1237">
        <v>14</v>
      </c>
      <c r="G1237" t="str">
        <f>IFERROR(VLOOKUP(B1237, Churches!H:H, 1, FALSE), "")</f>
        <v/>
      </c>
    </row>
    <row r="1238" spans="1:7" x14ac:dyDescent="0.25">
      <c r="A1238" t="s">
        <v>821</v>
      </c>
      <c r="B1238" t="s">
        <v>2869</v>
      </c>
      <c r="C1238">
        <v>51.578417955555501</v>
      </c>
      <c r="D1238">
        <v>-0.15103559999999999</v>
      </c>
      <c r="E1238" t="s">
        <v>673</v>
      </c>
      <c r="F1238">
        <v>9</v>
      </c>
      <c r="G1238" t="str">
        <f>IFERROR(VLOOKUP(B1238, Churches!H:H, 1, FALSE), "")</f>
        <v/>
      </c>
    </row>
    <row r="1239" spans="1:7" x14ac:dyDescent="0.25">
      <c r="A1239" t="s">
        <v>1724</v>
      </c>
      <c r="B1239" t="s">
        <v>2275</v>
      </c>
      <c r="C1239">
        <v>51.517195933333298</v>
      </c>
      <c r="D1239">
        <v>-6.5560583333333297E-2</v>
      </c>
      <c r="F1239">
        <v>6</v>
      </c>
      <c r="G1239" t="str">
        <f>IFERROR(VLOOKUP(B1239, Churches!H:H, 1, FALSE), "")</f>
        <v/>
      </c>
    </row>
    <row r="1240" spans="1:7" x14ac:dyDescent="0.25">
      <c r="A1240" t="s">
        <v>1725</v>
      </c>
      <c r="B1240" t="s">
        <v>2870</v>
      </c>
      <c r="C1240">
        <v>51.476514928571397</v>
      </c>
      <c r="D1240">
        <v>-0.20175747142857101</v>
      </c>
      <c r="F1240">
        <v>7</v>
      </c>
      <c r="G1240" t="str">
        <f>IFERROR(VLOOKUP(B1240, Churches!H:H, 1, FALSE), "")</f>
        <v/>
      </c>
    </row>
    <row r="1241" spans="1:7" x14ac:dyDescent="0.25">
      <c r="A1241" t="s">
        <v>1726</v>
      </c>
      <c r="B1241" t="s">
        <v>2275</v>
      </c>
      <c r="C1241">
        <v>51.515254399999897</v>
      </c>
      <c r="D1241">
        <v>-5.9864188888888802E-2</v>
      </c>
      <c r="F1241">
        <v>9</v>
      </c>
      <c r="G1241" t="str">
        <f>IFERROR(VLOOKUP(B1241, Churches!H:H, 1, FALSE), "")</f>
        <v/>
      </c>
    </row>
    <row r="1242" spans="1:7" x14ac:dyDescent="0.25">
      <c r="A1242" t="s">
        <v>1727</v>
      </c>
      <c r="B1242" t="s">
        <v>2275</v>
      </c>
      <c r="C1242">
        <v>51.634645560000003</v>
      </c>
      <c r="D1242">
        <v>-7.6473619999999895E-2</v>
      </c>
      <c r="F1242">
        <v>5</v>
      </c>
      <c r="G1242" t="str">
        <f>IFERROR(VLOOKUP(B1242, Churches!H:H, 1, FALSE), "")</f>
        <v/>
      </c>
    </row>
    <row r="1243" spans="1:7" x14ac:dyDescent="0.25">
      <c r="A1243" t="s">
        <v>1706</v>
      </c>
      <c r="B1243" t="s">
        <v>2871</v>
      </c>
      <c r="C1243">
        <v>51.490448659999998</v>
      </c>
      <c r="D1243">
        <v>5.3662759999999997E-2</v>
      </c>
      <c r="F1243">
        <v>5</v>
      </c>
      <c r="G1243" t="str">
        <f>IFERROR(VLOOKUP(B1243, Churches!H:H, 1, FALSE), "")</f>
        <v/>
      </c>
    </row>
    <row r="1244" spans="1:7" x14ac:dyDescent="0.25">
      <c r="A1244" t="s">
        <v>1728</v>
      </c>
      <c r="B1244" t="s">
        <v>2872</v>
      </c>
      <c r="C1244">
        <v>51.593983245454503</v>
      </c>
      <c r="D1244">
        <v>-3.5413800000000002E-2</v>
      </c>
      <c r="E1244" t="s">
        <v>673</v>
      </c>
      <c r="F1244">
        <v>11</v>
      </c>
      <c r="G1244" t="str">
        <f>IFERROR(VLOOKUP(B1244, Churches!H:H, 1, FALSE), "")</f>
        <v/>
      </c>
    </row>
    <row r="1245" spans="1:7" x14ac:dyDescent="0.25">
      <c r="A1245" t="s">
        <v>722</v>
      </c>
      <c r="B1245" t="s">
        <v>2873</v>
      </c>
      <c r="C1245">
        <v>51.422337463157803</v>
      </c>
      <c r="D1245">
        <v>-0.20746669473684201</v>
      </c>
      <c r="E1245" t="s">
        <v>673</v>
      </c>
      <c r="F1245">
        <v>19</v>
      </c>
      <c r="G1245" t="str">
        <f>IFERROR(VLOOKUP(B1245, Churches!H:H, 1, FALSE), "")</f>
        <v/>
      </c>
    </row>
    <row r="1246" spans="1:7" x14ac:dyDescent="0.25">
      <c r="A1246" t="s">
        <v>1704</v>
      </c>
      <c r="B1246" t="s">
        <v>2874</v>
      </c>
      <c r="C1246">
        <v>51.5999313599999</v>
      </c>
      <c r="D1246">
        <v>8.5252439999999999E-2</v>
      </c>
      <c r="E1246" t="s">
        <v>673</v>
      </c>
      <c r="F1246">
        <v>5</v>
      </c>
      <c r="G1246" t="str">
        <f>IFERROR(VLOOKUP(B1246, Churches!H:H, 1, FALSE), "")</f>
        <v/>
      </c>
    </row>
    <row r="1247" spans="1:7" x14ac:dyDescent="0.25">
      <c r="A1247" t="s">
        <v>397</v>
      </c>
      <c r="B1247" t="s">
        <v>2275</v>
      </c>
      <c r="C1247">
        <v>51.519101777777699</v>
      </c>
      <c r="D1247">
        <v>-7.3720218518518496E-2</v>
      </c>
      <c r="E1247" t="s">
        <v>673</v>
      </c>
      <c r="F1247">
        <v>27</v>
      </c>
      <c r="G1247" t="str">
        <f>IFERROR(VLOOKUP(B1247, Churches!H:H, 1, FALSE), "")</f>
        <v/>
      </c>
    </row>
    <row r="1248" spans="1:7" x14ac:dyDescent="0.25">
      <c r="A1248" t="s">
        <v>1729</v>
      </c>
      <c r="B1248" t="s">
        <v>2275</v>
      </c>
      <c r="C1248">
        <v>51.517597615789398</v>
      </c>
      <c r="D1248">
        <v>-2.9299605263157801E-2</v>
      </c>
      <c r="E1248" t="s">
        <v>673</v>
      </c>
      <c r="F1248">
        <v>19</v>
      </c>
      <c r="G1248" t="str">
        <f>IFERROR(VLOOKUP(B1248, Churches!H:H, 1, FALSE), "")</f>
        <v/>
      </c>
    </row>
    <row r="1249" spans="1:7" x14ac:dyDescent="0.25">
      <c r="A1249" t="s">
        <v>1706</v>
      </c>
      <c r="B1249" t="s">
        <v>2875</v>
      </c>
      <c r="C1249">
        <v>51.6029471777777</v>
      </c>
      <c r="D1249">
        <v>-0.32986844444444402</v>
      </c>
      <c r="F1249">
        <v>9</v>
      </c>
      <c r="G1249" t="str">
        <f>IFERROR(VLOOKUP(B1249, Churches!H:H, 1, FALSE), "")</f>
        <v/>
      </c>
    </row>
    <row r="1250" spans="1:7" x14ac:dyDescent="0.25">
      <c r="A1250" t="s">
        <v>750</v>
      </c>
      <c r="B1250" t="s">
        <v>2876</v>
      </c>
      <c r="C1250">
        <v>51.457391554545403</v>
      </c>
      <c r="D1250">
        <v>0.14130410909090901</v>
      </c>
      <c r="E1250" t="s">
        <v>673</v>
      </c>
      <c r="F1250">
        <v>11</v>
      </c>
      <c r="G1250" t="str">
        <f>IFERROR(VLOOKUP(B1250, Churches!H:H, 1, FALSE), "")</f>
        <v/>
      </c>
    </row>
    <row r="1251" spans="1:7" x14ac:dyDescent="0.25">
      <c r="A1251" t="s">
        <v>713</v>
      </c>
      <c r="B1251" t="s">
        <v>2877</v>
      </c>
      <c r="C1251">
        <v>51.460138999999998</v>
      </c>
      <c r="D1251">
        <v>-0.303770393333333</v>
      </c>
      <c r="E1251" t="s">
        <v>673</v>
      </c>
      <c r="F1251">
        <v>15</v>
      </c>
      <c r="G1251" t="str">
        <f>IFERROR(VLOOKUP(B1251, Churches!H:H, 1, FALSE), "")</f>
        <v/>
      </c>
    </row>
    <row r="1252" spans="1:7" x14ac:dyDescent="0.25">
      <c r="A1252" t="s">
        <v>1730</v>
      </c>
      <c r="B1252" t="s">
        <v>2275</v>
      </c>
      <c r="C1252">
        <v>51.442233771428498</v>
      </c>
      <c r="D1252">
        <v>-3.1608885714285703E-2</v>
      </c>
      <c r="F1252">
        <v>7</v>
      </c>
      <c r="G1252" t="str">
        <f>IFERROR(VLOOKUP(B1252, Churches!H:H, 1, FALSE), "")</f>
        <v/>
      </c>
    </row>
    <row r="1253" spans="1:7" x14ac:dyDescent="0.25">
      <c r="A1253" t="s">
        <v>1731</v>
      </c>
      <c r="B1253" t="s">
        <v>2878</v>
      </c>
      <c r="C1253">
        <v>51.509507099999901</v>
      </c>
      <c r="D1253">
        <v>-1.7441020000000002E-2</v>
      </c>
      <c r="F1253">
        <v>5</v>
      </c>
      <c r="G1253" t="str">
        <f>IFERROR(VLOOKUP(B1253, Churches!H:H, 1, FALSE), "")</f>
        <v/>
      </c>
    </row>
    <row r="1254" spans="1:7" x14ac:dyDescent="0.25">
      <c r="A1254" t="s">
        <v>1732</v>
      </c>
      <c r="B1254" t="s">
        <v>2879</v>
      </c>
      <c r="C1254">
        <v>51.531854356249902</v>
      </c>
      <c r="D1254">
        <v>-0.210433025</v>
      </c>
      <c r="F1254">
        <v>16</v>
      </c>
      <c r="G1254" t="str">
        <f>IFERROR(VLOOKUP(B1254, Churches!H:H, 1, FALSE), "")</f>
        <v/>
      </c>
    </row>
    <row r="1255" spans="1:7" x14ac:dyDescent="0.25">
      <c r="A1255" t="s">
        <v>1733</v>
      </c>
      <c r="B1255" t="s">
        <v>2880</v>
      </c>
      <c r="C1255">
        <v>51.5721546222222</v>
      </c>
      <c r="D1255">
        <v>-0.13926505555555499</v>
      </c>
      <c r="F1255">
        <v>9</v>
      </c>
      <c r="G1255" t="str">
        <f>IFERROR(VLOOKUP(B1255, Churches!H:H, 1, FALSE), "")</f>
        <v/>
      </c>
    </row>
    <row r="1256" spans="1:7" x14ac:dyDescent="0.25">
      <c r="A1256" t="s">
        <v>1734</v>
      </c>
      <c r="B1256" t="s">
        <v>2881</v>
      </c>
      <c r="C1256">
        <v>51.440839060000002</v>
      </c>
      <c r="D1256">
        <v>-0.1556565</v>
      </c>
      <c r="F1256">
        <v>5</v>
      </c>
      <c r="G1256" t="str">
        <f>IFERROR(VLOOKUP(B1256, Churches!H:H, 1, FALSE), "")</f>
        <v/>
      </c>
    </row>
    <row r="1257" spans="1:7" x14ac:dyDescent="0.25">
      <c r="A1257" t="s">
        <v>1735</v>
      </c>
      <c r="B1257" t="s">
        <v>2882</v>
      </c>
      <c r="C1257">
        <v>51.460862405882303</v>
      </c>
      <c r="D1257">
        <v>-0.30029737647058802</v>
      </c>
      <c r="F1257">
        <v>17</v>
      </c>
      <c r="G1257" t="str">
        <f>IFERROR(VLOOKUP(B1257, Churches!H:H, 1, FALSE), "")</f>
        <v/>
      </c>
    </row>
    <row r="1258" spans="1:7" x14ac:dyDescent="0.25">
      <c r="A1258" t="s">
        <v>1736</v>
      </c>
      <c r="B1258" t="s">
        <v>2883</v>
      </c>
      <c r="C1258">
        <v>51.510934199999902</v>
      </c>
      <c r="D1258">
        <v>-9.7990799999999999E-3</v>
      </c>
      <c r="F1258">
        <v>5</v>
      </c>
      <c r="G1258" t="str">
        <f>IFERROR(VLOOKUP(B1258, Churches!H:H, 1, FALSE), "")</f>
        <v/>
      </c>
    </row>
    <row r="1259" spans="1:7" x14ac:dyDescent="0.25">
      <c r="A1259" t="s">
        <v>821</v>
      </c>
      <c r="B1259" t="s">
        <v>2275</v>
      </c>
      <c r="C1259">
        <v>51.5714591666666</v>
      </c>
      <c r="D1259">
        <v>-1.52173466666666E-2</v>
      </c>
      <c r="E1259" t="s">
        <v>673</v>
      </c>
      <c r="F1259">
        <v>15</v>
      </c>
      <c r="G1259" t="str">
        <f>IFERROR(VLOOKUP(B1259, Churches!H:H, 1, FALSE), "")</f>
        <v/>
      </c>
    </row>
    <row r="1260" spans="1:7" x14ac:dyDescent="0.25">
      <c r="A1260" t="s">
        <v>1737</v>
      </c>
      <c r="B1260" t="s">
        <v>2884</v>
      </c>
      <c r="C1260">
        <v>51.480549150000002</v>
      </c>
      <c r="D1260">
        <v>-0.23747426666666599</v>
      </c>
      <c r="F1260">
        <v>6</v>
      </c>
      <c r="G1260" t="str">
        <f>IFERROR(VLOOKUP(B1260, Churches!H:H, 1, FALSE), "")</f>
        <v/>
      </c>
    </row>
    <row r="1261" spans="1:7" x14ac:dyDescent="0.25">
      <c r="A1261" t="s">
        <v>738</v>
      </c>
      <c r="B1261" t="s">
        <v>2885</v>
      </c>
      <c r="C1261">
        <v>51.559825544444401</v>
      </c>
      <c r="D1261">
        <v>-0.140857688888888</v>
      </c>
      <c r="F1261">
        <v>9</v>
      </c>
      <c r="G1261" t="str">
        <f>IFERROR(VLOOKUP(B1261, Churches!H:H, 1, FALSE), "")</f>
        <v/>
      </c>
    </row>
    <row r="1262" spans="1:7" x14ac:dyDescent="0.25">
      <c r="A1262" t="s">
        <v>1169</v>
      </c>
      <c r="B1262" t="s">
        <v>2275</v>
      </c>
      <c r="C1262">
        <v>51.352752933333299</v>
      </c>
      <c r="D1262">
        <v>-9.9592866666666599E-2</v>
      </c>
      <c r="E1262" t="s">
        <v>673</v>
      </c>
      <c r="F1262">
        <v>9</v>
      </c>
      <c r="G1262" t="str">
        <f>IFERROR(VLOOKUP(B1262, Churches!H:H, 1, FALSE), "")</f>
        <v/>
      </c>
    </row>
    <row r="1263" spans="1:7" x14ac:dyDescent="0.25">
      <c r="A1263" t="s">
        <v>1571</v>
      </c>
      <c r="B1263" t="s">
        <v>2886</v>
      </c>
      <c r="C1263">
        <v>51.487039894117601</v>
      </c>
      <c r="D1263">
        <v>0.10049619999999899</v>
      </c>
      <c r="E1263" t="s">
        <v>673</v>
      </c>
      <c r="F1263">
        <v>17</v>
      </c>
      <c r="G1263" t="str">
        <f>IFERROR(VLOOKUP(B1263, Churches!H:H, 1, FALSE), "")</f>
        <v/>
      </c>
    </row>
    <row r="1264" spans="1:7" x14ac:dyDescent="0.25">
      <c r="A1264" t="s">
        <v>1738</v>
      </c>
      <c r="B1264" t="s">
        <v>2887</v>
      </c>
      <c r="C1264">
        <v>51.486719133333303</v>
      </c>
      <c r="D1264">
        <v>-0.214547239999999</v>
      </c>
      <c r="E1264" t="s">
        <v>673</v>
      </c>
      <c r="F1264">
        <v>15</v>
      </c>
      <c r="G1264" t="str">
        <f>IFERROR(VLOOKUP(B1264, Churches!H:H, 1, FALSE), "")</f>
        <v/>
      </c>
    </row>
    <row r="1265" spans="1:7" x14ac:dyDescent="0.25">
      <c r="A1265" t="s">
        <v>1563</v>
      </c>
      <c r="B1265" t="s">
        <v>2888</v>
      </c>
      <c r="C1265">
        <v>51.579672174999899</v>
      </c>
      <c r="D1265">
        <v>-4.9163499999999999E-3</v>
      </c>
      <c r="F1265">
        <v>8</v>
      </c>
      <c r="G1265" t="str">
        <f>IFERROR(VLOOKUP(B1265, Churches!H:H, 1, FALSE), "")</f>
        <v/>
      </c>
    </row>
    <row r="1266" spans="1:7" x14ac:dyDescent="0.25">
      <c r="A1266" t="s">
        <v>1739</v>
      </c>
      <c r="B1266" t="s">
        <v>2889</v>
      </c>
      <c r="C1266">
        <v>51.485128936363601</v>
      </c>
      <c r="D1266">
        <v>-0.37206517272727202</v>
      </c>
      <c r="E1266" t="s">
        <v>673</v>
      </c>
      <c r="F1266">
        <v>11</v>
      </c>
      <c r="G1266" t="str">
        <f>IFERROR(VLOOKUP(B1266, Churches!H:H, 1, FALSE), "")</f>
        <v/>
      </c>
    </row>
    <row r="1267" spans="1:7" x14ac:dyDescent="0.25">
      <c r="A1267" t="s">
        <v>1740</v>
      </c>
      <c r="B1267" t="s">
        <v>2890</v>
      </c>
      <c r="C1267">
        <v>51.462064353846102</v>
      </c>
      <c r="D1267">
        <v>-0.36567126923076898</v>
      </c>
      <c r="E1267" t="s">
        <v>673</v>
      </c>
      <c r="F1267">
        <v>13</v>
      </c>
      <c r="G1267" t="str">
        <f>IFERROR(VLOOKUP(B1267, Churches!H:H, 1, FALSE), "")</f>
        <v/>
      </c>
    </row>
    <row r="1268" spans="1:7" x14ac:dyDescent="0.25">
      <c r="A1268" t="s">
        <v>821</v>
      </c>
      <c r="B1268" t="s">
        <v>2891</v>
      </c>
      <c r="C1268">
        <v>51.516526611764696</v>
      </c>
      <c r="D1268">
        <v>-0.20285509411764699</v>
      </c>
      <c r="E1268" t="s">
        <v>673</v>
      </c>
      <c r="F1268">
        <v>17</v>
      </c>
      <c r="G1268" t="str">
        <f>IFERROR(VLOOKUP(B1268, Churches!H:H, 1, FALSE), "")</f>
        <v/>
      </c>
    </row>
    <row r="1269" spans="1:7" x14ac:dyDescent="0.25">
      <c r="A1269" t="s">
        <v>1741</v>
      </c>
      <c r="B1269" t="s">
        <v>2892</v>
      </c>
      <c r="C1269">
        <v>51.406828163636298</v>
      </c>
      <c r="D1269">
        <v>-0.257515181818181</v>
      </c>
      <c r="E1269" t="s">
        <v>673</v>
      </c>
      <c r="F1269">
        <v>11</v>
      </c>
      <c r="G1269" t="str">
        <f>IFERROR(VLOOKUP(B1269, Churches!H:H, 1, FALSE), "")</f>
        <v/>
      </c>
    </row>
    <row r="1270" spans="1:7" x14ac:dyDescent="0.25">
      <c r="A1270" t="s">
        <v>1742</v>
      </c>
      <c r="B1270" t="s">
        <v>2275</v>
      </c>
      <c r="C1270">
        <v>51.445482925</v>
      </c>
      <c r="D1270">
        <v>1.14833062499999E-2</v>
      </c>
      <c r="E1270" t="s">
        <v>673</v>
      </c>
      <c r="F1270">
        <v>16</v>
      </c>
      <c r="G1270" t="str">
        <f>IFERROR(VLOOKUP(B1270, Churches!H:H, 1, FALSE), "")</f>
        <v/>
      </c>
    </row>
    <row r="1271" spans="1:7" x14ac:dyDescent="0.25">
      <c r="A1271" t="s">
        <v>890</v>
      </c>
      <c r="B1271" t="s">
        <v>2893</v>
      </c>
      <c r="C1271">
        <v>51.410133092307603</v>
      </c>
      <c r="D1271">
        <v>-0.20240577692307599</v>
      </c>
      <c r="E1271" t="s">
        <v>673</v>
      </c>
      <c r="F1271">
        <v>13</v>
      </c>
      <c r="G1271" t="str">
        <f>IFERROR(VLOOKUP(B1271, Churches!H:H, 1, FALSE), "")</f>
        <v/>
      </c>
    </row>
    <row r="1272" spans="1:7" x14ac:dyDescent="0.25">
      <c r="A1272" t="s">
        <v>1076</v>
      </c>
      <c r="B1272" t="s">
        <v>2894</v>
      </c>
      <c r="C1272">
        <v>51.475023399999998</v>
      </c>
      <c r="D1272">
        <v>-0.24182357272727201</v>
      </c>
      <c r="E1272" t="s">
        <v>673</v>
      </c>
      <c r="F1272">
        <v>22</v>
      </c>
      <c r="G1272" t="str">
        <f>IFERROR(VLOOKUP(B1272, Churches!H:H, 1, FALSE), "")</f>
        <v/>
      </c>
    </row>
    <row r="1273" spans="1:7" x14ac:dyDescent="0.25">
      <c r="A1273" t="s">
        <v>1135</v>
      </c>
      <c r="B1273" t="s">
        <v>2895</v>
      </c>
      <c r="C1273">
        <v>51.469557010526302</v>
      </c>
      <c r="D1273">
        <v>-0.26158680000000001</v>
      </c>
      <c r="E1273" t="s">
        <v>673</v>
      </c>
      <c r="F1273">
        <v>19</v>
      </c>
      <c r="G1273" t="str">
        <f>IFERROR(VLOOKUP(B1273, Churches!H:H, 1, FALSE), "")</f>
        <v/>
      </c>
    </row>
    <row r="1274" spans="1:7" x14ac:dyDescent="0.25">
      <c r="A1274" t="s">
        <v>1743</v>
      </c>
      <c r="B1274" t="s">
        <v>2896</v>
      </c>
      <c r="C1274">
        <v>51.5532739285714</v>
      </c>
      <c r="D1274">
        <v>-0.18851517142857099</v>
      </c>
      <c r="F1274">
        <v>7</v>
      </c>
      <c r="G1274" t="str">
        <f>IFERROR(VLOOKUP(B1274, Churches!H:H, 1, FALSE), "")</f>
        <v/>
      </c>
    </row>
    <row r="1275" spans="1:7" x14ac:dyDescent="0.25">
      <c r="A1275" t="s">
        <v>1744</v>
      </c>
      <c r="B1275" t="s">
        <v>2897</v>
      </c>
      <c r="C1275">
        <v>51.434080180000002</v>
      </c>
      <c r="D1275">
        <v>-0.31353325999999998</v>
      </c>
      <c r="F1275">
        <v>5</v>
      </c>
      <c r="G1275" t="str">
        <f>IFERROR(VLOOKUP(B1275, Churches!H:H, 1, FALSE), "")</f>
        <v/>
      </c>
    </row>
    <row r="1276" spans="1:7" x14ac:dyDescent="0.25">
      <c r="A1276" t="s">
        <v>1745</v>
      </c>
      <c r="B1276" t="s">
        <v>2275</v>
      </c>
      <c r="C1276">
        <v>51.511726355555503</v>
      </c>
      <c r="D1276">
        <v>-8.8336377777777697E-2</v>
      </c>
      <c r="F1276">
        <v>9</v>
      </c>
      <c r="G1276" t="str">
        <f>IFERROR(VLOOKUP(B1276, Churches!H:H, 1, FALSE), "")</f>
        <v/>
      </c>
    </row>
    <row r="1277" spans="1:7" x14ac:dyDescent="0.25">
      <c r="A1277" t="s">
        <v>1529</v>
      </c>
      <c r="B1277" t="s">
        <v>2898</v>
      </c>
      <c r="C1277">
        <v>51.591585227272702</v>
      </c>
      <c r="D1277">
        <v>-0.14874758181818101</v>
      </c>
      <c r="F1277">
        <v>11</v>
      </c>
      <c r="G1277" t="str">
        <f>IFERROR(VLOOKUP(B1277, Churches!H:H, 1, FALSE), "")</f>
        <v/>
      </c>
    </row>
    <row r="1278" spans="1:7" x14ac:dyDescent="0.25">
      <c r="A1278" t="s">
        <v>1746</v>
      </c>
      <c r="B1278" t="s">
        <v>2899</v>
      </c>
      <c r="C1278">
        <v>51.379448699999998</v>
      </c>
      <c r="D1278">
        <v>-0.17605514615384599</v>
      </c>
      <c r="F1278">
        <v>13</v>
      </c>
      <c r="G1278" t="str">
        <f>IFERROR(VLOOKUP(B1278, Churches!H:H, 1, FALSE), "")</f>
        <v/>
      </c>
    </row>
    <row r="1279" spans="1:7" x14ac:dyDescent="0.25">
      <c r="A1279" t="s">
        <v>1747</v>
      </c>
      <c r="B1279" t="s">
        <v>2900</v>
      </c>
      <c r="C1279">
        <v>51.483335324999899</v>
      </c>
      <c r="D1279">
        <v>-4.7960499999999996E-3</v>
      </c>
      <c r="F1279">
        <v>12</v>
      </c>
      <c r="G1279" t="str">
        <f>IFERROR(VLOOKUP(B1279, Churches!H:H, 1, FALSE), "")</f>
        <v/>
      </c>
    </row>
    <row r="1280" spans="1:7" x14ac:dyDescent="0.25">
      <c r="A1280" t="s">
        <v>1748</v>
      </c>
      <c r="B1280" t="s">
        <v>2901</v>
      </c>
      <c r="C1280">
        <v>51.428567033333302</v>
      </c>
      <c r="D1280">
        <v>-0.325207783333333</v>
      </c>
      <c r="F1280">
        <v>6</v>
      </c>
      <c r="G1280" t="str">
        <f>IFERROR(VLOOKUP(B1280, Churches!H:H, 1, FALSE), "")</f>
        <v/>
      </c>
    </row>
    <row r="1281" spans="1:7" x14ac:dyDescent="0.25">
      <c r="A1281" t="s">
        <v>1749</v>
      </c>
      <c r="B1281" t="s">
        <v>2902</v>
      </c>
      <c r="C1281">
        <v>51.412970977777697</v>
      </c>
      <c r="D1281">
        <v>-0.36121508888888798</v>
      </c>
      <c r="E1281" t="s">
        <v>673</v>
      </c>
      <c r="F1281">
        <v>9</v>
      </c>
      <c r="G1281" t="str">
        <f>IFERROR(VLOOKUP(B1281, Churches!H:H, 1, FALSE), "")</f>
        <v/>
      </c>
    </row>
    <row r="1282" spans="1:7" x14ac:dyDescent="0.25">
      <c r="A1282" t="s">
        <v>1750</v>
      </c>
      <c r="B1282" t="s">
        <v>2903</v>
      </c>
      <c r="C1282">
        <v>51.555351759999901</v>
      </c>
      <c r="D1282">
        <v>-7.5149579999999994E-2</v>
      </c>
      <c r="F1282">
        <v>5</v>
      </c>
      <c r="G1282" t="str">
        <f>IFERROR(VLOOKUP(B1282, Churches!H:H, 1, FALSE), "")</f>
        <v/>
      </c>
    </row>
    <row r="1283" spans="1:7" x14ac:dyDescent="0.25">
      <c r="A1283" t="s">
        <v>1296</v>
      </c>
      <c r="B1283" t="s">
        <v>2904</v>
      </c>
      <c r="C1283">
        <v>51.416566133333298</v>
      </c>
      <c r="D1283">
        <v>-0.15789083333333301</v>
      </c>
      <c r="E1283" t="s">
        <v>673</v>
      </c>
      <c r="F1283">
        <v>9</v>
      </c>
      <c r="G1283" t="str">
        <f>IFERROR(VLOOKUP(B1283, Churches!H:H, 1, FALSE), "")</f>
        <v/>
      </c>
    </row>
    <row r="1284" spans="1:7" x14ac:dyDescent="0.25">
      <c r="A1284" t="s">
        <v>722</v>
      </c>
      <c r="B1284" t="s">
        <v>2905</v>
      </c>
      <c r="C1284">
        <v>51.406406176922999</v>
      </c>
      <c r="D1284">
        <v>-0.15936731538461499</v>
      </c>
      <c r="E1284" t="s">
        <v>673</v>
      </c>
      <c r="F1284">
        <v>13</v>
      </c>
      <c r="G1284" t="str">
        <f>IFERROR(VLOOKUP(B1284, Churches!H:H, 1, FALSE), "")</f>
        <v/>
      </c>
    </row>
    <row r="1285" spans="1:7" x14ac:dyDescent="0.25">
      <c r="A1285" t="s">
        <v>821</v>
      </c>
      <c r="B1285" t="s">
        <v>2906</v>
      </c>
      <c r="C1285">
        <v>51.418869085714199</v>
      </c>
      <c r="D1285">
        <v>-0.18595545714285699</v>
      </c>
      <c r="E1285" t="s">
        <v>673</v>
      </c>
      <c r="F1285">
        <v>7</v>
      </c>
      <c r="G1285" t="str">
        <f>IFERROR(VLOOKUP(B1285, Churches!H:H, 1, FALSE), "")</f>
        <v/>
      </c>
    </row>
    <row r="1286" spans="1:7" x14ac:dyDescent="0.25">
      <c r="A1286" t="s">
        <v>1594</v>
      </c>
      <c r="B1286" t="s">
        <v>2907</v>
      </c>
      <c r="C1286">
        <v>51.470643639999999</v>
      </c>
      <c r="D1286">
        <v>-8.61432E-3</v>
      </c>
      <c r="F1286">
        <v>5</v>
      </c>
      <c r="G1286" t="str">
        <f>IFERROR(VLOOKUP(B1286, Churches!H:H, 1, FALSE), "")</f>
        <v/>
      </c>
    </row>
    <row r="1287" spans="1:7" x14ac:dyDescent="0.25">
      <c r="A1287" t="s">
        <v>1106</v>
      </c>
      <c r="B1287" t="s">
        <v>2275</v>
      </c>
      <c r="C1287">
        <v>51.464750622222198</v>
      </c>
      <c r="D1287">
        <v>1.36949666666666E-2</v>
      </c>
      <c r="E1287" t="s">
        <v>673</v>
      </c>
      <c r="F1287">
        <v>9</v>
      </c>
      <c r="G1287" t="str">
        <f>IFERROR(VLOOKUP(B1287, Churches!H:H, 1, FALSE), "")</f>
        <v/>
      </c>
    </row>
    <row r="1288" spans="1:7" x14ac:dyDescent="0.25">
      <c r="A1288" t="s">
        <v>1751</v>
      </c>
      <c r="B1288" t="s">
        <v>2275</v>
      </c>
      <c r="C1288">
        <v>51.465046166666603</v>
      </c>
      <c r="D1288">
        <v>1.0945811111111099E-2</v>
      </c>
      <c r="F1288">
        <v>9</v>
      </c>
      <c r="G1288" t="str">
        <f>IFERROR(VLOOKUP(B1288, Churches!H:H, 1, FALSE), "")</f>
        <v/>
      </c>
    </row>
    <row r="1289" spans="1:7" x14ac:dyDescent="0.25">
      <c r="A1289" t="s">
        <v>1752</v>
      </c>
      <c r="B1289" t="s">
        <v>2275</v>
      </c>
      <c r="C1289">
        <v>51.469940411111097</v>
      </c>
      <c r="D1289">
        <v>2.3884222222222199E-2</v>
      </c>
      <c r="E1289" t="s">
        <v>673</v>
      </c>
      <c r="F1289">
        <v>9</v>
      </c>
      <c r="G1289" t="str">
        <f>IFERROR(VLOOKUP(B1289, Churches!H:H, 1, FALSE), "")</f>
        <v/>
      </c>
    </row>
    <row r="1290" spans="1:7" x14ac:dyDescent="0.25">
      <c r="A1290" t="s">
        <v>1753</v>
      </c>
      <c r="B1290" t="s">
        <v>2908</v>
      </c>
      <c r="C1290">
        <v>51.5734569555555</v>
      </c>
      <c r="D1290">
        <v>-0.14060412222222199</v>
      </c>
      <c r="F1290">
        <v>9</v>
      </c>
      <c r="G1290" t="str">
        <f>IFERROR(VLOOKUP(B1290, Churches!H:H, 1, FALSE), "")</f>
        <v/>
      </c>
    </row>
    <row r="1291" spans="1:7" x14ac:dyDescent="0.25">
      <c r="A1291" t="s">
        <v>1754</v>
      </c>
      <c r="B1291" t="s">
        <v>2275</v>
      </c>
      <c r="C1291">
        <v>51.607625388888799</v>
      </c>
      <c r="D1291">
        <v>-1.1887977777777701E-2</v>
      </c>
      <c r="F1291">
        <v>9</v>
      </c>
      <c r="G1291" t="str">
        <f>IFERROR(VLOOKUP(B1291, Churches!H:H, 1, FALSE), "")</f>
        <v/>
      </c>
    </row>
    <row r="1292" spans="1:7" x14ac:dyDescent="0.25">
      <c r="A1292" t="s">
        <v>1074</v>
      </c>
      <c r="B1292" t="s">
        <v>2275</v>
      </c>
      <c r="C1292">
        <v>51.546315466666599</v>
      </c>
      <c r="D1292">
        <v>-4.95140777777777E-2</v>
      </c>
      <c r="E1292" t="s">
        <v>673</v>
      </c>
      <c r="F1292">
        <v>9</v>
      </c>
      <c r="G1292" t="str">
        <f>IFERROR(VLOOKUP(B1292, Churches!H:H, 1, FALSE), "")</f>
        <v/>
      </c>
    </row>
    <row r="1293" spans="1:7" x14ac:dyDescent="0.25">
      <c r="A1293" t="s">
        <v>1755</v>
      </c>
      <c r="B1293" t="s">
        <v>2275</v>
      </c>
      <c r="C1293">
        <v>51.557901744444401</v>
      </c>
      <c r="D1293">
        <v>1.28813333333333E-2</v>
      </c>
      <c r="E1293" t="s">
        <v>673</v>
      </c>
      <c r="F1293">
        <v>9</v>
      </c>
      <c r="G1293" t="str">
        <f>IFERROR(VLOOKUP(B1293, Churches!H:H, 1, FALSE), "")</f>
        <v/>
      </c>
    </row>
    <row r="1294" spans="1:7" x14ac:dyDescent="0.25">
      <c r="A1294" t="s">
        <v>1756</v>
      </c>
      <c r="B1294" t="s">
        <v>2275</v>
      </c>
      <c r="C1294">
        <v>51.456788841176397</v>
      </c>
      <c r="D1294">
        <v>9.2587976470588196E-2</v>
      </c>
      <c r="E1294" t="s">
        <v>673</v>
      </c>
      <c r="F1294">
        <v>17</v>
      </c>
      <c r="G1294" t="str">
        <f>IFERROR(VLOOKUP(B1294, Churches!H:H, 1, FALSE), "")</f>
        <v/>
      </c>
    </row>
    <row r="1295" spans="1:7" x14ac:dyDescent="0.25">
      <c r="A1295" t="s">
        <v>1757</v>
      </c>
      <c r="B1295" t="s">
        <v>2275</v>
      </c>
      <c r="C1295">
        <v>51.501104727272697</v>
      </c>
      <c r="D1295">
        <v>-8.8724627272727202E-2</v>
      </c>
      <c r="E1295" t="s">
        <v>673</v>
      </c>
      <c r="F1295">
        <v>11</v>
      </c>
      <c r="G1295" t="str">
        <f>IFERROR(VLOOKUP(B1295, Churches!H:H, 1, FALSE), "")</f>
        <v/>
      </c>
    </row>
    <row r="1296" spans="1:7" x14ac:dyDescent="0.25">
      <c r="A1296" t="s">
        <v>880</v>
      </c>
      <c r="B1296" t="s">
        <v>2909</v>
      </c>
      <c r="C1296">
        <v>51.485668480000001</v>
      </c>
      <c r="D1296">
        <v>-5.3764720000000002E-2</v>
      </c>
      <c r="F1296">
        <v>5</v>
      </c>
      <c r="G1296" t="str">
        <f>IFERROR(VLOOKUP(B1296, Churches!H:H, 1, FALSE), "")</f>
        <v/>
      </c>
    </row>
    <row r="1297" spans="1:7" x14ac:dyDescent="0.25">
      <c r="A1297" t="s">
        <v>1758</v>
      </c>
      <c r="B1297" t="s">
        <v>2275</v>
      </c>
      <c r="C1297">
        <v>51.517844130769198</v>
      </c>
      <c r="D1297">
        <v>-1.02417384615384E-2</v>
      </c>
      <c r="F1297">
        <v>13</v>
      </c>
      <c r="G1297" t="str">
        <f>IFERROR(VLOOKUP(B1297, Churches!H:H, 1, FALSE), "")</f>
        <v/>
      </c>
    </row>
    <row r="1298" spans="1:7" x14ac:dyDescent="0.25">
      <c r="A1298" t="s">
        <v>1759</v>
      </c>
      <c r="B1298" t="s">
        <v>2910</v>
      </c>
      <c r="C1298">
        <v>51.459330039999998</v>
      </c>
      <c r="D1298">
        <v>-0.30244179999999998</v>
      </c>
      <c r="F1298">
        <v>5</v>
      </c>
      <c r="G1298" t="str">
        <f>IFERROR(VLOOKUP(B1298, Churches!H:H, 1, FALSE), "")</f>
        <v/>
      </c>
    </row>
    <row r="1299" spans="1:7" x14ac:dyDescent="0.25">
      <c r="A1299" t="s">
        <v>1760</v>
      </c>
      <c r="B1299" t="s">
        <v>2911</v>
      </c>
      <c r="C1299">
        <v>51.573663528571402</v>
      </c>
      <c r="D1299">
        <v>0.218381171428571</v>
      </c>
      <c r="F1299">
        <v>7</v>
      </c>
      <c r="G1299" t="str">
        <f>IFERROR(VLOOKUP(B1299, Churches!H:H, 1, FALSE), "")</f>
        <v/>
      </c>
    </row>
    <row r="1300" spans="1:7" x14ac:dyDescent="0.25">
      <c r="A1300" t="s">
        <v>1761</v>
      </c>
      <c r="B1300" t="s">
        <v>2912</v>
      </c>
      <c r="C1300">
        <v>51.599714574999901</v>
      </c>
      <c r="D1300">
        <v>-0.197603483333333</v>
      </c>
      <c r="E1300" t="s">
        <v>673</v>
      </c>
      <c r="F1300">
        <v>12</v>
      </c>
      <c r="G1300" t="str">
        <f>IFERROR(VLOOKUP(B1300, Churches!H:H, 1, FALSE), "")</f>
        <v/>
      </c>
    </row>
    <row r="1301" spans="1:7" x14ac:dyDescent="0.25">
      <c r="A1301" t="s">
        <v>1762</v>
      </c>
      <c r="B1301" t="s">
        <v>2913</v>
      </c>
      <c r="C1301">
        <v>51.600627983333297</v>
      </c>
      <c r="D1301">
        <v>-0.19617193333333299</v>
      </c>
      <c r="F1301">
        <v>6</v>
      </c>
      <c r="G1301" t="str">
        <f>IFERROR(VLOOKUP(B1301, Churches!H:H, 1, FALSE), "")</f>
        <v/>
      </c>
    </row>
    <row r="1302" spans="1:7" x14ac:dyDescent="0.25">
      <c r="A1302" t="s">
        <v>1763</v>
      </c>
      <c r="B1302" t="s">
        <v>2275</v>
      </c>
      <c r="C1302">
        <v>51.569327381818098</v>
      </c>
      <c r="D1302">
        <v>1.2582463636363599E-2</v>
      </c>
      <c r="F1302">
        <v>11</v>
      </c>
      <c r="G1302" t="str">
        <f>IFERROR(VLOOKUP(B1302, Churches!H:H, 1, FALSE), "")</f>
        <v/>
      </c>
    </row>
    <row r="1303" spans="1:7" x14ac:dyDescent="0.25">
      <c r="A1303" t="s">
        <v>1764</v>
      </c>
      <c r="B1303" t="s">
        <v>2914</v>
      </c>
      <c r="C1303">
        <v>51.623030669230701</v>
      </c>
      <c r="D1303">
        <v>-0.18716283076922999</v>
      </c>
      <c r="F1303">
        <v>13</v>
      </c>
      <c r="G1303" t="str">
        <f>IFERROR(VLOOKUP(B1303, Churches!H:H, 1, FALSE), "")</f>
        <v/>
      </c>
    </row>
    <row r="1304" spans="1:7" x14ac:dyDescent="0.25">
      <c r="A1304" t="s">
        <v>1765</v>
      </c>
      <c r="B1304" t="s">
        <v>2275</v>
      </c>
      <c r="C1304">
        <v>51.517075971428497</v>
      </c>
      <c r="D1304">
        <v>-2.6507471428571398E-2</v>
      </c>
      <c r="F1304">
        <v>7</v>
      </c>
      <c r="G1304" t="str">
        <f>IFERROR(VLOOKUP(B1304, Churches!H:H, 1, FALSE), "")</f>
        <v/>
      </c>
    </row>
    <row r="1305" spans="1:7" x14ac:dyDescent="0.25">
      <c r="A1305" t="s">
        <v>1766</v>
      </c>
      <c r="B1305" t="s">
        <v>2915</v>
      </c>
      <c r="C1305">
        <v>51.5740723428571</v>
      </c>
      <c r="D1305">
        <v>-0.1503573</v>
      </c>
      <c r="F1305">
        <v>7</v>
      </c>
      <c r="G1305" t="str">
        <f>IFERROR(VLOOKUP(B1305, Churches!H:H, 1, FALSE), "")</f>
        <v/>
      </c>
    </row>
    <row r="1306" spans="1:7" x14ac:dyDescent="0.25">
      <c r="A1306" t="s">
        <v>1767</v>
      </c>
      <c r="B1306" t="s">
        <v>2916</v>
      </c>
      <c r="C1306">
        <v>51.487392899999897</v>
      </c>
      <c r="D1306">
        <v>0.170066039999999</v>
      </c>
      <c r="F1306">
        <v>5</v>
      </c>
      <c r="G1306" t="str">
        <f>IFERROR(VLOOKUP(B1306, Churches!H:H, 1, FALSE), "")</f>
        <v/>
      </c>
    </row>
    <row r="1307" spans="1:7" x14ac:dyDescent="0.25">
      <c r="A1307" t="s">
        <v>1768</v>
      </c>
      <c r="B1307" t="s">
        <v>2917</v>
      </c>
      <c r="C1307">
        <v>51.403565350000001</v>
      </c>
      <c r="D1307">
        <v>-0.33688762500000002</v>
      </c>
      <c r="E1307" t="s">
        <v>673</v>
      </c>
      <c r="F1307">
        <v>8</v>
      </c>
      <c r="G1307" t="str">
        <f>IFERROR(VLOOKUP(B1307, Churches!H:H, 1, FALSE), "")</f>
        <v/>
      </c>
    </row>
    <row r="1308" spans="1:7" x14ac:dyDescent="0.25">
      <c r="A1308" t="s">
        <v>1769</v>
      </c>
      <c r="B1308" t="s">
        <v>2275</v>
      </c>
      <c r="C1308">
        <v>51.465098176923</v>
      </c>
      <c r="D1308">
        <v>-1.87776846153846E-2</v>
      </c>
      <c r="F1308">
        <v>13</v>
      </c>
      <c r="G1308" t="str">
        <f>IFERROR(VLOOKUP(B1308, Churches!H:H, 1, FALSE), "")</f>
        <v/>
      </c>
    </row>
    <row r="1309" spans="1:7" x14ac:dyDescent="0.25">
      <c r="A1309" t="s">
        <v>1770</v>
      </c>
      <c r="B1309" t="s">
        <v>2275</v>
      </c>
      <c r="C1309">
        <v>51.455683404761899</v>
      </c>
      <c r="D1309">
        <v>-1.6002004761904699E-2</v>
      </c>
      <c r="E1309" t="s">
        <v>673</v>
      </c>
      <c r="F1309">
        <v>21</v>
      </c>
      <c r="G1309" t="str">
        <f>IFERROR(VLOOKUP(B1309, Churches!H:H, 1, FALSE), "")</f>
        <v/>
      </c>
    </row>
    <row r="1310" spans="1:7" x14ac:dyDescent="0.25">
      <c r="A1310" t="s">
        <v>1771</v>
      </c>
      <c r="B1310" t="s">
        <v>2918</v>
      </c>
      <c r="C1310">
        <v>51.396171056249997</v>
      </c>
      <c r="D1310">
        <v>-0.19192111249999999</v>
      </c>
      <c r="E1310" t="s">
        <v>673</v>
      </c>
      <c r="F1310">
        <v>16</v>
      </c>
      <c r="G1310" t="str">
        <f>IFERROR(VLOOKUP(B1310, Churches!H:H, 1, FALSE), "")</f>
        <v/>
      </c>
    </row>
    <row r="1311" spans="1:7" x14ac:dyDescent="0.25">
      <c r="A1311" t="s">
        <v>1772</v>
      </c>
      <c r="B1311" t="s">
        <v>2919</v>
      </c>
      <c r="C1311">
        <v>51.3884921315789</v>
      </c>
      <c r="D1311">
        <v>-0.195876957894736</v>
      </c>
      <c r="F1311">
        <v>19</v>
      </c>
      <c r="G1311" t="str">
        <f>IFERROR(VLOOKUP(B1311, Churches!H:H, 1, FALSE), "")</f>
        <v/>
      </c>
    </row>
    <row r="1312" spans="1:7" x14ac:dyDescent="0.25">
      <c r="A1312" t="s">
        <v>1773</v>
      </c>
      <c r="B1312" t="s">
        <v>2275</v>
      </c>
      <c r="C1312">
        <v>51.4684944222222</v>
      </c>
      <c r="D1312">
        <v>-2.3796122222222198E-2</v>
      </c>
      <c r="F1312">
        <v>9</v>
      </c>
      <c r="G1312" t="str">
        <f>IFERROR(VLOOKUP(B1312, Churches!H:H, 1, FALSE), "")</f>
        <v/>
      </c>
    </row>
    <row r="1313" spans="1:7" x14ac:dyDescent="0.25">
      <c r="A1313" t="s">
        <v>1774</v>
      </c>
      <c r="B1313" t="s">
        <v>2920</v>
      </c>
      <c r="C1313">
        <v>51.466383690000001</v>
      </c>
      <c r="D1313">
        <v>-2.1726929999999998E-2</v>
      </c>
      <c r="F1313">
        <v>10</v>
      </c>
      <c r="G1313" t="str">
        <f>IFERROR(VLOOKUP(B1313, Churches!H:H, 1, FALSE), "")</f>
        <v/>
      </c>
    </row>
    <row r="1314" spans="1:7" x14ac:dyDescent="0.25">
      <c r="A1314" t="s">
        <v>776</v>
      </c>
      <c r="B1314" t="s">
        <v>2275</v>
      </c>
      <c r="C1314">
        <v>51.4970060692307</v>
      </c>
      <c r="D1314">
        <v>-6.6838515384615299E-2</v>
      </c>
      <c r="E1314" t="s">
        <v>673</v>
      </c>
      <c r="F1314">
        <v>13</v>
      </c>
      <c r="G1314" t="str">
        <f>IFERROR(VLOOKUP(B1314, Churches!H:H, 1, FALSE), "")</f>
        <v/>
      </c>
    </row>
    <row r="1315" spans="1:7" x14ac:dyDescent="0.25">
      <c r="A1315" t="s">
        <v>678</v>
      </c>
      <c r="B1315" t="s">
        <v>2921</v>
      </c>
      <c r="C1315">
        <v>51.460677737499999</v>
      </c>
      <c r="D1315">
        <v>-3.3696887500000001E-2</v>
      </c>
      <c r="F1315">
        <v>16</v>
      </c>
      <c r="G1315" t="str">
        <f>IFERROR(VLOOKUP(B1315, Churches!H:H, 1, FALSE), "")</f>
        <v/>
      </c>
    </row>
    <row r="1316" spans="1:7" x14ac:dyDescent="0.25">
      <c r="A1316" t="s">
        <v>750</v>
      </c>
      <c r="B1316" t="s">
        <v>2922</v>
      </c>
      <c r="C1316">
        <v>51.426916435294103</v>
      </c>
      <c r="D1316">
        <v>9.6559500000000006E-2</v>
      </c>
      <c r="E1316" t="s">
        <v>673</v>
      </c>
      <c r="F1316">
        <v>17</v>
      </c>
      <c r="G1316" t="str">
        <f>IFERROR(VLOOKUP(B1316, Churches!H:H, 1, FALSE), "")</f>
        <v/>
      </c>
    </row>
    <row r="1317" spans="1:7" x14ac:dyDescent="0.25">
      <c r="A1317" t="s">
        <v>1775</v>
      </c>
      <c r="B1317" t="s">
        <v>2923</v>
      </c>
      <c r="C1317">
        <v>51.478135414285703</v>
      </c>
      <c r="D1317">
        <v>-0.203196328571428</v>
      </c>
      <c r="F1317">
        <v>7</v>
      </c>
      <c r="G1317" t="str">
        <f>IFERROR(VLOOKUP(B1317, Churches!H:H, 1, FALSE), "")</f>
        <v/>
      </c>
    </row>
    <row r="1318" spans="1:7" x14ac:dyDescent="0.25">
      <c r="A1318" t="s">
        <v>1776</v>
      </c>
      <c r="B1318" t="s">
        <v>2275</v>
      </c>
      <c r="C1318">
        <v>51.516322284615299</v>
      </c>
      <c r="D1318">
        <v>-4.58446692307692E-2</v>
      </c>
      <c r="F1318">
        <v>13</v>
      </c>
      <c r="G1318" t="str">
        <f>IFERROR(VLOOKUP(B1318, Churches!H:H, 1, FALSE), "")</f>
        <v/>
      </c>
    </row>
    <row r="1319" spans="1:7" x14ac:dyDescent="0.25">
      <c r="A1319" t="s">
        <v>1777</v>
      </c>
      <c r="B1319" t="s">
        <v>2275</v>
      </c>
      <c r="C1319">
        <v>51.545182090909002</v>
      </c>
      <c r="D1319">
        <v>8.55231818181818E-3</v>
      </c>
      <c r="F1319">
        <v>22</v>
      </c>
      <c r="G1319" t="str">
        <f>IFERROR(VLOOKUP(B1319, Churches!H:H, 1, FALSE), "")</f>
        <v/>
      </c>
    </row>
    <row r="1320" spans="1:7" x14ac:dyDescent="0.25">
      <c r="A1320" t="s">
        <v>1381</v>
      </c>
      <c r="B1320" t="s">
        <v>2924</v>
      </c>
      <c r="C1320">
        <v>51.494170930769201</v>
      </c>
      <c r="D1320">
        <v>-0.15107514615384601</v>
      </c>
      <c r="E1320" t="s">
        <v>673</v>
      </c>
      <c r="F1320">
        <v>13</v>
      </c>
      <c r="G1320" t="str">
        <f>IFERROR(VLOOKUP(B1320, Churches!H:H, 1, FALSE), "")</f>
        <v/>
      </c>
    </row>
    <row r="1321" spans="1:7" x14ac:dyDescent="0.25">
      <c r="A1321" t="s">
        <v>1196</v>
      </c>
      <c r="B1321" t="s">
        <v>2925</v>
      </c>
      <c r="C1321">
        <v>51.574284220000003</v>
      </c>
      <c r="D1321">
        <v>0.17551513999999999</v>
      </c>
      <c r="E1321" t="s">
        <v>673</v>
      </c>
      <c r="F1321">
        <v>5</v>
      </c>
      <c r="G1321" t="str">
        <f>IFERROR(VLOOKUP(B1321, Churches!H:H, 1, FALSE), "")</f>
        <v/>
      </c>
    </row>
    <row r="1322" spans="1:7" x14ac:dyDescent="0.25">
      <c r="A1322" t="s">
        <v>1778</v>
      </c>
      <c r="B1322" t="s">
        <v>2926</v>
      </c>
      <c r="C1322">
        <v>51.491941199999999</v>
      </c>
      <c r="D1322">
        <v>-0.15408149999999901</v>
      </c>
      <c r="E1322" t="s">
        <v>673</v>
      </c>
      <c r="F1322">
        <v>11</v>
      </c>
      <c r="G1322" t="str">
        <f>IFERROR(VLOOKUP(B1322, Churches!H:H, 1, FALSE), "")</f>
        <v/>
      </c>
    </row>
    <row r="1323" spans="1:7" x14ac:dyDescent="0.25">
      <c r="A1323" t="s">
        <v>1779</v>
      </c>
      <c r="B1323" t="s">
        <v>2927</v>
      </c>
      <c r="C1323">
        <v>51.560352779999903</v>
      </c>
      <c r="D1323">
        <v>8.1456639999999997E-2</v>
      </c>
      <c r="F1323">
        <v>5</v>
      </c>
      <c r="G1323" t="str">
        <f>IFERROR(VLOOKUP(B1323, Churches!H:H, 1, FALSE), "")</f>
        <v/>
      </c>
    </row>
    <row r="1324" spans="1:7" x14ac:dyDescent="0.25">
      <c r="A1324" t="s">
        <v>1145</v>
      </c>
      <c r="B1324" t="s">
        <v>2275</v>
      </c>
      <c r="C1324">
        <v>51.488807192307704</v>
      </c>
      <c r="D1324">
        <v>4.6690653846153798E-2</v>
      </c>
      <c r="E1324" t="s">
        <v>673</v>
      </c>
      <c r="F1324">
        <v>13</v>
      </c>
      <c r="G1324" t="str">
        <f>IFERROR(VLOOKUP(B1324, Churches!H:H, 1, FALSE), "")</f>
        <v/>
      </c>
    </row>
    <row r="1325" spans="1:7" x14ac:dyDescent="0.25">
      <c r="A1325" t="s">
        <v>1780</v>
      </c>
      <c r="B1325" t="s">
        <v>2928</v>
      </c>
      <c r="C1325">
        <v>51.549912291666601</v>
      </c>
      <c r="D1325">
        <v>-0.20241815833333299</v>
      </c>
      <c r="F1325">
        <v>12</v>
      </c>
      <c r="G1325" t="str">
        <f>IFERROR(VLOOKUP(B1325, Churches!H:H, 1, FALSE), "")</f>
        <v/>
      </c>
    </row>
    <row r="1326" spans="1:7" x14ac:dyDescent="0.25">
      <c r="A1326" t="s">
        <v>1781</v>
      </c>
      <c r="B1326" t="s">
        <v>2929</v>
      </c>
      <c r="C1326">
        <v>51.4533726875</v>
      </c>
      <c r="D1326">
        <v>-0.31303948749999999</v>
      </c>
      <c r="E1326" t="s">
        <v>673</v>
      </c>
      <c r="F1326">
        <v>16</v>
      </c>
      <c r="G1326" t="str">
        <f>IFERROR(VLOOKUP(B1326, Churches!H:H, 1, FALSE), "")</f>
        <v/>
      </c>
    </row>
    <row r="1327" spans="1:7" x14ac:dyDescent="0.25">
      <c r="A1327" t="s">
        <v>788</v>
      </c>
      <c r="B1327" t="s">
        <v>2275</v>
      </c>
      <c r="C1327">
        <v>51.4015395999999</v>
      </c>
      <c r="D1327">
        <v>-9.84071416666666E-2</v>
      </c>
      <c r="E1327" t="s">
        <v>673</v>
      </c>
      <c r="F1327">
        <v>24</v>
      </c>
      <c r="G1327" t="str">
        <f>IFERROR(VLOOKUP(B1327, Churches!H:H, 1, FALSE), "")</f>
        <v/>
      </c>
    </row>
    <row r="1328" spans="1:7" x14ac:dyDescent="0.25">
      <c r="A1328" t="s">
        <v>842</v>
      </c>
      <c r="B1328" t="s">
        <v>2275</v>
      </c>
      <c r="C1328">
        <v>51.480098557142803</v>
      </c>
      <c r="D1328">
        <v>-3.2983871428571399E-2</v>
      </c>
      <c r="F1328">
        <v>7</v>
      </c>
      <c r="G1328" t="str">
        <f>IFERROR(VLOOKUP(B1328, Churches!H:H, 1, FALSE), "")</f>
        <v/>
      </c>
    </row>
    <row r="1329" spans="1:7" x14ac:dyDescent="0.25">
      <c r="A1329" t="s">
        <v>1782</v>
      </c>
      <c r="B1329" t="s">
        <v>2930</v>
      </c>
      <c r="C1329">
        <v>51.430785123076902</v>
      </c>
      <c r="D1329">
        <v>-0.16720983076922999</v>
      </c>
      <c r="E1329" t="s">
        <v>673</v>
      </c>
      <c r="F1329">
        <v>13</v>
      </c>
      <c r="G1329" t="str">
        <f>IFERROR(VLOOKUP(B1329, Churches!H:H, 1, FALSE), "")</f>
        <v/>
      </c>
    </row>
    <row r="1330" spans="1:7" x14ac:dyDescent="0.25">
      <c r="A1330" t="s">
        <v>1783</v>
      </c>
      <c r="B1330" t="s">
        <v>2931</v>
      </c>
      <c r="C1330">
        <v>51.627502066666601</v>
      </c>
      <c r="D1330">
        <v>-0.17535299333333301</v>
      </c>
      <c r="F1330">
        <v>15</v>
      </c>
      <c r="G1330" t="str">
        <f>IFERROR(VLOOKUP(B1330, Churches!H:H, 1, FALSE), "")</f>
        <v/>
      </c>
    </row>
    <row r="1331" spans="1:7" x14ac:dyDescent="0.25">
      <c r="A1331" t="s">
        <v>1784</v>
      </c>
      <c r="B1331" t="s">
        <v>2275</v>
      </c>
      <c r="C1331">
        <v>51.429118542857097</v>
      </c>
      <c r="D1331">
        <v>-3.5556028571428498E-2</v>
      </c>
      <c r="F1331">
        <v>7</v>
      </c>
      <c r="G1331" t="str">
        <f>IFERROR(VLOOKUP(B1331, Churches!H:H, 1, FALSE), "")</f>
        <v/>
      </c>
    </row>
    <row r="1332" spans="1:7" x14ac:dyDescent="0.25">
      <c r="A1332" t="s">
        <v>1785</v>
      </c>
      <c r="B1332" t="s">
        <v>2932</v>
      </c>
      <c r="C1332">
        <v>51.547226600000002</v>
      </c>
      <c r="D1332">
        <v>0.198878969230769</v>
      </c>
      <c r="F1332">
        <v>13</v>
      </c>
      <c r="G1332" t="str">
        <f>IFERROR(VLOOKUP(B1332, Churches!H:H, 1, FALSE), "")</f>
        <v/>
      </c>
    </row>
    <row r="1333" spans="1:7" x14ac:dyDescent="0.25">
      <c r="A1333" t="s">
        <v>1786</v>
      </c>
      <c r="B1333" t="s">
        <v>2933</v>
      </c>
      <c r="C1333">
        <v>51.541193639999904</v>
      </c>
      <c r="D1333">
        <v>0.19260695999999999</v>
      </c>
      <c r="F1333">
        <v>5</v>
      </c>
      <c r="G1333" t="str">
        <f>IFERROR(VLOOKUP(B1333, Churches!H:H, 1, FALSE), "")</f>
        <v/>
      </c>
    </row>
    <row r="1334" spans="1:7" x14ac:dyDescent="0.25">
      <c r="A1334" t="s">
        <v>1787</v>
      </c>
      <c r="B1334" t="s">
        <v>2934</v>
      </c>
      <c r="C1334">
        <v>51.552490954545398</v>
      </c>
      <c r="D1334">
        <v>0.197738881818181</v>
      </c>
      <c r="F1334">
        <v>11</v>
      </c>
      <c r="G1334" t="str">
        <f>IFERROR(VLOOKUP(B1334, Churches!H:H, 1, FALSE), "")</f>
        <v/>
      </c>
    </row>
    <row r="1335" spans="1:7" x14ac:dyDescent="0.25">
      <c r="A1335" t="s">
        <v>947</v>
      </c>
      <c r="B1335" t="s">
        <v>2935</v>
      </c>
      <c r="C1335">
        <v>51.534800661904697</v>
      </c>
      <c r="D1335">
        <v>0.196337823809523</v>
      </c>
      <c r="F1335">
        <v>21</v>
      </c>
      <c r="G1335" t="str">
        <f>IFERROR(VLOOKUP(B1335, Churches!H:H, 1, FALSE), "")</f>
        <v/>
      </c>
    </row>
    <row r="1336" spans="1:7" x14ac:dyDescent="0.25">
      <c r="A1336" t="s">
        <v>1788</v>
      </c>
      <c r="B1336" t="s">
        <v>2275</v>
      </c>
      <c r="C1336">
        <v>51.5531156894736</v>
      </c>
      <c r="D1336">
        <v>-4.6843052631578902E-3</v>
      </c>
      <c r="F1336">
        <v>19</v>
      </c>
      <c r="G1336" t="str">
        <f>IFERROR(VLOOKUP(B1336, Churches!H:H, 1, FALSE), "")</f>
        <v/>
      </c>
    </row>
    <row r="1337" spans="1:7" x14ac:dyDescent="0.25">
      <c r="A1337" t="s">
        <v>1789</v>
      </c>
      <c r="B1337" t="s">
        <v>2936</v>
      </c>
      <c r="C1337">
        <v>51.514390116666597</v>
      </c>
      <c r="D1337">
        <v>-0.125285066666666</v>
      </c>
      <c r="F1337">
        <v>6</v>
      </c>
      <c r="G1337" t="str">
        <f>IFERROR(VLOOKUP(B1337, Churches!H:H, 1, FALSE), "")</f>
        <v/>
      </c>
    </row>
    <row r="1338" spans="1:7" x14ac:dyDescent="0.25">
      <c r="A1338" t="s">
        <v>1790</v>
      </c>
      <c r="B1338" t="s">
        <v>2937</v>
      </c>
      <c r="C1338">
        <v>51.552272733333297</v>
      </c>
      <c r="D1338">
        <v>0.26615551333333298</v>
      </c>
      <c r="E1338" t="s">
        <v>673</v>
      </c>
      <c r="F1338">
        <v>15</v>
      </c>
      <c r="G1338" t="str">
        <f>IFERROR(VLOOKUP(B1338, Churches!H:H, 1, FALSE), "")</f>
        <v/>
      </c>
    </row>
    <row r="1339" spans="1:7" x14ac:dyDescent="0.25">
      <c r="A1339" t="s">
        <v>1791</v>
      </c>
      <c r="B1339" t="s">
        <v>2938</v>
      </c>
      <c r="C1339">
        <v>51.6017036799999</v>
      </c>
      <c r="D1339">
        <v>-0.26976111999999902</v>
      </c>
      <c r="F1339">
        <v>5</v>
      </c>
      <c r="G1339" t="str">
        <f>IFERROR(VLOOKUP(B1339, Churches!H:H, 1, FALSE), "")</f>
        <v/>
      </c>
    </row>
    <row r="1340" spans="1:7" x14ac:dyDescent="0.25">
      <c r="A1340" t="s">
        <v>994</v>
      </c>
      <c r="B1340" t="s">
        <v>2939</v>
      </c>
      <c r="C1340">
        <v>51.60504186</v>
      </c>
      <c r="D1340">
        <v>-0.27776338</v>
      </c>
      <c r="F1340">
        <v>5</v>
      </c>
      <c r="G1340" t="str">
        <f>IFERROR(VLOOKUP(B1340, Churches!H:H, 1, FALSE), "")</f>
        <v/>
      </c>
    </row>
    <row r="1341" spans="1:7" x14ac:dyDescent="0.25">
      <c r="A1341" t="s">
        <v>1792</v>
      </c>
      <c r="B1341" t="s">
        <v>2275</v>
      </c>
      <c r="C1341">
        <v>51.485316869230701</v>
      </c>
      <c r="D1341">
        <v>6.3401784615384593E-2</v>
      </c>
      <c r="F1341">
        <v>13</v>
      </c>
      <c r="G1341" t="str">
        <f>IFERROR(VLOOKUP(B1341, Churches!H:H, 1, FALSE), "")</f>
        <v/>
      </c>
    </row>
    <row r="1342" spans="1:7" x14ac:dyDescent="0.25">
      <c r="A1342" t="s">
        <v>1793</v>
      </c>
      <c r="B1342" t="s">
        <v>2940</v>
      </c>
      <c r="C1342">
        <v>51.433325619999998</v>
      </c>
      <c r="D1342">
        <v>-0.18491540000000001</v>
      </c>
      <c r="F1342">
        <v>5</v>
      </c>
      <c r="G1342" t="str">
        <f>IFERROR(VLOOKUP(B1342, Churches!H:H, 1, FALSE), "")</f>
        <v/>
      </c>
    </row>
    <row r="1343" spans="1:7" x14ac:dyDescent="0.25">
      <c r="A1343" t="s">
        <v>1794</v>
      </c>
      <c r="B1343" t="s">
        <v>2941</v>
      </c>
      <c r="C1343">
        <v>51.545989711111098</v>
      </c>
      <c r="D1343">
        <v>-0.14311942222222199</v>
      </c>
      <c r="F1343">
        <v>9</v>
      </c>
      <c r="G1343" t="str">
        <f>IFERROR(VLOOKUP(B1343, Churches!H:H, 1, FALSE), "")</f>
        <v/>
      </c>
    </row>
    <row r="1344" spans="1:7" x14ac:dyDescent="0.25">
      <c r="A1344" t="s">
        <v>1795</v>
      </c>
      <c r="B1344" t="s">
        <v>2942</v>
      </c>
      <c r="C1344">
        <v>51.603834579999997</v>
      </c>
      <c r="D1344">
        <v>-9.6464579999999994E-2</v>
      </c>
      <c r="F1344">
        <v>5</v>
      </c>
      <c r="G1344" t="str">
        <f>IFERROR(VLOOKUP(B1344, Churches!H:H, 1, FALSE), "")</f>
        <v/>
      </c>
    </row>
    <row r="1345" spans="1:7" x14ac:dyDescent="0.25">
      <c r="A1345" t="s">
        <v>1796</v>
      </c>
      <c r="B1345" t="s">
        <v>2275</v>
      </c>
      <c r="C1345">
        <v>51.462818224000003</v>
      </c>
      <c r="D1345">
        <v>8.4692299999999899E-4</v>
      </c>
      <c r="E1345" t="s">
        <v>673</v>
      </c>
      <c r="F1345">
        <v>100</v>
      </c>
      <c r="G1345" t="str">
        <f>IFERROR(VLOOKUP(B1345, Churches!H:H, 1, FALSE), "")</f>
        <v/>
      </c>
    </row>
    <row r="1346" spans="1:7" x14ac:dyDescent="0.25">
      <c r="A1346" t="s">
        <v>735</v>
      </c>
      <c r="B1346" t="s">
        <v>2275</v>
      </c>
      <c r="C1346">
        <v>51.431752526315698</v>
      </c>
      <c r="D1346">
        <v>-9.0580531578947299E-2</v>
      </c>
      <c r="F1346">
        <v>19</v>
      </c>
      <c r="G1346" t="str">
        <f>IFERROR(VLOOKUP(B1346, Churches!H:H, 1, FALSE), "")</f>
        <v/>
      </c>
    </row>
    <row r="1347" spans="1:7" x14ac:dyDescent="0.25">
      <c r="A1347" t="s">
        <v>1797</v>
      </c>
      <c r="B1347" t="s">
        <v>2943</v>
      </c>
      <c r="C1347">
        <v>51.565179935000003</v>
      </c>
      <c r="D1347">
        <v>-0.26500689500000002</v>
      </c>
      <c r="F1347">
        <v>20</v>
      </c>
      <c r="G1347" t="str">
        <f>IFERROR(VLOOKUP(B1347, Churches!H:H, 1, FALSE), "")</f>
        <v/>
      </c>
    </row>
    <row r="1348" spans="1:7" x14ac:dyDescent="0.25">
      <c r="A1348" t="s">
        <v>704</v>
      </c>
      <c r="B1348" t="s">
        <v>2944</v>
      </c>
      <c r="C1348">
        <v>51.443163422222199</v>
      </c>
      <c r="D1348">
        <v>-0.21855298888888799</v>
      </c>
      <c r="F1348">
        <v>9</v>
      </c>
      <c r="G1348" t="str">
        <f>IFERROR(VLOOKUP(B1348, Churches!H:H, 1, FALSE), "")</f>
        <v/>
      </c>
    </row>
    <row r="1349" spans="1:7" x14ac:dyDescent="0.25">
      <c r="A1349" t="s">
        <v>947</v>
      </c>
      <c r="B1349" t="s">
        <v>2945</v>
      </c>
      <c r="C1349">
        <v>51.344175957142802</v>
      </c>
      <c r="D1349">
        <v>-0.20310569047619001</v>
      </c>
      <c r="E1349" t="s">
        <v>1216</v>
      </c>
      <c r="F1349">
        <v>21</v>
      </c>
      <c r="G1349" t="str">
        <f>IFERROR(VLOOKUP(B1349, Churches!H:H, 1, FALSE), "")</f>
        <v/>
      </c>
    </row>
    <row r="1350" spans="1:7" x14ac:dyDescent="0.25">
      <c r="A1350" t="s">
        <v>1798</v>
      </c>
      <c r="B1350" t="s">
        <v>2946</v>
      </c>
      <c r="C1350">
        <v>51.47531626</v>
      </c>
      <c r="D1350">
        <v>-0.13785032</v>
      </c>
      <c r="F1350">
        <v>5</v>
      </c>
      <c r="G1350" t="str">
        <f>IFERROR(VLOOKUP(B1350, Churches!H:H, 1, FALSE), "")</f>
        <v/>
      </c>
    </row>
    <row r="1351" spans="1:7" x14ac:dyDescent="0.25">
      <c r="A1351" t="s">
        <v>1799</v>
      </c>
      <c r="B1351" t="s">
        <v>2947</v>
      </c>
      <c r="C1351">
        <v>51.402998352631499</v>
      </c>
      <c r="D1351">
        <v>-0.1749203</v>
      </c>
      <c r="E1351" t="s">
        <v>673</v>
      </c>
      <c r="F1351">
        <v>19</v>
      </c>
      <c r="G1351" t="str">
        <f>IFERROR(VLOOKUP(B1351, Churches!H:H, 1, FALSE), "")</f>
        <v/>
      </c>
    </row>
    <row r="1352" spans="1:7" x14ac:dyDescent="0.25">
      <c r="A1352" t="s">
        <v>1800</v>
      </c>
      <c r="B1352" t="s">
        <v>2275</v>
      </c>
      <c r="C1352">
        <v>51.534873533333297</v>
      </c>
      <c r="D1352">
        <v>-5.4816133333333301E-2</v>
      </c>
      <c r="F1352">
        <v>9</v>
      </c>
      <c r="G1352" t="str">
        <f>IFERROR(VLOOKUP(B1352, Churches!H:H, 1, FALSE), "")</f>
        <v/>
      </c>
    </row>
    <row r="1353" spans="1:7" x14ac:dyDescent="0.25">
      <c r="A1353" t="s">
        <v>1801</v>
      </c>
      <c r="B1353" t="s">
        <v>2948</v>
      </c>
      <c r="C1353">
        <v>51.472488460000001</v>
      </c>
      <c r="D1353">
        <v>-9.7788219999999995E-2</v>
      </c>
      <c r="F1353">
        <v>5</v>
      </c>
      <c r="G1353" t="str">
        <f>IFERROR(VLOOKUP(B1353, Churches!H:H, 1, FALSE), "")</f>
        <v/>
      </c>
    </row>
    <row r="1354" spans="1:7" x14ac:dyDescent="0.25">
      <c r="A1354" t="s">
        <v>1802</v>
      </c>
      <c r="B1354" t="s">
        <v>2948</v>
      </c>
      <c r="C1354">
        <v>51.472273700000002</v>
      </c>
      <c r="D1354">
        <v>-9.8245460000000007E-2</v>
      </c>
      <c r="F1354">
        <v>5</v>
      </c>
      <c r="G1354" t="str">
        <f>IFERROR(VLOOKUP(B1354, Churches!H:H, 1, FALSE), "")</f>
        <v/>
      </c>
    </row>
    <row r="1355" spans="1:7" x14ac:dyDescent="0.25">
      <c r="A1355" t="s">
        <v>1803</v>
      </c>
      <c r="B1355" t="s">
        <v>2949</v>
      </c>
      <c r="C1355">
        <v>51.472779060000001</v>
      </c>
      <c r="D1355">
        <v>-9.842571E-2</v>
      </c>
      <c r="F1355">
        <v>10</v>
      </c>
      <c r="G1355" t="str">
        <f>IFERROR(VLOOKUP(B1355, Churches!H:H, 1, FALSE), "")</f>
        <v/>
      </c>
    </row>
    <row r="1356" spans="1:7" x14ac:dyDescent="0.25">
      <c r="A1356" t="s">
        <v>1804</v>
      </c>
      <c r="B1356" t="s">
        <v>2275</v>
      </c>
      <c r="C1356">
        <v>51.472656649999998</v>
      </c>
      <c r="D1356">
        <v>-9.8495937499999894E-2</v>
      </c>
      <c r="F1356">
        <v>8</v>
      </c>
      <c r="G1356" t="str">
        <f>IFERROR(VLOOKUP(B1356, Churches!H:H, 1, FALSE), "")</f>
        <v/>
      </c>
    </row>
    <row r="1357" spans="1:7" x14ac:dyDescent="0.25">
      <c r="A1357" t="s">
        <v>1805</v>
      </c>
      <c r="B1357" t="s">
        <v>2950</v>
      </c>
      <c r="C1357">
        <v>51.519766820000001</v>
      </c>
      <c r="D1357">
        <v>-0.26681944000000002</v>
      </c>
      <c r="E1357" t="s">
        <v>673</v>
      </c>
      <c r="F1357">
        <v>5</v>
      </c>
      <c r="G1357" t="str">
        <f>IFERROR(VLOOKUP(B1357, Churches!H:H, 1, FALSE), "")</f>
        <v/>
      </c>
    </row>
    <row r="1358" spans="1:7" x14ac:dyDescent="0.25">
      <c r="A1358" t="s">
        <v>1806</v>
      </c>
      <c r="B1358" t="s">
        <v>2951</v>
      </c>
      <c r="C1358">
        <v>51.571531887500001</v>
      </c>
      <c r="D1358">
        <v>-0.149386725</v>
      </c>
      <c r="F1358">
        <v>8</v>
      </c>
      <c r="G1358" t="str">
        <f>IFERROR(VLOOKUP(B1358, Churches!H:H, 1, FALSE), "")</f>
        <v/>
      </c>
    </row>
    <row r="1359" spans="1:7" x14ac:dyDescent="0.25">
      <c r="A1359" t="s">
        <v>1175</v>
      </c>
      <c r="B1359" t="s">
        <v>2952</v>
      </c>
      <c r="C1359">
        <v>51.519767948275799</v>
      </c>
      <c r="D1359">
        <v>-0.16184976206896501</v>
      </c>
      <c r="E1359" t="s">
        <v>673</v>
      </c>
      <c r="F1359">
        <v>29</v>
      </c>
      <c r="G1359" t="str">
        <f>IFERROR(VLOOKUP(B1359, Churches!H:H, 1, FALSE), "")</f>
        <v/>
      </c>
    </row>
    <row r="1360" spans="1:7" x14ac:dyDescent="0.25">
      <c r="A1360" t="s">
        <v>1807</v>
      </c>
      <c r="B1360" t="s">
        <v>2953</v>
      </c>
      <c r="C1360">
        <v>51.345794720000001</v>
      </c>
      <c r="D1360">
        <v>-0.10487788000000001</v>
      </c>
      <c r="F1360">
        <v>5</v>
      </c>
      <c r="G1360" t="str">
        <f>IFERROR(VLOOKUP(B1360, Churches!H:H, 1, FALSE), "")</f>
        <v/>
      </c>
    </row>
    <row r="1361" spans="1:7" x14ac:dyDescent="0.25">
      <c r="A1361" t="s">
        <v>1808</v>
      </c>
      <c r="B1361" t="s">
        <v>2954</v>
      </c>
      <c r="C1361">
        <v>51.35707902</v>
      </c>
      <c r="D1361">
        <v>-9.7484340000000003E-2</v>
      </c>
      <c r="F1361">
        <v>5</v>
      </c>
      <c r="G1361" t="str">
        <f>IFERROR(VLOOKUP(B1361, Churches!H:H, 1, FALSE), "")</f>
        <v/>
      </c>
    </row>
    <row r="1362" spans="1:7" x14ac:dyDescent="0.25">
      <c r="A1362" t="s">
        <v>1809</v>
      </c>
      <c r="B1362" t="s">
        <v>2275</v>
      </c>
      <c r="C1362">
        <v>51.355036980000001</v>
      </c>
      <c r="D1362">
        <v>-9.5043339999999907E-2</v>
      </c>
      <c r="F1362">
        <v>5</v>
      </c>
      <c r="G1362" t="str">
        <f>IFERROR(VLOOKUP(B1362, Churches!H:H, 1, FALSE), "")</f>
        <v/>
      </c>
    </row>
    <row r="1363" spans="1:7" x14ac:dyDescent="0.25">
      <c r="A1363" t="s">
        <v>674</v>
      </c>
      <c r="B1363" t="s">
        <v>2275</v>
      </c>
      <c r="C1363">
        <v>51.375146346153798</v>
      </c>
      <c r="D1363">
        <v>-3.1276330769230698E-2</v>
      </c>
      <c r="E1363" t="s">
        <v>673</v>
      </c>
      <c r="F1363">
        <v>13</v>
      </c>
      <c r="G1363" t="str">
        <f>IFERROR(VLOOKUP(B1363, Churches!H:H, 1, FALSE), "")</f>
        <v/>
      </c>
    </row>
    <row r="1364" spans="1:7" x14ac:dyDescent="0.25">
      <c r="A1364" t="s">
        <v>1810</v>
      </c>
      <c r="B1364" t="s">
        <v>2955</v>
      </c>
      <c r="C1364">
        <v>51.481423219999897</v>
      </c>
      <c r="D1364">
        <v>-5.7290359999999999E-2</v>
      </c>
      <c r="F1364">
        <v>5</v>
      </c>
      <c r="G1364" t="str">
        <f>IFERROR(VLOOKUP(B1364, Churches!H:H, 1, FALSE), "")</f>
        <v/>
      </c>
    </row>
    <row r="1365" spans="1:7" x14ac:dyDescent="0.25">
      <c r="A1365" t="s">
        <v>1811</v>
      </c>
      <c r="B1365" t="s">
        <v>2275</v>
      </c>
      <c r="C1365">
        <v>51.479733111111102</v>
      </c>
      <c r="D1365">
        <v>-5.60425888888888E-2</v>
      </c>
      <c r="F1365">
        <v>9</v>
      </c>
      <c r="G1365" t="str">
        <f>IFERROR(VLOOKUP(B1365, Churches!H:H, 1, FALSE), "")</f>
        <v/>
      </c>
    </row>
    <row r="1366" spans="1:7" x14ac:dyDescent="0.25">
      <c r="A1366" t="s">
        <v>699</v>
      </c>
      <c r="B1366" t="s">
        <v>2956</v>
      </c>
      <c r="C1366">
        <v>51.4811929782608</v>
      </c>
      <c r="D1366">
        <v>-0.34324686521739101</v>
      </c>
      <c r="E1366" t="s">
        <v>673</v>
      </c>
      <c r="F1366">
        <v>23</v>
      </c>
      <c r="G1366" t="str">
        <f>IFERROR(VLOOKUP(B1366, Churches!H:H, 1, FALSE), "")</f>
        <v/>
      </c>
    </row>
    <row r="1367" spans="1:7" x14ac:dyDescent="0.25">
      <c r="A1367" t="s">
        <v>1812</v>
      </c>
      <c r="B1367" t="s">
        <v>2957</v>
      </c>
      <c r="C1367">
        <v>51.341970311111098</v>
      </c>
      <c r="D1367">
        <v>0.11112923333333299</v>
      </c>
      <c r="E1367" t="s">
        <v>673</v>
      </c>
      <c r="F1367">
        <v>9</v>
      </c>
      <c r="G1367" t="str">
        <f>IFERROR(VLOOKUP(B1367, Churches!H:H, 1, FALSE), "")</f>
        <v/>
      </c>
    </row>
    <row r="1368" spans="1:7" x14ac:dyDescent="0.25">
      <c r="A1368" t="s">
        <v>1813</v>
      </c>
      <c r="B1368" t="s">
        <v>2275</v>
      </c>
      <c r="C1368">
        <v>51.452799724999998</v>
      </c>
      <c r="D1368">
        <v>-8.2531299999999905E-2</v>
      </c>
      <c r="E1368" t="s">
        <v>673</v>
      </c>
      <c r="F1368">
        <v>32</v>
      </c>
      <c r="G1368" t="str">
        <f>IFERROR(VLOOKUP(B1368, Churches!H:H, 1, FALSE), "")</f>
        <v/>
      </c>
    </row>
    <row r="1369" spans="1:7" x14ac:dyDescent="0.25">
      <c r="A1369" t="s">
        <v>1814</v>
      </c>
      <c r="B1369" t="s">
        <v>2958</v>
      </c>
      <c r="C1369">
        <v>51.3998145199999</v>
      </c>
      <c r="D1369">
        <v>-9.7534800000000005E-2</v>
      </c>
      <c r="F1369">
        <v>5</v>
      </c>
      <c r="G1369" t="str">
        <f>IFERROR(VLOOKUP(B1369, Churches!H:H, 1, FALSE), "")</f>
        <v/>
      </c>
    </row>
    <row r="1370" spans="1:7" x14ac:dyDescent="0.25">
      <c r="A1370" t="s">
        <v>1815</v>
      </c>
      <c r="B1370" t="s">
        <v>2959</v>
      </c>
      <c r="C1370">
        <v>51.407826579999998</v>
      </c>
      <c r="D1370">
        <v>-0.10430953999999899</v>
      </c>
      <c r="F1370">
        <v>5</v>
      </c>
      <c r="G1370" t="str">
        <f>IFERROR(VLOOKUP(B1370, Churches!H:H, 1, FALSE), "")</f>
        <v/>
      </c>
    </row>
    <row r="1371" spans="1:7" x14ac:dyDescent="0.25">
      <c r="A1371" t="s">
        <v>1816</v>
      </c>
      <c r="B1371" t="s">
        <v>2275</v>
      </c>
      <c r="C1371">
        <v>51.339406810526299</v>
      </c>
      <c r="D1371">
        <v>-1.2609431578947301E-2</v>
      </c>
      <c r="F1371">
        <v>19</v>
      </c>
      <c r="G1371" t="str">
        <f>IFERROR(VLOOKUP(B1371, Churches!H:H, 1, FALSE), "")</f>
        <v/>
      </c>
    </row>
    <row r="1372" spans="1:7" x14ac:dyDescent="0.25">
      <c r="A1372" t="s">
        <v>1817</v>
      </c>
      <c r="B1372" t="s">
        <v>2960</v>
      </c>
      <c r="C1372">
        <v>51.596175618181803</v>
      </c>
      <c r="D1372">
        <v>-0.38245271818181797</v>
      </c>
      <c r="F1372">
        <v>11</v>
      </c>
      <c r="G1372" t="str">
        <f>IFERROR(VLOOKUP(B1372, Churches!H:H, 1, FALSE), "")</f>
        <v/>
      </c>
    </row>
    <row r="1373" spans="1:7" x14ac:dyDescent="0.25">
      <c r="A1373" t="s">
        <v>1818</v>
      </c>
      <c r="B1373" t="s">
        <v>2961</v>
      </c>
      <c r="C1373">
        <v>51.446955500000001</v>
      </c>
      <c r="D1373">
        <v>-0.32517517368421001</v>
      </c>
      <c r="E1373" t="s">
        <v>673</v>
      </c>
      <c r="F1373">
        <v>19</v>
      </c>
      <c r="G1373" t="str">
        <f>IFERROR(VLOOKUP(B1373, Churches!H:H, 1, FALSE), "")</f>
        <v/>
      </c>
    </row>
    <row r="1374" spans="1:7" x14ac:dyDescent="0.25">
      <c r="A1374" t="s">
        <v>1819</v>
      </c>
      <c r="B1374" t="s">
        <v>2962</v>
      </c>
      <c r="C1374">
        <v>51.517606016666598</v>
      </c>
      <c r="D1374">
        <v>-0.32299909999999998</v>
      </c>
      <c r="F1374">
        <v>6</v>
      </c>
      <c r="G1374" t="str">
        <f>IFERROR(VLOOKUP(B1374, Churches!H:H, 1, FALSE), "")</f>
        <v/>
      </c>
    </row>
    <row r="1375" spans="1:7" x14ac:dyDescent="0.25">
      <c r="A1375" t="s">
        <v>1820</v>
      </c>
      <c r="B1375" t="s">
        <v>2275</v>
      </c>
      <c r="C1375">
        <v>51.384522811764697</v>
      </c>
      <c r="D1375">
        <v>-4.4355617647058802E-2</v>
      </c>
      <c r="E1375" t="s">
        <v>673</v>
      </c>
      <c r="F1375">
        <v>17</v>
      </c>
      <c r="G1375" t="str">
        <f>IFERROR(VLOOKUP(B1375, Churches!H:H, 1, FALSE), "")</f>
        <v/>
      </c>
    </row>
    <row r="1376" spans="1:7" x14ac:dyDescent="0.25">
      <c r="A1376" t="s">
        <v>1821</v>
      </c>
      <c r="B1376" t="s">
        <v>2963</v>
      </c>
      <c r="C1376">
        <v>51.330114628571401</v>
      </c>
      <c r="D1376">
        <v>-0.10905095714285699</v>
      </c>
      <c r="F1376">
        <v>7</v>
      </c>
      <c r="G1376" t="str">
        <f>IFERROR(VLOOKUP(B1376, Churches!H:H, 1, FALSE), "")</f>
        <v/>
      </c>
    </row>
    <row r="1377" spans="1:7" x14ac:dyDescent="0.25">
      <c r="A1377" t="s">
        <v>1822</v>
      </c>
      <c r="B1377" t="s">
        <v>2964</v>
      </c>
      <c r="C1377">
        <v>51.319601211111099</v>
      </c>
      <c r="D1377">
        <v>-0.143213333333333</v>
      </c>
      <c r="F1377">
        <v>9</v>
      </c>
      <c r="G1377" t="str">
        <f>IFERROR(VLOOKUP(B1377, Churches!H:H, 1, FALSE), "")</f>
        <v/>
      </c>
    </row>
    <row r="1378" spans="1:7" x14ac:dyDescent="0.25">
      <c r="A1378" t="s">
        <v>1823</v>
      </c>
      <c r="B1378" t="s">
        <v>2965</v>
      </c>
      <c r="C1378">
        <v>51.517292566666598</v>
      </c>
      <c r="D1378">
        <v>-0.13838724999999999</v>
      </c>
      <c r="F1378">
        <v>6</v>
      </c>
      <c r="G1378" t="str">
        <f>IFERROR(VLOOKUP(B1378, Churches!H:H, 1, FALSE), "")</f>
        <v/>
      </c>
    </row>
    <row r="1379" spans="1:7" x14ac:dyDescent="0.25">
      <c r="A1379" t="s">
        <v>1824</v>
      </c>
      <c r="B1379" t="s">
        <v>2966</v>
      </c>
      <c r="C1379">
        <v>51.643300499999903</v>
      </c>
      <c r="D1379">
        <v>-6.6313419999999998E-2</v>
      </c>
      <c r="F1379">
        <v>5</v>
      </c>
      <c r="G1379" t="str">
        <f>IFERROR(VLOOKUP(B1379, Churches!H:H, 1, FALSE), "")</f>
        <v/>
      </c>
    </row>
    <row r="1380" spans="1:7" x14ac:dyDescent="0.25">
      <c r="A1380" t="s">
        <v>1825</v>
      </c>
      <c r="B1380" t="s">
        <v>2967</v>
      </c>
      <c r="C1380">
        <v>51.554019692857104</v>
      </c>
      <c r="D1380">
        <v>0.21447741428571401</v>
      </c>
      <c r="F1380">
        <v>14</v>
      </c>
      <c r="G1380" t="str">
        <f>IFERROR(VLOOKUP(B1380, Churches!H:H, 1, FALSE), "")</f>
        <v/>
      </c>
    </row>
    <row r="1381" spans="1:7" x14ac:dyDescent="0.25">
      <c r="A1381" t="s">
        <v>1826</v>
      </c>
      <c r="B1381" t="s">
        <v>2275</v>
      </c>
      <c r="C1381">
        <v>51.487253695238003</v>
      </c>
      <c r="D1381">
        <v>6.5880685714285694E-2</v>
      </c>
      <c r="F1381">
        <v>21</v>
      </c>
      <c r="G1381" t="str">
        <f>IFERROR(VLOOKUP(B1381, Churches!H:H, 1, FALSE), "")</f>
        <v/>
      </c>
    </row>
    <row r="1382" spans="1:7" x14ac:dyDescent="0.25">
      <c r="A1382" t="s">
        <v>1135</v>
      </c>
      <c r="B1382" t="s">
        <v>2968</v>
      </c>
      <c r="C1382">
        <v>51.489324499999903</v>
      </c>
      <c r="D1382">
        <v>-0.47908509999999999</v>
      </c>
      <c r="E1382" t="s">
        <v>673</v>
      </c>
      <c r="F1382">
        <v>5</v>
      </c>
      <c r="G1382" t="str">
        <f>IFERROR(VLOOKUP(B1382, Churches!H:H, 1, FALSE), "")</f>
        <v/>
      </c>
    </row>
    <row r="1383" spans="1:7" x14ac:dyDescent="0.25">
      <c r="A1383" t="s">
        <v>1827</v>
      </c>
      <c r="B1383" t="s">
        <v>2275</v>
      </c>
      <c r="C1383">
        <v>51.626507500000002</v>
      </c>
      <c r="D1383">
        <v>-9.9540088888888906E-2</v>
      </c>
      <c r="F1383">
        <v>9</v>
      </c>
      <c r="G1383" t="str">
        <f>IFERROR(VLOOKUP(B1383, Churches!H:H, 1, FALSE), "")</f>
        <v/>
      </c>
    </row>
    <row r="1384" spans="1:7" x14ac:dyDescent="0.25">
      <c r="A1384" t="s">
        <v>1828</v>
      </c>
      <c r="B1384" t="s">
        <v>2969</v>
      </c>
      <c r="C1384">
        <v>51.512974523076899</v>
      </c>
      <c r="D1384">
        <v>-0.25810870769230698</v>
      </c>
      <c r="E1384" t="s">
        <v>673</v>
      </c>
      <c r="F1384">
        <v>13</v>
      </c>
      <c r="G1384" t="str">
        <f>IFERROR(VLOOKUP(B1384, Churches!H:H, 1, FALSE), "")</f>
        <v/>
      </c>
    </row>
    <row r="1385" spans="1:7" x14ac:dyDescent="0.25">
      <c r="A1385" t="s">
        <v>1829</v>
      </c>
      <c r="B1385" t="s">
        <v>2970</v>
      </c>
      <c r="C1385">
        <v>51.529500175000003</v>
      </c>
      <c r="D1385">
        <v>0.18855867500000001</v>
      </c>
      <c r="F1385">
        <v>8</v>
      </c>
      <c r="G1385" t="str">
        <f>IFERROR(VLOOKUP(B1385, Churches!H:H, 1, FALSE), "")</f>
        <v/>
      </c>
    </row>
    <row r="1386" spans="1:7" x14ac:dyDescent="0.25">
      <c r="A1386" t="s">
        <v>1105</v>
      </c>
      <c r="B1386" t="s">
        <v>2275</v>
      </c>
      <c r="C1386">
        <v>51.610888066666597</v>
      </c>
      <c r="D1386">
        <v>1.9261483333333301E-2</v>
      </c>
      <c r="E1386" t="s">
        <v>673</v>
      </c>
      <c r="F1386">
        <v>6</v>
      </c>
      <c r="G1386" t="str">
        <f>IFERROR(VLOOKUP(B1386, Churches!H:H, 1, FALSE), "")</f>
        <v/>
      </c>
    </row>
    <row r="1387" spans="1:7" x14ac:dyDescent="0.25">
      <c r="A1387" t="s">
        <v>1830</v>
      </c>
      <c r="B1387" t="s">
        <v>1996</v>
      </c>
      <c r="C1387">
        <v>51.561542512499898</v>
      </c>
      <c r="D1387">
        <v>-2.9161249999999999E-3</v>
      </c>
      <c r="E1387" t="s">
        <v>673</v>
      </c>
      <c r="F1387">
        <v>8</v>
      </c>
      <c r="G1387" t="str">
        <f>IFERROR(VLOOKUP(B1387, Churches!H:H, 1, FALSE), "")</f>
        <v/>
      </c>
    </row>
    <row r="1388" spans="1:7" x14ac:dyDescent="0.25">
      <c r="A1388" t="s">
        <v>1831</v>
      </c>
      <c r="B1388" t="s">
        <v>2275</v>
      </c>
      <c r="C1388">
        <v>51.561377239999999</v>
      </c>
      <c r="D1388">
        <v>-2.81343999999999E-3</v>
      </c>
      <c r="F1388">
        <v>5</v>
      </c>
      <c r="G1388" t="str">
        <f>IFERROR(VLOOKUP(B1388, Churches!H:H, 1, FALSE), "")</f>
        <v/>
      </c>
    </row>
    <row r="1389" spans="1:7" x14ac:dyDescent="0.25">
      <c r="A1389" t="s">
        <v>1832</v>
      </c>
      <c r="B1389" t="s">
        <v>2971</v>
      </c>
      <c r="C1389">
        <v>51.573262344444402</v>
      </c>
      <c r="D1389">
        <v>0.19602772222222201</v>
      </c>
      <c r="F1389">
        <v>9</v>
      </c>
      <c r="G1389" t="str">
        <f>IFERROR(VLOOKUP(B1389, Churches!H:H, 1, FALSE), "")</f>
        <v/>
      </c>
    </row>
    <row r="1390" spans="1:7" x14ac:dyDescent="0.25">
      <c r="A1390" t="s">
        <v>1833</v>
      </c>
      <c r="B1390" t="s">
        <v>2275</v>
      </c>
      <c r="C1390">
        <v>51.563962271428501</v>
      </c>
      <c r="D1390">
        <v>1.15210857142857E-2</v>
      </c>
      <c r="F1390">
        <v>7</v>
      </c>
      <c r="G1390" t="str">
        <f>IFERROR(VLOOKUP(B1390, Churches!H:H, 1, FALSE), "")</f>
        <v/>
      </c>
    </row>
    <row r="1391" spans="1:7" x14ac:dyDescent="0.25">
      <c r="A1391" t="s">
        <v>1834</v>
      </c>
      <c r="B1391" t="s">
        <v>2972</v>
      </c>
      <c r="C1391">
        <v>51.581777339999903</v>
      </c>
      <c r="D1391">
        <v>-0.34188015999999999</v>
      </c>
      <c r="F1391">
        <v>5</v>
      </c>
      <c r="G1391" t="str">
        <f>IFERROR(VLOOKUP(B1391, Churches!H:H, 1, FALSE), "")</f>
        <v/>
      </c>
    </row>
    <row r="1392" spans="1:7" x14ac:dyDescent="0.25">
      <c r="A1392" t="s">
        <v>1835</v>
      </c>
      <c r="B1392" t="s">
        <v>2973</v>
      </c>
      <c r="C1392">
        <v>51.580533179999897</v>
      </c>
      <c r="D1392">
        <v>0.17965017999999999</v>
      </c>
      <c r="F1392">
        <v>5</v>
      </c>
      <c r="G1392" t="str">
        <f>IFERROR(VLOOKUP(B1392, Churches!H:H, 1, FALSE), "")</f>
        <v/>
      </c>
    </row>
    <row r="1393" spans="1:7" x14ac:dyDescent="0.25">
      <c r="A1393" t="s">
        <v>1836</v>
      </c>
      <c r="B1393" t="s">
        <v>2974</v>
      </c>
      <c r="C1393">
        <v>51.330485623076903</v>
      </c>
      <c r="D1393">
        <v>-0.107363392307692</v>
      </c>
      <c r="E1393" t="s">
        <v>673</v>
      </c>
      <c r="F1393">
        <v>13</v>
      </c>
      <c r="G1393" t="str">
        <f>IFERROR(VLOOKUP(B1393, Churches!H:H, 1, FALSE), "")</f>
        <v/>
      </c>
    </row>
    <row r="1394" spans="1:7" x14ac:dyDescent="0.25">
      <c r="A1394" t="s">
        <v>1837</v>
      </c>
      <c r="B1394" t="s">
        <v>2975</v>
      </c>
      <c r="C1394">
        <v>51.484617453846099</v>
      </c>
      <c r="D1394">
        <v>-0.23346318461538401</v>
      </c>
      <c r="E1394" t="s">
        <v>673</v>
      </c>
      <c r="F1394">
        <v>13</v>
      </c>
      <c r="G1394" t="str">
        <f>IFERROR(VLOOKUP(B1394, Churches!H:H, 1, FALSE), "")</f>
        <v/>
      </c>
    </row>
    <row r="1395" spans="1:7" x14ac:dyDescent="0.25">
      <c r="A1395" t="s">
        <v>1359</v>
      </c>
      <c r="B1395" t="s">
        <v>2976</v>
      </c>
      <c r="C1395">
        <v>51.565465859999897</v>
      </c>
      <c r="D1395">
        <v>0.19559114666666599</v>
      </c>
      <c r="F1395">
        <v>15</v>
      </c>
      <c r="G1395" t="str">
        <f>IFERROR(VLOOKUP(B1395, Churches!H:H, 1, FALSE), "")</f>
        <v/>
      </c>
    </row>
    <row r="1396" spans="1:7" x14ac:dyDescent="0.25">
      <c r="A1396" t="s">
        <v>928</v>
      </c>
      <c r="B1396" t="s">
        <v>1996</v>
      </c>
      <c r="C1396">
        <v>51.559769279999998</v>
      </c>
      <c r="D1396">
        <v>-8.3076799999999996E-3</v>
      </c>
      <c r="F1396">
        <v>5</v>
      </c>
      <c r="G1396" t="str">
        <f>IFERROR(VLOOKUP(B1396, Churches!H:H, 1, FALSE), "")</f>
        <v/>
      </c>
    </row>
    <row r="1397" spans="1:7" x14ac:dyDescent="0.25">
      <c r="A1397" t="s">
        <v>821</v>
      </c>
      <c r="B1397" t="s">
        <v>2977</v>
      </c>
      <c r="C1397">
        <v>51.483795903999997</v>
      </c>
      <c r="D1397">
        <v>0.14827333199999901</v>
      </c>
      <c r="E1397" t="s">
        <v>673</v>
      </c>
      <c r="F1397">
        <v>25</v>
      </c>
      <c r="G1397" t="str">
        <f>IFERROR(VLOOKUP(B1397, Churches!H:H, 1, FALSE), "")</f>
        <v/>
      </c>
    </row>
    <row r="1398" spans="1:7" x14ac:dyDescent="0.25">
      <c r="A1398" t="s">
        <v>713</v>
      </c>
      <c r="B1398" t="s">
        <v>2275</v>
      </c>
      <c r="C1398">
        <v>51.522234546153797</v>
      </c>
      <c r="D1398">
        <v>5.8756384615384599E-2</v>
      </c>
      <c r="E1398" t="s">
        <v>673</v>
      </c>
      <c r="F1398">
        <v>13</v>
      </c>
      <c r="G1398" t="str">
        <f>IFERROR(VLOOKUP(B1398, Churches!H:H, 1, FALSE), "")</f>
        <v/>
      </c>
    </row>
    <row r="1399" spans="1:7" x14ac:dyDescent="0.25">
      <c r="A1399" t="s">
        <v>887</v>
      </c>
      <c r="B1399" t="s">
        <v>2275</v>
      </c>
      <c r="C1399">
        <v>51.524468859999999</v>
      </c>
      <c r="D1399">
        <v>2.7988126666666599E-2</v>
      </c>
      <c r="F1399">
        <v>15</v>
      </c>
      <c r="G1399" t="str">
        <f>IFERROR(VLOOKUP(B1399, Churches!H:H, 1, FALSE), "")</f>
        <v/>
      </c>
    </row>
    <row r="1400" spans="1:7" x14ac:dyDescent="0.25">
      <c r="A1400" t="s">
        <v>1838</v>
      </c>
      <c r="B1400" t="s">
        <v>2275</v>
      </c>
      <c r="C1400">
        <v>51.548451900000003</v>
      </c>
      <c r="D1400">
        <v>5.9519177777777703E-2</v>
      </c>
      <c r="E1400" t="s">
        <v>673</v>
      </c>
      <c r="F1400">
        <v>9</v>
      </c>
      <c r="G1400" t="str">
        <f>IFERROR(VLOOKUP(B1400, Churches!H:H, 1, FALSE), "")</f>
        <v/>
      </c>
    </row>
    <row r="1401" spans="1:7" x14ac:dyDescent="0.25">
      <c r="A1401" t="s">
        <v>1839</v>
      </c>
      <c r="B1401" t="s">
        <v>2978</v>
      </c>
      <c r="C1401">
        <v>51.524004900000001</v>
      </c>
      <c r="D1401">
        <v>-0.10411015999999999</v>
      </c>
      <c r="F1401">
        <v>5</v>
      </c>
      <c r="G1401" t="str">
        <f>IFERROR(VLOOKUP(B1401, Churches!H:H, 1, FALSE), "")</f>
        <v/>
      </c>
    </row>
    <row r="1402" spans="1:7" x14ac:dyDescent="0.25">
      <c r="A1402" t="s">
        <v>1079</v>
      </c>
      <c r="B1402" t="s">
        <v>2979</v>
      </c>
      <c r="C1402">
        <v>51.424740795238101</v>
      </c>
      <c r="D1402">
        <v>-0.16201548571428501</v>
      </c>
      <c r="E1402" t="s">
        <v>673</v>
      </c>
      <c r="F1402">
        <v>21</v>
      </c>
      <c r="G1402" t="str">
        <f>IFERROR(VLOOKUP(B1402, Churches!H:H, 1, FALSE), "")</f>
        <v/>
      </c>
    </row>
    <row r="1403" spans="1:7" x14ac:dyDescent="0.25">
      <c r="A1403" t="s">
        <v>1840</v>
      </c>
      <c r="B1403" t="s">
        <v>2980</v>
      </c>
      <c r="C1403">
        <v>51.397975371428501</v>
      </c>
      <c r="D1403">
        <v>-7.3211200000000004E-2</v>
      </c>
      <c r="F1403">
        <v>7</v>
      </c>
      <c r="G1403" t="str">
        <f>IFERROR(VLOOKUP(B1403, Churches!H:H, 1, FALSE), "")</f>
        <v/>
      </c>
    </row>
    <row r="1404" spans="1:7" x14ac:dyDescent="0.25">
      <c r="A1404" t="s">
        <v>1841</v>
      </c>
      <c r="B1404" t="s">
        <v>2981</v>
      </c>
      <c r="C1404">
        <v>51.454255439999997</v>
      </c>
      <c r="D1404">
        <v>-0.18209948000000001</v>
      </c>
      <c r="F1404">
        <v>5</v>
      </c>
      <c r="G1404" t="str">
        <f>IFERROR(VLOOKUP(B1404, Churches!H:H, 1, FALSE), "")</f>
        <v/>
      </c>
    </row>
    <row r="1405" spans="1:7" x14ac:dyDescent="0.25">
      <c r="A1405" t="s">
        <v>1842</v>
      </c>
      <c r="B1405" t="s">
        <v>2982</v>
      </c>
      <c r="C1405">
        <v>51.522963816666604</v>
      </c>
      <c r="D1405">
        <v>-0.19406385000000001</v>
      </c>
      <c r="F1405">
        <v>12</v>
      </c>
      <c r="G1405" t="str">
        <f>IFERROR(VLOOKUP(B1405, Churches!H:H, 1, FALSE), "")</f>
        <v/>
      </c>
    </row>
    <row r="1406" spans="1:7" x14ac:dyDescent="0.25">
      <c r="A1406" t="s">
        <v>1843</v>
      </c>
      <c r="B1406" t="s">
        <v>2983</v>
      </c>
      <c r="C1406">
        <v>51.473937825</v>
      </c>
      <c r="D1406">
        <v>-0.28902812499999903</v>
      </c>
      <c r="E1406" t="s">
        <v>673</v>
      </c>
      <c r="F1406">
        <v>8</v>
      </c>
      <c r="G1406" t="str">
        <f>IFERROR(VLOOKUP(B1406, Churches!H:H, 1, FALSE), "")</f>
        <v/>
      </c>
    </row>
    <row r="1407" spans="1:7" x14ac:dyDescent="0.25">
      <c r="A1407" t="s">
        <v>1844</v>
      </c>
      <c r="B1407" t="s">
        <v>2984</v>
      </c>
      <c r="C1407">
        <v>51.559882976922999</v>
      </c>
      <c r="D1407">
        <v>-0.103749876923076</v>
      </c>
      <c r="F1407">
        <v>13</v>
      </c>
      <c r="G1407" t="str">
        <f>IFERROR(VLOOKUP(B1407, Churches!H:H, 1, FALSE), "")</f>
        <v/>
      </c>
    </row>
    <row r="1408" spans="1:7" x14ac:dyDescent="0.25">
      <c r="A1408" t="s">
        <v>1845</v>
      </c>
      <c r="B1408" t="s">
        <v>2985</v>
      </c>
      <c r="C1408">
        <v>51.5247695277777</v>
      </c>
      <c r="D1408">
        <v>-0.203425211111111</v>
      </c>
      <c r="E1408" t="s">
        <v>673</v>
      </c>
      <c r="F1408">
        <v>18</v>
      </c>
      <c r="G1408" t="str">
        <f>IFERROR(VLOOKUP(B1408, Churches!H:H, 1, FALSE), "")</f>
        <v/>
      </c>
    </row>
    <row r="1409" spans="1:7" x14ac:dyDescent="0.25">
      <c r="A1409" t="s">
        <v>1846</v>
      </c>
      <c r="B1409" t="s">
        <v>2986</v>
      </c>
      <c r="C1409">
        <v>51.4471229888888</v>
      </c>
      <c r="D1409">
        <v>0.11956433333333299</v>
      </c>
      <c r="F1409">
        <v>9</v>
      </c>
      <c r="G1409" t="str">
        <f>IFERROR(VLOOKUP(B1409, Churches!H:H, 1, FALSE), "")</f>
        <v/>
      </c>
    </row>
    <row r="1410" spans="1:7" x14ac:dyDescent="0.25">
      <c r="A1410" t="s">
        <v>1847</v>
      </c>
      <c r="B1410" t="s">
        <v>2987</v>
      </c>
      <c r="C1410">
        <v>51.443808938095202</v>
      </c>
      <c r="D1410">
        <v>0.11997921428571399</v>
      </c>
      <c r="E1410" t="s">
        <v>673</v>
      </c>
      <c r="F1410">
        <v>21</v>
      </c>
      <c r="G1410" t="str">
        <f>IFERROR(VLOOKUP(B1410, Churches!H:H, 1, FALSE), "")</f>
        <v/>
      </c>
    </row>
    <row r="1411" spans="1:7" x14ac:dyDescent="0.25">
      <c r="A1411" t="s">
        <v>1848</v>
      </c>
      <c r="B1411" t="s">
        <v>2988</v>
      </c>
      <c r="C1411">
        <v>51.442980925000001</v>
      </c>
      <c r="D1411">
        <v>-0.40629751666666603</v>
      </c>
      <c r="F1411">
        <v>12</v>
      </c>
      <c r="G1411" t="str">
        <f>IFERROR(VLOOKUP(B1411, Churches!H:H, 1, FALSE), "")</f>
        <v/>
      </c>
    </row>
    <row r="1412" spans="1:7" x14ac:dyDescent="0.25">
      <c r="A1412" t="s">
        <v>700</v>
      </c>
      <c r="B1412" t="s">
        <v>2989</v>
      </c>
      <c r="C1412">
        <v>51.438687999999999</v>
      </c>
      <c r="D1412">
        <v>-0.420659061538461</v>
      </c>
      <c r="E1412" t="s">
        <v>673</v>
      </c>
      <c r="F1412">
        <v>13</v>
      </c>
      <c r="G1412" t="str">
        <f>IFERROR(VLOOKUP(B1412, Churches!H:H, 1, FALSE), "")</f>
        <v/>
      </c>
    </row>
    <row r="1413" spans="1:7" x14ac:dyDescent="0.25">
      <c r="A1413" t="s">
        <v>1642</v>
      </c>
      <c r="B1413" t="s">
        <v>2990</v>
      </c>
      <c r="C1413">
        <v>51.444749572727197</v>
      </c>
      <c r="D1413">
        <v>-0.19023249090909</v>
      </c>
      <c r="E1413" t="s">
        <v>673</v>
      </c>
      <c r="F1413">
        <v>11</v>
      </c>
      <c r="G1413" t="str">
        <f>IFERROR(VLOOKUP(B1413, Churches!H:H, 1, FALSE), "")</f>
        <v/>
      </c>
    </row>
    <row r="1414" spans="1:7" x14ac:dyDescent="0.25">
      <c r="A1414" t="s">
        <v>1849</v>
      </c>
      <c r="B1414" t="s">
        <v>2991</v>
      </c>
      <c r="C1414">
        <v>51.549109139999999</v>
      </c>
      <c r="D1414">
        <v>4.2234859999999999E-2</v>
      </c>
      <c r="E1414" t="s">
        <v>673</v>
      </c>
      <c r="F1414">
        <v>5</v>
      </c>
      <c r="G1414" t="str">
        <f>IFERROR(VLOOKUP(B1414, Churches!H:H, 1, FALSE), "")</f>
        <v/>
      </c>
    </row>
    <row r="1415" spans="1:7" x14ac:dyDescent="0.25">
      <c r="A1415" t="s">
        <v>961</v>
      </c>
      <c r="B1415" t="s">
        <v>2992</v>
      </c>
      <c r="C1415">
        <v>51.583589690909001</v>
      </c>
      <c r="D1415">
        <v>0.100993945454545</v>
      </c>
      <c r="F1415">
        <v>11</v>
      </c>
      <c r="G1415" t="str">
        <f>IFERROR(VLOOKUP(B1415, Churches!H:H, 1, FALSE), "")</f>
        <v/>
      </c>
    </row>
    <row r="1416" spans="1:7" x14ac:dyDescent="0.25">
      <c r="A1416" t="s">
        <v>713</v>
      </c>
      <c r="B1416" t="s">
        <v>2993</v>
      </c>
      <c r="C1416">
        <v>51.54042226</v>
      </c>
      <c r="D1416">
        <v>0.28755436000000001</v>
      </c>
      <c r="E1416" t="s">
        <v>673</v>
      </c>
      <c r="F1416">
        <v>5</v>
      </c>
      <c r="G1416" t="str">
        <f>IFERROR(VLOOKUP(B1416, Churches!H:H, 1, FALSE), "")</f>
        <v/>
      </c>
    </row>
    <row r="1417" spans="1:7" x14ac:dyDescent="0.25">
      <c r="A1417" t="s">
        <v>1850</v>
      </c>
      <c r="B1417" t="s">
        <v>2994</v>
      </c>
      <c r="C1417">
        <v>51.416623080000001</v>
      </c>
      <c r="D1417">
        <v>-0.20791124</v>
      </c>
      <c r="F1417">
        <v>5</v>
      </c>
      <c r="G1417" t="str">
        <f>IFERROR(VLOOKUP(B1417, Churches!H:H, 1, FALSE), "")</f>
        <v/>
      </c>
    </row>
    <row r="1418" spans="1:7" x14ac:dyDescent="0.25">
      <c r="A1418" t="s">
        <v>1715</v>
      </c>
      <c r="B1418" t="s">
        <v>2275</v>
      </c>
      <c r="C1418">
        <v>51.443349705882298</v>
      </c>
      <c r="D1418">
        <v>9.0282988235294098E-2</v>
      </c>
      <c r="E1418" t="s">
        <v>673</v>
      </c>
      <c r="F1418">
        <v>17</v>
      </c>
      <c r="G1418" t="str">
        <f>IFERROR(VLOOKUP(B1418, Churches!H:H, 1, FALSE), "")</f>
        <v/>
      </c>
    </row>
    <row r="1419" spans="1:7" x14ac:dyDescent="0.25">
      <c r="A1419" t="s">
        <v>1851</v>
      </c>
      <c r="B1419" t="s">
        <v>2275</v>
      </c>
      <c r="C1419">
        <v>51.445511618181797</v>
      </c>
      <c r="D1419">
        <v>8.4571236363636296E-2</v>
      </c>
      <c r="F1419">
        <v>11</v>
      </c>
      <c r="G1419" t="str">
        <f>IFERROR(VLOOKUP(B1419, Churches!H:H, 1, FALSE), "")</f>
        <v/>
      </c>
    </row>
    <row r="1420" spans="1:7" x14ac:dyDescent="0.25">
      <c r="A1420" t="s">
        <v>1852</v>
      </c>
      <c r="B1420" t="s">
        <v>2275</v>
      </c>
      <c r="C1420">
        <v>51.543728642857097</v>
      </c>
      <c r="D1420">
        <v>5.5464814285714203E-2</v>
      </c>
      <c r="E1420" t="s">
        <v>673</v>
      </c>
      <c r="F1420">
        <v>7</v>
      </c>
      <c r="G1420" t="str">
        <f>IFERROR(VLOOKUP(B1420, Churches!H:H, 1, FALSE), "")</f>
        <v/>
      </c>
    </row>
    <row r="1421" spans="1:7" x14ac:dyDescent="0.25">
      <c r="A1421" t="s">
        <v>1782</v>
      </c>
      <c r="B1421" t="s">
        <v>2995</v>
      </c>
      <c r="C1421">
        <v>51.561923399999998</v>
      </c>
      <c r="D1421">
        <v>-0.29154775999999999</v>
      </c>
      <c r="E1421" t="s">
        <v>673</v>
      </c>
      <c r="F1421">
        <v>5</v>
      </c>
      <c r="G1421" t="str">
        <f>IFERROR(VLOOKUP(B1421, Churches!H:H, 1, FALSE), "")</f>
        <v/>
      </c>
    </row>
    <row r="1422" spans="1:7" x14ac:dyDescent="0.25">
      <c r="A1422" t="s">
        <v>1853</v>
      </c>
      <c r="B1422" t="s">
        <v>2275</v>
      </c>
      <c r="C1422">
        <v>51.578920981818101</v>
      </c>
      <c r="D1422">
        <v>6.3962090909090899E-2</v>
      </c>
      <c r="E1422" t="s">
        <v>673</v>
      </c>
      <c r="F1422">
        <v>11</v>
      </c>
      <c r="G1422" t="str">
        <f>IFERROR(VLOOKUP(B1422, Churches!H:H, 1, FALSE), "")</f>
        <v/>
      </c>
    </row>
    <row r="1423" spans="1:7" x14ac:dyDescent="0.25">
      <c r="A1423" t="s">
        <v>1854</v>
      </c>
      <c r="B1423" t="s">
        <v>2275</v>
      </c>
      <c r="C1423">
        <v>51.579249140000002</v>
      </c>
      <c r="D1423">
        <v>8.2037859999999893E-2</v>
      </c>
      <c r="E1423" t="s">
        <v>673</v>
      </c>
      <c r="F1423">
        <v>5</v>
      </c>
      <c r="G1423" t="str">
        <f>IFERROR(VLOOKUP(B1423, Churches!H:H, 1, FALSE), "")</f>
        <v/>
      </c>
    </row>
    <row r="1424" spans="1:7" x14ac:dyDescent="0.25">
      <c r="A1424" t="s">
        <v>676</v>
      </c>
      <c r="B1424" t="s">
        <v>2996</v>
      </c>
      <c r="C1424">
        <v>51.589481820000003</v>
      </c>
      <c r="D1424">
        <v>7.6705319999999994E-2</v>
      </c>
      <c r="E1424" t="s">
        <v>673</v>
      </c>
      <c r="F1424">
        <v>5</v>
      </c>
      <c r="G1424" t="str">
        <f>IFERROR(VLOOKUP(B1424, Churches!H:H, 1, FALSE), "")</f>
        <v/>
      </c>
    </row>
    <row r="1425" spans="1:7" x14ac:dyDescent="0.25">
      <c r="A1425" t="s">
        <v>776</v>
      </c>
      <c r="B1425" t="s">
        <v>2997</v>
      </c>
      <c r="C1425">
        <v>51.602465580000001</v>
      </c>
      <c r="D1425">
        <v>0.17380493999999999</v>
      </c>
      <c r="E1425" t="s">
        <v>673</v>
      </c>
      <c r="F1425">
        <v>5</v>
      </c>
      <c r="G1425" t="str">
        <f>IFERROR(VLOOKUP(B1425, Churches!H:H, 1, FALSE), "")</f>
        <v/>
      </c>
    </row>
    <row r="1426" spans="1:7" x14ac:dyDescent="0.25">
      <c r="A1426" t="s">
        <v>1855</v>
      </c>
      <c r="B1426" t="s">
        <v>2998</v>
      </c>
      <c r="C1426">
        <v>51.53337578</v>
      </c>
      <c r="D1426">
        <v>4.4616459999999997E-2</v>
      </c>
      <c r="E1426" t="s">
        <v>673</v>
      </c>
      <c r="F1426">
        <v>5</v>
      </c>
      <c r="G1426" t="str">
        <f>IFERROR(VLOOKUP(B1426, Churches!H:H, 1, FALSE), "")</f>
        <v/>
      </c>
    </row>
    <row r="1427" spans="1:7" x14ac:dyDescent="0.25">
      <c r="A1427" t="s">
        <v>1453</v>
      </c>
      <c r="B1427" t="s">
        <v>2999</v>
      </c>
      <c r="C1427">
        <v>51.552895539999902</v>
      </c>
      <c r="D1427">
        <v>3.2893360000000003E-2</v>
      </c>
      <c r="E1427" t="s">
        <v>673</v>
      </c>
      <c r="F1427">
        <v>5</v>
      </c>
      <c r="G1427" t="str">
        <f>IFERROR(VLOOKUP(B1427, Churches!H:H, 1, FALSE), "")</f>
        <v/>
      </c>
    </row>
    <row r="1428" spans="1:7" x14ac:dyDescent="0.25">
      <c r="A1428" t="s">
        <v>821</v>
      </c>
      <c r="B1428" t="s">
        <v>3000</v>
      </c>
      <c r="C1428">
        <v>51.560597459999997</v>
      </c>
      <c r="D1428">
        <v>0.109923719999999</v>
      </c>
      <c r="E1428" t="s">
        <v>673</v>
      </c>
      <c r="F1428">
        <v>5</v>
      </c>
      <c r="G1428" t="str">
        <f>IFERROR(VLOOKUP(B1428, Churches!H:H, 1, FALSE), "")</f>
        <v/>
      </c>
    </row>
    <row r="1429" spans="1:7" x14ac:dyDescent="0.25">
      <c r="A1429" t="s">
        <v>788</v>
      </c>
      <c r="B1429" t="s">
        <v>3001</v>
      </c>
      <c r="C1429">
        <v>51.568379719999903</v>
      </c>
      <c r="D1429">
        <v>0.11079352000000001</v>
      </c>
      <c r="E1429" t="s">
        <v>673</v>
      </c>
      <c r="F1429">
        <v>5</v>
      </c>
      <c r="G1429" t="str">
        <f>IFERROR(VLOOKUP(B1429, Churches!H:H, 1, FALSE), "")</f>
        <v/>
      </c>
    </row>
    <row r="1430" spans="1:7" x14ac:dyDescent="0.25">
      <c r="A1430" t="s">
        <v>887</v>
      </c>
      <c r="B1430" t="s">
        <v>2275</v>
      </c>
      <c r="C1430">
        <v>51.570063488888799</v>
      </c>
      <c r="D1430">
        <v>5.7743977777777698E-2</v>
      </c>
      <c r="E1430" t="s">
        <v>673</v>
      </c>
      <c r="F1430">
        <v>9</v>
      </c>
      <c r="G1430" t="str">
        <f>IFERROR(VLOOKUP(B1430, Churches!H:H, 1, FALSE), "")</f>
        <v/>
      </c>
    </row>
    <row r="1431" spans="1:7" x14ac:dyDescent="0.25">
      <c r="A1431" t="s">
        <v>1853</v>
      </c>
      <c r="B1431" t="s">
        <v>3002</v>
      </c>
      <c r="C1431">
        <v>51.605631359999997</v>
      </c>
      <c r="D1431">
        <v>0.219588279999999</v>
      </c>
      <c r="E1431" t="s">
        <v>673</v>
      </c>
      <c r="F1431">
        <v>5</v>
      </c>
      <c r="G1431" t="str">
        <f>IFERROR(VLOOKUP(B1431, Churches!H:H, 1, FALSE), "")</f>
        <v/>
      </c>
    </row>
    <row r="1432" spans="1:7" x14ac:dyDescent="0.25">
      <c r="A1432" t="s">
        <v>1706</v>
      </c>
      <c r="B1432" t="s">
        <v>2275</v>
      </c>
      <c r="C1432">
        <v>51.55396382</v>
      </c>
      <c r="D1432">
        <v>5.5961859999999898E-2</v>
      </c>
      <c r="E1432" t="s">
        <v>673</v>
      </c>
      <c r="F1432">
        <v>5</v>
      </c>
      <c r="G1432" t="str">
        <f>IFERROR(VLOOKUP(B1432, Churches!H:H, 1, FALSE), "")</f>
        <v/>
      </c>
    </row>
    <row r="1433" spans="1:7" x14ac:dyDescent="0.25">
      <c r="A1433" t="s">
        <v>842</v>
      </c>
      <c r="B1433" t="s">
        <v>2275</v>
      </c>
      <c r="C1433">
        <v>51.553296760000002</v>
      </c>
      <c r="D1433">
        <v>5.5580019999999897E-2</v>
      </c>
      <c r="F1433">
        <v>5</v>
      </c>
      <c r="G1433" t="str">
        <f>IFERROR(VLOOKUP(B1433, Churches!H:H, 1, FALSE), "")</f>
        <v/>
      </c>
    </row>
    <row r="1434" spans="1:7" x14ac:dyDescent="0.25">
      <c r="A1434" t="s">
        <v>1376</v>
      </c>
      <c r="B1434" t="s">
        <v>3003</v>
      </c>
      <c r="C1434">
        <v>51.5294247</v>
      </c>
      <c r="D1434">
        <v>3.7282839999999998E-2</v>
      </c>
      <c r="E1434" t="s">
        <v>673</v>
      </c>
      <c r="F1434">
        <v>5</v>
      </c>
      <c r="G1434" t="str">
        <f>IFERROR(VLOOKUP(B1434, Churches!H:H, 1, FALSE), "")</f>
        <v/>
      </c>
    </row>
    <row r="1435" spans="1:7" x14ac:dyDescent="0.25">
      <c r="A1435" t="s">
        <v>1548</v>
      </c>
      <c r="B1435" t="s">
        <v>3004</v>
      </c>
      <c r="C1435">
        <v>51.53167826</v>
      </c>
      <c r="D1435">
        <v>2.4669239999999999E-2</v>
      </c>
      <c r="E1435" t="s">
        <v>673</v>
      </c>
      <c r="F1435">
        <v>5</v>
      </c>
      <c r="G1435" t="str">
        <f>IFERROR(VLOOKUP(B1435, Churches!H:H, 1, FALSE), "")</f>
        <v/>
      </c>
    </row>
    <row r="1436" spans="1:7" x14ac:dyDescent="0.25">
      <c r="A1436" t="s">
        <v>748</v>
      </c>
      <c r="B1436" t="s">
        <v>3005</v>
      </c>
      <c r="C1436">
        <v>51.52298296</v>
      </c>
      <c r="D1436">
        <v>1.1660719999999999E-2</v>
      </c>
      <c r="E1436" t="s">
        <v>673</v>
      </c>
      <c r="F1436">
        <v>5</v>
      </c>
      <c r="G1436" t="str">
        <f>IFERROR(VLOOKUP(B1436, Churches!H:H, 1, FALSE), "")</f>
        <v/>
      </c>
    </row>
    <row r="1437" spans="1:7" x14ac:dyDescent="0.25">
      <c r="A1437" t="s">
        <v>1856</v>
      </c>
      <c r="B1437" t="s">
        <v>2275</v>
      </c>
      <c r="C1437">
        <v>51.452585021428497</v>
      </c>
      <c r="D1437">
        <v>-3.9524135714285702E-2</v>
      </c>
      <c r="E1437" t="s">
        <v>673</v>
      </c>
      <c r="F1437">
        <v>14</v>
      </c>
      <c r="G1437" t="str">
        <f>IFERROR(VLOOKUP(B1437, Churches!H:H, 1, FALSE), "")</f>
        <v/>
      </c>
    </row>
    <row r="1438" spans="1:7" x14ac:dyDescent="0.25">
      <c r="A1438" t="s">
        <v>1857</v>
      </c>
      <c r="B1438" t="s">
        <v>3006</v>
      </c>
      <c r="C1438">
        <v>51.5239011888888</v>
      </c>
      <c r="D1438">
        <v>2.1190000000000001E-2</v>
      </c>
      <c r="E1438" t="s">
        <v>673</v>
      </c>
      <c r="F1438">
        <v>9</v>
      </c>
      <c r="G1438" t="str">
        <f>IFERROR(VLOOKUP(B1438, Churches!H:H, 1, FALSE), "")</f>
        <v/>
      </c>
    </row>
    <row r="1439" spans="1:7" x14ac:dyDescent="0.25">
      <c r="A1439" t="s">
        <v>1858</v>
      </c>
      <c r="B1439" t="s">
        <v>3007</v>
      </c>
      <c r="C1439">
        <v>51.555980236363602</v>
      </c>
      <c r="D1439">
        <v>0.22916594545454499</v>
      </c>
      <c r="F1439">
        <v>11</v>
      </c>
      <c r="G1439" t="str">
        <f>IFERROR(VLOOKUP(B1439, Churches!H:H, 1, FALSE), "")</f>
        <v/>
      </c>
    </row>
    <row r="1440" spans="1:7" x14ac:dyDescent="0.25">
      <c r="A1440" t="s">
        <v>1859</v>
      </c>
      <c r="B1440" t="s">
        <v>3008</v>
      </c>
      <c r="C1440">
        <v>51.524369469230699</v>
      </c>
      <c r="D1440">
        <v>-0.22329869999999999</v>
      </c>
      <c r="E1440" t="s">
        <v>673</v>
      </c>
      <c r="F1440">
        <v>13</v>
      </c>
      <c r="G1440" t="str">
        <f>IFERROR(VLOOKUP(B1440, Churches!H:H, 1, FALSE), "")</f>
        <v/>
      </c>
    </row>
    <row r="1441" spans="1:7" x14ac:dyDescent="0.25">
      <c r="A1441" t="s">
        <v>1860</v>
      </c>
      <c r="B1441" t="s">
        <v>3009</v>
      </c>
      <c r="C1441">
        <v>51.601020605263102</v>
      </c>
      <c r="D1441">
        <v>-0.40226645263157801</v>
      </c>
      <c r="F1441">
        <v>19</v>
      </c>
      <c r="G1441" t="str">
        <f>IFERROR(VLOOKUP(B1441, Churches!H:H, 1, FALSE), "")</f>
        <v/>
      </c>
    </row>
    <row r="1442" spans="1:7" x14ac:dyDescent="0.25">
      <c r="A1442" t="s">
        <v>1861</v>
      </c>
      <c r="B1442" t="s">
        <v>3010</v>
      </c>
      <c r="C1442">
        <v>51.508970779166603</v>
      </c>
      <c r="D1442">
        <v>-0.21193018333333299</v>
      </c>
      <c r="F1442">
        <v>24</v>
      </c>
      <c r="G1442" t="str">
        <f>IFERROR(VLOOKUP(B1442, Churches!H:H, 1, FALSE), "")</f>
        <v/>
      </c>
    </row>
    <row r="1443" spans="1:7" x14ac:dyDescent="0.25">
      <c r="A1443" t="s">
        <v>704</v>
      </c>
      <c r="B1443" t="s">
        <v>2275</v>
      </c>
      <c r="C1443">
        <v>51.416105358823501</v>
      </c>
      <c r="D1443">
        <v>-3.1315335294117598E-2</v>
      </c>
      <c r="F1443">
        <v>17</v>
      </c>
      <c r="G1443" t="str">
        <f>IFERROR(VLOOKUP(B1443, Churches!H:H, 1, FALSE), "")</f>
        <v/>
      </c>
    </row>
    <row r="1444" spans="1:7" x14ac:dyDescent="0.25">
      <c r="A1444" t="s">
        <v>1862</v>
      </c>
      <c r="B1444" t="s">
        <v>2275</v>
      </c>
      <c r="C1444">
        <v>51.539893342857098</v>
      </c>
      <c r="D1444">
        <v>3.5695871428571398E-2</v>
      </c>
      <c r="F1444">
        <v>7</v>
      </c>
      <c r="G1444" t="str">
        <f>IFERROR(VLOOKUP(B1444, Churches!H:H, 1, FALSE), "")</f>
        <v/>
      </c>
    </row>
    <row r="1445" spans="1:7" x14ac:dyDescent="0.25">
      <c r="A1445" t="s">
        <v>1224</v>
      </c>
      <c r="B1445" t="s">
        <v>3011</v>
      </c>
      <c r="C1445">
        <v>51.5210218636363</v>
      </c>
      <c r="D1445">
        <v>-0.122394227272727</v>
      </c>
      <c r="E1445" t="s">
        <v>673</v>
      </c>
      <c r="F1445">
        <v>11</v>
      </c>
      <c r="G1445" t="str">
        <f>IFERROR(VLOOKUP(B1445, Churches!H:H, 1, FALSE), "")</f>
        <v/>
      </c>
    </row>
    <row r="1446" spans="1:7" x14ac:dyDescent="0.25">
      <c r="A1446" t="s">
        <v>1863</v>
      </c>
      <c r="B1446" t="s">
        <v>2449</v>
      </c>
      <c r="C1446">
        <v>51.550003660000002</v>
      </c>
      <c r="D1446">
        <v>-0.297557039999999</v>
      </c>
      <c r="F1446">
        <v>5</v>
      </c>
      <c r="G1446" t="str">
        <f>IFERROR(VLOOKUP(B1446, Churches!H:H, 1, FALSE), "")</f>
        <v/>
      </c>
    </row>
    <row r="1447" spans="1:7" x14ac:dyDescent="0.25">
      <c r="A1447" t="s">
        <v>750</v>
      </c>
      <c r="B1447" t="s">
        <v>3012</v>
      </c>
      <c r="C1447">
        <v>51.4602814230769</v>
      </c>
      <c r="D1447">
        <v>-0.27494921538461498</v>
      </c>
      <c r="E1447" t="s">
        <v>673</v>
      </c>
      <c r="F1447">
        <v>13</v>
      </c>
      <c r="G1447" t="str">
        <f>IFERROR(VLOOKUP(B1447, Churches!H:H, 1, FALSE), "")</f>
        <v/>
      </c>
    </row>
    <row r="1448" spans="1:7" x14ac:dyDescent="0.25">
      <c r="A1448" t="s">
        <v>750</v>
      </c>
      <c r="B1448" t="s">
        <v>3013</v>
      </c>
      <c r="C1448">
        <v>51.364284144444397</v>
      </c>
      <c r="D1448">
        <v>0.107152988888888</v>
      </c>
      <c r="E1448" t="s">
        <v>673</v>
      </c>
      <c r="F1448">
        <v>9</v>
      </c>
      <c r="G1448" t="str">
        <f>IFERROR(VLOOKUP(B1448, Churches!H:H, 1, FALSE), "")</f>
        <v/>
      </c>
    </row>
    <row r="1449" spans="1:7" x14ac:dyDescent="0.25">
      <c r="A1449" t="s">
        <v>1864</v>
      </c>
      <c r="B1449" t="s">
        <v>3014</v>
      </c>
      <c r="C1449">
        <v>51.374690871428498</v>
      </c>
      <c r="D1449">
        <v>0.118001214285714</v>
      </c>
      <c r="E1449" t="s">
        <v>673</v>
      </c>
      <c r="F1449">
        <v>7</v>
      </c>
      <c r="G1449" t="str">
        <f>IFERROR(VLOOKUP(B1449, Churches!H:H, 1, FALSE), "")</f>
        <v/>
      </c>
    </row>
    <row r="1450" spans="1:7" x14ac:dyDescent="0.25">
      <c r="A1450" t="s">
        <v>1296</v>
      </c>
      <c r="B1450" t="s">
        <v>2275</v>
      </c>
      <c r="C1450">
        <v>51.404603977777697</v>
      </c>
      <c r="D1450">
        <v>-1.48392555555555E-2</v>
      </c>
      <c r="E1450" t="s">
        <v>673</v>
      </c>
      <c r="F1450">
        <v>9</v>
      </c>
      <c r="G1450" t="str">
        <f>IFERROR(VLOOKUP(B1450, Churches!H:H, 1, FALSE), "")</f>
        <v/>
      </c>
    </row>
    <row r="1451" spans="1:7" x14ac:dyDescent="0.25">
      <c r="A1451" t="s">
        <v>1865</v>
      </c>
      <c r="B1451" t="s">
        <v>3015</v>
      </c>
      <c r="C1451">
        <v>51.401260099999902</v>
      </c>
      <c r="D1451">
        <v>5.5889999999999998E-4</v>
      </c>
      <c r="E1451" t="s">
        <v>673</v>
      </c>
      <c r="F1451">
        <v>11</v>
      </c>
      <c r="G1451" t="str">
        <f>IFERROR(VLOOKUP(B1451, Churches!H:H, 1, FALSE), "")</f>
        <v/>
      </c>
    </row>
    <row r="1452" spans="1:7" x14ac:dyDescent="0.25">
      <c r="A1452" t="s">
        <v>1866</v>
      </c>
      <c r="B1452" t="s">
        <v>2275</v>
      </c>
      <c r="C1452">
        <v>51.409706888888799</v>
      </c>
      <c r="D1452">
        <v>7.6097444444444403E-3</v>
      </c>
      <c r="E1452" t="s">
        <v>673</v>
      </c>
      <c r="F1452">
        <v>9</v>
      </c>
      <c r="G1452" t="str">
        <f>IFERROR(VLOOKUP(B1452, Churches!H:H, 1, FALSE), "")</f>
        <v/>
      </c>
    </row>
    <row r="1453" spans="1:7" x14ac:dyDescent="0.25">
      <c r="A1453" t="s">
        <v>676</v>
      </c>
      <c r="B1453" t="s">
        <v>2275</v>
      </c>
      <c r="C1453">
        <v>51.379505253846098</v>
      </c>
      <c r="D1453">
        <v>4.28940384615384E-2</v>
      </c>
      <c r="E1453" t="s">
        <v>673</v>
      </c>
      <c r="F1453">
        <v>13</v>
      </c>
      <c r="G1453" t="str">
        <f>IFERROR(VLOOKUP(B1453, Churches!H:H, 1, FALSE), "")</f>
        <v/>
      </c>
    </row>
    <row r="1454" spans="1:7" x14ac:dyDescent="0.25">
      <c r="A1454" t="s">
        <v>750</v>
      </c>
      <c r="B1454" t="s">
        <v>3016</v>
      </c>
      <c r="C1454">
        <v>51.410518723076898</v>
      </c>
      <c r="D1454">
        <v>5.5567323076922998E-2</v>
      </c>
      <c r="E1454" t="s">
        <v>673</v>
      </c>
      <c r="F1454">
        <v>13</v>
      </c>
      <c r="G1454" t="str">
        <f>IFERROR(VLOOKUP(B1454, Churches!H:H, 1, FALSE), "")</f>
        <v/>
      </c>
    </row>
    <row r="1455" spans="1:7" x14ac:dyDescent="0.25">
      <c r="A1455" t="s">
        <v>788</v>
      </c>
      <c r="B1455" t="s">
        <v>2275</v>
      </c>
      <c r="C1455">
        <v>51.3731613307692</v>
      </c>
      <c r="D1455">
        <v>7.0429338461538399E-2</v>
      </c>
      <c r="E1455" t="s">
        <v>673</v>
      </c>
      <c r="F1455">
        <v>13</v>
      </c>
      <c r="G1455" t="str">
        <f>IFERROR(VLOOKUP(B1455, Churches!H:H, 1, FALSE), "")</f>
        <v/>
      </c>
    </row>
    <row r="1456" spans="1:7" x14ac:dyDescent="0.25">
      <c r="A1456" t="s">
        <v>1571</v>
      </c>
      <c r="B1456" t="s">
        <v>2275</v>
      </c>
      <c r="C1456">
        <v>51.364511928571403</v>
      </c>
      <c r="D1456">
        <v>8.3937766666666594E-2</v>
      </c>
      <c r="E1456" t="s">
        <v>673</v>
      </c>
      <c r="F1456">
        <v>21</v>
      </c>
      <c r="G1456" t="str">
        <f>IFERROR(VLOOKUP(B1456, Churches!H:H, 1, FALSE), "")</f>
        <v/>
      </c>
    </row>
    <row r="1457" spans="1:7" x14ac:dyDescent="0.25">
      <c r="A1457" t="s">
        <v>1296</v>
      </c>
      <c r="B1457" t="s">
        <v>3017</v>
      </c>
      <c r="C1457">
        <v>51.402263296551702</v>
      </c>
      <c r="D1457">
        <v>0.104436875862068</v>
      </c>
      <c r="E1457" t="s">
        <v>673</v>
      </c>
      <c r="F1457">
        <v>29</v>
      </c>
      <c r="G1457" t="str">
        <f>IFERROR(VLOOKUP(B1457, Churches!H:H, 1, FALSE), "")</f>
        <v/>
      </c>
    </row>
    <row r="1458" spans="1:7" x14ac:dyDescent="0.25">
      <c r="A1458" t="s">
        <v>1867</v>
      </c>
      <c r="B1458" t="s">
        <v>3018</v>
      </c>
      <c r="C1458">
        <v>51.468579740000003</v>
      </c>
      <c r="D1458">
        <v>-0.25427501999999902</v>
      </c>
      <c r="F1458">
        <v>5</v>
      </c>
      <c r="G1458" t="str">
        <f>IFERROR(VLOOKUP(B1458, Churches!H:H, 1, FALSE), "")</f>
        <v/>
      </c>
    </row>
    <row r="1459" spans="1:7" x14ac:dyDescent="0.25">
      <c r="A1459" t="s">
        <v>1868</v>
      </c>
      <c r="B1459" t="s">
        <v>3019</v>
      </c>
      <c r="C1459">
        <v>51.63739005</v>
      </c>
      <c r="D1459">
        <v>-0.13198370000000001</v>
      </c>
      <c r="F1459">
        <v>12</v>
      </c>
      <c r="G1459" t="str">
        <f>IFERROR(VLOOKUP(B1459, Churches!H:H, 1, FALSE), "")</f>
        <v/>
      </c>
    </row>
    <row r="1460" spans="1:7" x14ac:dyDescent="0.25">
      <c r="A1460" t="s">
        <v>1869</v>
      </c>
      <c r="B1460" t="s">
        <v>3020</v>
      </c>
      <c r="C1460">
        <v>51.4706192681818</v>
      </c>
      <c r="D1460">
        <v>-0.25270768181818098</v>
      </c>
      <c r="F1460">
        <v>22</v>
      </c>
      <c r="G1460" t="str">
        <f>IFERROR(VLOOKUP(B1460, Churches!H:H, 1, FALSE), "")</f>
        <v/>
      </c>
    </row>
    <row r="1461" spans="1:7" x14ac:dyDescent="0.25">
      <c r="A1461" t="s">
        <v>769</v>
      </c>
      <c r="B1461" t="s">
        <v>1967</v>
      </c>
      <c r="C1461">
        <v>51.438472495999903</v>
      </c>
      <c r="D1461">
        <v>-0.119675064</v>
      </c>
      <c r="F1461">
        <v>25</v>
      </c>
      <c r="G1461" t="str">
        <f>IFERROR(VLOOKUP(B1461, Churches!H:H, 1, FALSE), "")</f>
        <v/>
      </c>
    </row>
    <row r="1462" spans="1:7" x14ac:dyDescent="0.25">
      <c r="A1462" t="s">
        <v>1870</v>
      </c>
      <c r="B1462" t="s">
        <v>3021</v>
      </c>
      <c r="C1462">
        <v>51.463992638461498</v>
      </c>
      <c r="D1462">
        <v>-0.36710923076923002</v>
      </c>
      <c r="F1462">
        <v>13</v>
      </c>
      <c r="G1462" t="str">
        <f>IFERROR(VLOOKUP(B1462, Churches!H:H, 1, FALSE), "")</f>
        <v/>
      </c>
    </row>
  </sheetData>
  <autoFilter ref="A1:G146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C81"/>
  <sheetViews>
    <sheetView workbookViewId="0">
      <selection activeCell="K13" sqref="K13"/>
    </sheetView>
  </sheetViews>
  <sheetFormatPr defaultRowHeight="15" x14ac:dyDescent="0.25"/>
  <cols>
    <col min="1" max="1" width="48.5703125" bestFit="1" customWidth="1"/>
    <col min="2" max="2" width="12" bestFit="1" customWidth="1"/>
    <col min="3" max="3" width="12.7109375" bestFit="1" customWidth="1"/>
    <col min="4" max="4" width="24.7109375" bestFit="1" customWidth="1"/>
  </cols>
  <sheetData>
    <row r="1" spans="1:3" x14ac:dyDescent="0.25">
      <c r="A1" t="s">
        <v>309</v>
      </c>
      <c r="B1">
        <v>51.531650447105797</v>
      </c>
      <c r="C1">
        <v>-7.3325101442545101E-2</v>
      </c>
    </row>
    <row r="2" spans="1:3" x14ac:dyDescent="0.25">
      <c r="A2" t="s">
        <v>303</v>
      </c>
      <c r="B2">
        <v>51.5344451892447</v>
      </c>
      <c r="C2">
        <v>-8.1066230198176797E-2</v>
      </c>
    </row>
    <row r="3" spans="1:3" x14ac:dyDescent="0.25">
      <c r="A3" t="s">
        <v>330</v>
      </c>
      <c r="B3">
        <v>51.537165447157498</v>
      </c>
      <c r="C3">
        <v>-9.5713957781238201E-2</v>
      </c>
    </row>
    <row r="4" spans="1:3" x14ac:dyDescent="0.25">
      <c r="A4" t="s">
        <v>346</v>
      </c>
      <c r="B4">
        <v>51.540949565646301</v>
      </c>
      <c r="C4">
        <v>-9.7240249247532107E-2</v>
      </c>
    </row>
    <row r="5" spans="1:3" x14ac:dyDescent="0.25">
      <c r="A5" t="s">
        <v>47</v>
      </c>
      <c r="B5">
        <v>51.535916660772003</v>
      </c>
      <c r="C5">
        <v>-0.110737476021272</v>
      </c>
    </row>
    <row r="6" spans="1:3" x14ac:dyDescent="0.25">
      <c r="A6" t="s">
        <v>438</v>
      </c>
      <c r="B6">
        <v>51.535314899906403</v>
      </c>
      <c r="C6">
        <v>-0.116563743568527</v>
      </c>
    </row>
    <row r="7" spans="1:3" x14ac:dyDescent="0.25">
      <c r="A7" t="s">
        <v>437</v>
      </c>
      <c r="B7">
        <v>51.541076389573497</v>
      </c>
      <c r="C7">
        <v>-0.115256759678392</v>
      </c>
    </row>
    <row r="8" spans="1:3" x14ac:dyDescent="0.25">
      <c r="A8" t="s">
        <v>344</v>
      </c>
      <c r="B8">
        <v>51.533426749770904</v>
      </c>
      <c r="C8">
        <v>-0.11202074867818899</v>
      </c>
    </row>
    <row r="9" spans="1:3" x14ac:dyDescent="0.25">
      <c r="A9" t="s">
        <v>351</v>
      </c>
      <c r="B9">
        <v>51.525505465136398</v>
      </c>
      <c r="C9">
        <v>-0.109171692733864</v>
      </c>
    </row>
    <row r="10" spans="1:3" x14ac:dyDescent="0.25">
      <c r="A10" t="s">
        <v>658</v>
      </c>
      <c r="B10">
        <v>51.523560341322202</v>
      </c>
      <c r="C10">
        <v>-0.10558786565784101</v>
      </c>
    </row>
    <row r="11" spans="1:3" x14ac:dyDescent="0.25">
      <c r="A11" t="s">
        <v>355</v>
      </c>
      <c r="B11">
        <v>51.527822</v>
      </c>
      <c r="C11">
        <v>-9.7649624000000004E-2</v>
      </c>
    </row>
    <row r="12" spans="1:3" x14ac:dyDescent="0.25">
      <c r="A12" t="s">
        <v>3034</v>
      </c>
      <c r="B12">
        <v>51.5300671090815</v>
      </c>
      <c r="C12">
        <v>-0.108815501266303</v>
      </c>
    </row>
    <row r="13" spans="1:3" x14ac:dyDescent="0.25">
      <c r="A13" t="s">
        <v>327</v>
      </c>
      <c r="B13">
        <v>51.552225</v>
      </c>
      <c r="C13">
        <v>-9.8607849999999997E-2</v>
      </c>
    </row>
    <row r="14" spans="1:3" x14ac:dyDescent="0.25">
      <c r="A14" t="s">
        <v>3035</v>
      </c>
      <c r="B14">
        <v>51.548383953262302</v>
      </c>
      <c r="C14">
        <v>-0.10789382750259401</v>
      </c>
    </row>
    <row r="15" spans="1:3" x14ac:dyDescent="0.25">
      <c r="A15" t="s">
        <v>334</v>
      </c>
      <c r="B15">
        <v>51.552510339039401</v>
      </c>
      <c r="C15">
        <v>-0.121301754601159</v>
      </c>
    </row>
    <row r="16" spans="1:3" x14ac:dyDescent="0.25">
      <c r="A16" t="s">
        <v>3033</v>
      </c>
      <c r="B16">
        <v>51.556881473099502</v>
      </c>
      <c r="C16">
        <v>-0.12657019190899399</v>
      </c>
    </row>
    <row r="17" spans="1:3" x14ac:dyDescent="0.25">
      <c r="A17" t="s">
        <v>357</v>
      </c>
      <c r="B17">
        <v>51.559040199711703</v>
      </c>
      <c r="C17">
        <v>-0.11422380442386</v>
      </c>
    </row>
    <row r="18" spans="1:3" x14ac:dyDescent="0.25">
      <c r="A18" t="s">
        <v>3030</v>
      </c>
      <c r="B18">
        <v>51.565132571407098</v>
      </c>
      <c r="C18">
        <v>-0.115750461615544</v>
      </c>
    </row>
    <row r="19" spans="1:3" x14ac:dyDescent="0.25">
      <c r="A19" t="s">
        <v>650</v>
      </c>
      <c r="B19">
        <v>51.569727238478002</v>
      </c>
      <c r="C19">
        <v>-0.117351071069542</v>
      </c>
    </row>
    <row r="20" spans="1:3" x14ac:dyDescent="0.25">
      <c r="A20" t="s">
        <v>338</v>
      </c>
      <c r="B20">
        <v>51.571299616046403</v>
      </c>
      <c r="C20">
        <v>-0.122906882918061</v>
      </c>
    </row>
    <row r="21" spans="1:3" x14ac:dyDescent="0.25">
      <c r="A21" t="s">
        <v>320</v>
      </c>
      <c r="B21">
        <v>51.569445416505502</v>
      </c>
      <c r="C21">
        <v>-0.13567321649257699</v>
      </c>
    </row>
    <row r="22" spans="1:3" x14ac:dyDescent="0.25">
      <c r="A22" t="s">
        <v>649</v>
      </c>
      <c r="B22">
        <v>51.557048000000002</v>
      </c>
      <c r="C22">
        <v>-7.3969093999999999E-2</v>
      </c>
    </row>
    <row r="23" spans="1:3" x14ac:dyDescent="0.25">
      <c r="A23" t="s">
        <v>274</v>
      </c>
      <c r="B23">
        <v>51.544359</v>
      </c>
      <c r="C23">
        <v>-7.2875257999999998E-2</v>
      </c>
    </row>
    <row r="24" spans="1:3" x14ac:dyDescent="0.25">
      <c r="A24" t="s">
        <v>1160</v>
      </c>
      <c r="B24">
        <v>51.540774999999996</v>
      </c>
      <c r="C24">
        <v>-8.0208288000000003E-2</v>
      </c>
    </row>
    <row r="25" spans="1:3" x14ac:dyDescent="0.25">
      <c r="A25" t="s">
        <v>332</v>
      </c>
      <c r="B25">
        <v>51.548848733814602</v>
      </c>
      <c r="C25">
        <v>-8.0037133887809198E-2</v>
      </c>
    </row>
    <row r="26" spans="1:3" x14ac:dyDescent="0.25">
      <c r="A26" t="s">
        <v>299</v>
      </c>
      <c r="B26">
        <v>51.565557063236199</v>
      </c>
      <c r="C26">
        <v>-0.100552489253722</v>
      </c>
    </row>
    <row r="27" spans="1:3" x14ac:dyDescent="0.25">
      <c r="A27" t="s">
        <v>297</v>
      </c>
      <c r="B27">
        <v>51.571211427888102</v>
      </c>
      <c r="C27">
        <v>-9.3690366985368298E-2</v>
      </c>
    </row>
    <row r="28" spans="1:3" x14ac:dyDescent="0.25">
      <c r="A28" t="s">
        <v>292</v>
      </c>
      <c r="B28">
        <v>51.570622006646602</v>
      </c>
      <c r="C28">
        <v>-8.0251944675386794E-2</v>
      </c>
    </row>
    <row r="29" spans="1:3" x14ac:dyDescent="0.25">
      <c r="A29" t="s">
        <v>311</v>
      </c>
      <c r="B29">
        <v>51.576380189797902</v>
      </c>
      <c r="C29">
        <v>-6.9595203316465903E-2</v>
      </c>
    </row>
    <row r="30" spans="1:3" x14ac:dyDescent="0.25">
      <c r="A30" t="s">
        <v>272</v>
      </c>
      <c r="B30">
        <v>51.569816725565602</v>
      </c>
      <c r="C30">
        <v>-6.42123072093925E-2</v>
      </c>
    </row>
    <row r="31" spans="1:3" x14ac:dyDescent="0.25">
      <c r="A31" t="s">
        <v>290</v>
      </c>
      <c r="B31">
        <v>51.560817679581803</v>
      </c>
      <c r="C31">
        <v>-8.4449350833892795E-2</v>
      </c>
    </row>
    <row r="32" spans="1:3" x14ac:dyDescent="0.25">
      <c r="A32" t="s">
        <v>3032</v>
      </c>
      <c r="B32">
        <v>51.562533444553303</v>
      </c>
      <c r="C32">
        <v>-6.6554918471506394E-2</v>
      </c>
    </row>
    <row r="33" spans="1:3" x14ac:dyDescent="0.25">
      <c r="A33" t="s">
        <v>270</v>
      </c>
      <c r="B33">
        <v>51.565328632011898</v>
      </c>
      <c r="C33">
        <v>-5.4581612348556498E-2</v>
      </c>
    </row>
    <row r="34" spans="1:3" x14ac:dyDescent="0.25">
      <c r="A34" t="s">
        <v>313</v>
      </c>
      <c r="B34">
        <v>51.5573988707743</v>
      </c>
      <c r="C34">
        <v>-5.6414005273790403E-2</v>
      </c>
    </row>
    <row r="35" spans="1:3" x14ac:dyDescent="0.25">
      <c r="A35" t="s">
        <v>277</v>
      </c>
      <c r="B35">
        <v>51.549381897708898</v>
      </c>
      <c r="C35">
        <v>-7.0435003192865706E-2</v>
      </c>
    </row>
    <row r="36" spans="1:3" x14ac:dyDescent="0.25">
      <c r="A36" t="s">
        <v>24</v>
      </c>
      <c r="B36">
        <v>51.5390852435048</v>
      </c>
      <c r="C36">
        <v>-7.3378533124923706E-2</v>
      </c>
    </row>
    <row r="37" spans="1:3" x14ac:dyDescent="0.25">
      <c r="A37" t="s">
        <v>3031</v>
      </c>
      <c r="B37">
        <v>51.540798584623502</v>
      </c>
      <c r="C37">
        <v>-6.3923746347427299E-2</v>
      </c>
    </row>
    <row r="38" spans="1:3" x14ac:dyDescent="0.25">
      <c r="A38" t="s">
        <v>303</v>
      </c>
      <c r="B38">
        <v>51.534456421233799</v>
      </c>
      <c r="C38">
        <v>-8.1066269693823495E-2</v>
      </c>
    </row>
    <row r="39" spans="1:3" x14ac:dyDescent="0.25">
      <c r="A39" t="s">
        <v>307</v>
      </c>
      <c r="B39">
        <v>51.530534000000003</v>
      </c>
      <c r="C39">
        <v>-8.3623584000000001E-2</v>
      </c>
    </row>
    <row r="40" spans="1:3" x14ac:dyDescent="0.25">
      <c r="A40" t="s">
        <v>397</v>
      </c>
      <c r="B40">
        <v>51.519075999999998</v>
      </c>
      <c r="C40">
        <v>-7.3683262999999999E-2</v>
      </c>
    </row>
    <row r="41" spans="1:3" x14ac:dyDescent="0.25">
      <c r="A41" t="s">
        <v>305</v>
      </c>
      <c r="B41">
        <v>51.531064826425002</v>
      </c>
      <c r="C41">
        <v>-9.1753005981445299E-2</v>
      </c>
    </row>
    <row r="42" spans="1:3" x14ac:dyDescent="0.25">
      <c r="A42" t="s">
        <v>301</v>
      </c>
      <c r="B42">
        <v>51.526835578514699</v>
      </c>
      <c r="C42">
        <v>-7.7172517776489202E-2</v>
      </c>
    </row>
    <row r="43" spans="1:3" x14ac:dyDescent="0.25">
      <c r="A43" t="s">
        <v>361</v>
      </c>
      <c r="B43">
        <v>51.525150034037502</v>
      </c>
      <c r="C43">
        <v>-6.7168489755466895E-2</v>
      </c>
    </row>
    <row r="44" spans="1:3" x14ac:dyDescent="0.25">
      <c r="A44" t="s">
        <v>368</v>
      </c>
      <c r="B44">
        <v>51.530219022745698</v>
      </c>
      <c r="C44">
        <v>-6.4495056867599501E-2</v>
      </c>
    </row>
    <row r="45" spans="1:3" x14ac:dyDescent="0.25">
      <c r="A45" t="s">
        <v>44</v>
      </c>
      <c r="B45">
        <v>51.5275758467278</v>
      </c>
      <c r="C45">
        <v>-5.49061596393585E-2</v>
      </c>
    </row>
    <row r="46" spans="1:3" x14ac:dyDescent="0.25">
      <c r="A46" t="s">
        <v>365</v>
      </c>
      <c r="B46">
        <v>51.531837036825003</v>
      </c>
      <c r="C46">
        <v>-4.7868043184280402E-2</v>
      </c>
    </row>
    <row r="47" spans="1:3" x14ac:dyDescent="0.25">
      <c r="A47" t="s">
        <v>363</v>
      </c>
      <c r="B47">
        <v>51.531114268152002</v>
      </c>
      <c r="C47">
        <v>-3.9985030889511101E-2</v>
      </c>
    </row>
    <row r="48" spans="1:3" x14ac:dyDescent="0.25">
      <c r="A48" t="s">
        <v>381</v>
      </c>
      <c r="B48">
        <v>51.533165339799098</v>
      </c>
      <c r="C48">
        <v>-3.2346099615096997E-2</v>
      </c>
    </row>
    <row r="49" spans="1:3" x14ac:dyDescent="0.25">
      <c r="A49" t="s">
        <v>3029</v>
      </c>
      <c r="B49">
        <v>51.528793808418399</v>
      </c>
      <c r="C49">
        <v>-1.6676858990480801E-2</v>
      </c>
    </row>
    <row r="50" spans="1:3" x14ac:dyDescent="0.25">
      <c r="A50" t="s">
        <v>378</v>
      </c>
      <c r="B50">
        <v>51.520519005954199</v>
      </c>
      <c r="C50">
        <v>-2.0099205887675799E-2</v>
      </c>
    </row>
    <row r="51" spans="1:3" x14ac:dyDescent="0.25">
      <c r="A51" t="s">
        <v>395</v>
      </c>
      <c r="B51">
        <v>51.517570669620198</v>
      </c>
      <c r="C51">
        <v>-2.9391646385192802E-2</v>
      </c>
    </row>
    <row r="52" spans="1:3" x14ac:dyDescent="0.25">
      <c r="A52" t="s">
        <v>652</v>
      </c>
      <c r="B52">
        <v>51.5116870528202</v>
      </c>
      <c r="C52">
        <v>-3.0262023210525499E-2</v>
      </c>
    </row>
    <row r="53" spans="1:3" x14ac:dyDescent="0.25">
      <c r="A53" t="s">
        <v>401</v>
      </c>
      <c r="B53">
        <v>51.507479886186999</v>
      </c>
      <c r="C53">
        <v>-2.4196207523345899E-2</v>
      </c>
    </row>
    <row r="54" spans="1:3" x14ac:dyDescent="0.25">
      <c r="A54" t="s">
        <v>370</v>
      </c>
      <c r="B54">
        <v>51.510557353971699</v>
      </c>
      <c r="C54">
        <v>-1.16386820278369E-2</v>
      </c>
    </row>
    <row r="55" spans="1:3" x14ac:dyDescent="0.25">
      <c r="A55" t="s">
        <v>3025</v>
      </c>
      <c r="B55">
        <v>51.516883</v>
      </c>
      <c r="C55">
        <v>-4.1691713999999998E-2</v>
      </c>
    </row>
    <row r="56" spans="1:3" x14ac:dyDescent="0.25">
      <c r="A56" t="s">
        <v>467</v>
      </c>
      <c r="B56">
        <v>51.514217405491202</v>
      </c>
      <c r="C56">
        <v>-5.61118125915527E-3</v>
      </c>
    </row>
    <row r="57" spans="1:3" x14ac:dyDescent="0.25">
      <c r="A57" t="s">
        <v>386</v>
      </c>
      <c r="B57">
        <v>51.510041200987303</v>
      </c>
      <c r="C57">
        <v>-5.9716701507568297E-2</v>
      </c>
    </row>
    <row r="58" spans="1:3" x14ac:dyDescent="0.25">
      <c r="A58" t="s">
        <v>392</v>
      </c>
      <c r="B58">
        <v>51.509417577712</v>
      </c>
      <c r="C58">
        <v>-5.2039264968477501E-2</v>
      </c>
    </row>
    <row r="59" spans="1:3" x14ac:dyDescent="0.25">
      <c r="A59" t="s">
        <v>388</v>
      </c>
      <c r="B59">
        <v>51.511239326369399</v>
      </c>
      <c r="C59">
        <v>-5.0697428427437498E-2</v>
      </c>
    </row>
    <row r="60" spans="1:3" x14ac:dyDescent="0.25">
      <c r="A60" t="s">
        <v>390</v>
      </c>
      <c r="B60">
        <v>51.506199445269402</v>
      </c>
      <c r="C60">
        <v>-5.8042992253317598E-2</v>
      </c>
    </row>
    <row r="61" spans="1:3" x14ac:dyDescent="0.25">
      <c r="A61" t="s">
        <v>378</v>
      </c>
      <c r="B61">
        <v>51.5205240973036</v>
      </c>
      <c r="C61">
        <v>-2.0101815462112399E-2</v>
      </c>
    </row>
    <row r="62" spans="1:3" x14ac:dyDescent="0.25">
      <c r="A62" t="s">
        <v>413</v>
      </c>
      <c r="B62">
        <v>51.550402523279097</v>
      </c>
      <c r="C62">
        <v>-3.4594070957249999E-2</v>
      </c>
    </row>
    <row r="63" spans="1:3" x14ac:dyDescent="0.25">
      <c r="A63" t="s">
        <v>412</v>
      </c>
      <c r="B63">
        <v>51.555745230306499</v>
      </c>
      <c r="C63">
        <v>-4.1488478709130701E-2</v>
      </c>
    </row>
    <row r="64" spans="1:3" x14ac:dyDescent="0.25">
      <c r="A64" t="s">
        <v>282</v>
      </c>
      <c r="B64">
        <v>51.540439762070797</v>
      </c>
      <c r="C64">
        <v>-4.60749864578247E-2</v>
      </c>
    </row>
    <row r="65" spans="1:3" x14ac:dyDescent="0.25">
      <c r="A65" t="s">
        <v>315</v>
      </c>
      <c r="B65">
        <v>51.5488792489475</v>
      </c>
      <c r="C65">
        <v>-4.2668581008911098E-2</v>
      </c>
    </row>
    <row r="66" spans="1:3" x14ac:dyDescent="0.25">
      <c r="A66" t="s">
        <v>284</v>
      </c>
      <c r="B66">
        <v>51.545373380460497</v>
      </c>
      <c r="C66">
        <v>-3.05570662021637E-2</v>
      </c>
    </row>
    <row r="67" spans="1:3" x14ac:dyDescent="0.25">
      <c r="A67" t="s">
        <v>294</v>
      </c>
      <c r="B67">
        <v>51.552504999999996</v>
      </c>
      <c r="C67">
        <v>-7.9339420999999993E-2</v>
      </c>
    </row>
    <row r="68" spans="1:3" x14ac:dyDescent="0.25">
      <c r="A68" t="s">
        <v>3025</v>
      </c>
      <c r="B68">
        <v>51.516883</v>
      </c>
      <c r="C68">
        <v>-4.1691713999999998E-2</v>
      </c>
    </row>
    <row r="69" spans="1:3" x14ac:dyDescent="0.25">
      <c r="A69" t="s">
        <v>325</v>
      </c>
      <c r="B69">
        <v>51.565567305267699</v>
      </c>
      <c r="C69">
        <v>-0.100556015968322</v>
      </c>
    </row>
    <row r="70" spans="1:3" x14ac:dyDescent="0.25">
      <c r="A70" t="s">
        <v>665</v>
      </c>
      <c r="B70">
        <v>51.499764567856403</v>
      </c>
      <c r="C70">
        <v>-2.3431991046805E-2</v>
      </c>
    </row>
    <row r="71" spans="1:3" x14ac:dyDescent="0.25">
      <c r="A71" t="s">
        <v>3028</v>
      </c>
      <c r="B71">
        <v>51.565559805618904</v>
      </c>
      <c r="C71">
        <v>-0.100550651550292</v>
      </c>
    </row>
    <row r="72" spans="1:3" x14ac:dyDescent="0.25">
      <c r="A72" t="s">
        <v>318</v>
      </c>
      <c r="B72">
        <v>51.538373999999997</v>
      </c>
      <c r="C72">
        <v>-0.10180962</v>
      </c>
    </row>
    <row r="73" spans="1:3" x14ac:dyDescent="0.25">
      <c r="A73" t="s">
        <v>353</v>
      </c>
      <c r="B73">
        <v>51.530051380484103</v>
      </c>
      <c r="C73">
        <v>-0.108695179224014</v>
      </c>
    </row>
    <row r="74" spans="1:3" x14ac:dyDescent="0.25">
      <c r="A74" t="s">
        <v>348</v>
      </c>
      <c r="B74">
        <v>51.559954458674099</v>
      </c>
      <c r="C74">
        <v>-0.10392889380455</v>
      </c>
    </row>
    <row r="75" spans="1:3" x14ac:dyDescent="0.25">
      <c r="A75" t="s">
        <v>466</v>
      </c>
      <c r="B75">
        <v>51.510534327410198</v>
      </c>
      <c r="C75">
        <v>-1.1635422706604E-2</v>
      </c>
    </row>
    <row r="76" spans="1:3" x14ac:dyDescent="0.25">
      <c r="A76" t="s">
        <v>375</v>
      </c>
      <c r="B76">
        <v>51.4890609954114</v>
      </c>
      <c r="C76">
        <v>-6.2535703182220398E-3</v>
      </c>
    </row>
    <row r="77" spans="1:3" x14ac:dyDescent="0.25">
      <c r="A77" t="s">
        <v>315</v>
      </c>
      <c r="B77">
        <v>51.5488868149979</v>
      </c>
      <c r="C77">
        <v>-4.2670268235269697E-2</v>
      </c>
    </row>
    <row r="78" spans="1:3" x14ac:dyDescent="0.25">
      <c r="A78" t="s">
        <v>648</v>
      </c>
      <c r="B78">
        <v>51.548879272441603</v>
      </c>
      <c r="C78">
        <v>-4.2664557695388801E-2</v>
      </c>
    </row>
    <row r="79" spans="1:3" x14ac:dyDescent="0.25">
      <c r="A79" t="s">
        <v>15</v>
      </c>
      <c r="B79">
        <v>51.534468392717301</v>
      </c>
      <c r="C79">
        <v>-8.1064330354874106E-2</v>
      </c>
    </row>
    <row r="80" spans="1:3" x14ac:dyDescent="0.25">
      <c r="A80" t="s">
        <v>3027</v>
      </c>
      <c r="B80">
        <v>51.499136</v>
      </c>
      <c r="C80">
        <v>-2.3736838999999999E-2</v>
      </c>
    </row>
    <row r="81" spans="1:3" x14ac:dyDescent="0.25">
      <c r="A81" t="s">
        <v>383</v>
      </c>
      <c r="B81">
        <v>51.51144</v>
      </c>
      <c r="C81">
        <v>-2.8652011000000002E-2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462"/>
  <sheetViews>
    <sheetView workbookViewId="0"/>
  </sheetViews>
  <sheetFormatPr defaultRowHeight="15" x14ac:dyDescent="0.25"/>
  <sheetData>
    <row r="1" spans="1:2" x14ac:dyDescent="0.25">
      <c r="A1" t="s">
        <v>3022</v>
      </c>
      <c r="B1" t="s">
        <v>3023</v>
      </c>
    </row>
    <row r="2" spans="1:2" x14ac:dyDescent="0.25">
      <c r="A2" t="s">
        <v>69</v>
      </c>
      <c r="B2" t="s">
        <v>1871</v>
      </c>
    </row>
    <row r="3" spans="1:2" x14ac:dyDescent="0.25">
      <c r="A3" t="s">
        <v>212</v>
      </c>
      <c r="B3" t="s">
        <v>1872</v>
      </c>
    </row>
    <row r="4" spans="1:2" x14ac:dyDescent="0.25">
      <c r="A4" t="s">
        <v>489</v>
      </c>
      <c r="B4" t="s">
        <v>1873</v>
      </c>
    </row>
    <row r="5" spans="1:2" x14ac:dyDescent="0.25">
      <c r="A5" t="s">
        <v>215</v>
      </c>
      <c r="B5" t="s">
        <v>1874</v>
      </c>
    </row>
    <row r="6" spans="1:2" x14ac:dyDescent="0.25">
      <c r="A6" t="s">
        <v>657</v>
      </c>
      <c r="B6" t="s">
        <v>1875</v>
      </c>
    </row>
    <row r="7" spans="1:2" x14ac:dyDescent="0.25">
      <c r="A7" t="s">
        <v>260</v>
      </c>
      <c r="B7" t="s">
        <v>1876</v>
      </c>
    </row>
    <row r="8" spans="1:2" x14ac:dyDescent="0.25">
      <c r="A8" t="s">
        <v>495</v>
      </c>
      <c r="B8" t="s">
        <v>1877</v>
      </c>
    </row>
    <row r="9" spans="1:2" x14ac:dyDescent="0.25">
      <c r="A9" t="s">
        <v>261</v>
      </c>
      <c r="B9" t="s">
        <v>1878</v>
      </c>
    </row>
    <row r="10" spans="1:2" x14ac:dyDescent="0.25">
      <c r="A10" t="s">
        <v>215</v>
      </c>
      <c r="B10" t="s">
        <v>1879</v>
      </c>
    </row>
    <row r="11" spans="1:2" x14ac:dyDescent="0.25">
      <c r="A11" t="s">
        <v>211</v>
      </c>
      <c r="B11" t="s">
        <v>1880</v>
      </c>
    </row>
    <row r="12" spans="1:2" x14ac:dyDescent="0.25">
      <c r="A12" t="s">
        <v>211</v>
      </c>
      <c r="B12" t="s">
        <v>1881</v>
      </c>
    </row>
    <row r="13" spans="1:2" x14ac:dyDescent="0.25">
      <c r="A13" t="s">
        <v>218</v>
      </c>
      <c r="B13" t="s">
        <v>1882</v>
      </c>
    </row>
    <row r="14" spans="1:2" x14ac:dyDescent="0.25">
      <c r="A14" t="s">
        <v>259</v>
      </c>
      <c r="B14" t="s">
        <v>1883</v>
      </c>
    </row>
    <row r="15" spans="1:2" x14ac:dyDescent="0.25">
      <c r="A15" t="s">
        <v>257</v>
      </c>
      <c r="B15" t="s">
        <v>1884</v>
      </c>
    </row>
    <row r="16" spans="1:2" x14ac:dyDescent="0.25">
      <c r="A16" t="s">
        <v>507</v>
      </c>
      <c r="B16" t="s">
        <v>1885</v>
      </c>
    </row>
    <row r="17" spans="1:2" x14ac:dyDescent="0.25">
      <c r="A17" t="s">
        <v>216</v>
      </c>
      <c r="B17" t="s">
        <v>1886</v>
      </c>
    </row>
    <row r="18" spans="1:2" x14ac:dyDescent="0.25">
      <c r="A18" t="s">
        <v>206</v>
      </c>
      <c r="B18" t="s">
        <v>1887</v>
      </c>
    </row>
    <row r="19" spans="1:2" x14ac:dyDescent="0.25">
      <c r="A19" t="s">
        <v>217</v>
      </c>
      <c r="B19" t="s">
        <v>1888</v>
      </c>
    </row>
    <row r="20" spans="1:2" x14ac:dyDescent="0.25">
      <c r="A20" t="s">
        <v>209</v>
      </c>
      <c r="B20" t="s">
        <v>1889</v>
      </c>
    </row>
    <row r="21" spans="1:2" x14ac:dyDescent="0.25">
      <c r="A21" t="s">
        <v>213</v>
      </c>
      <c r="B21" t="s">
        <v>1890</v>
      </c>
    </row>
    <row r="22" spans="1:2" x14ac:dyDescent="0.25">
      <c r="A22" t="s">
        <v>219</v>
      </c>
      <c r="B22" t="s">
        <v>1891</v>
      </c>
    </row>
    <row r="23" spans="1:2" x14ac:dyDescent="0.25">
      <c r="A23" t="s">
        <v>207</v>
      </c>
      <c r="B23" t="s">
        <v>1892</v>
      </c>
    </row>
    <row r="24" spans="1:2" x14ac:dyDescent="0.25">
      <c r="A24" t="s">
        <v>221</v>
      </c>
      <c r="B24" t="s">
        <v>1893</v>
      </c>
    </row>
    <row r="25" spans="1:2" x14ac:dyDescent="0.25">
      <c r="A25" t="s">
        <v>214</v>
      </c>
      <c r="B25" t="s">
        <v>1894</v>
      </c>
    </row>
    <row r="26" spans="1:2" x14ac:dyDescent="0.25">
      <c r="A26" t="s">
        <v>262</v>
      </c>
      <c r="B26" t="s">
        <v>1895</v>
      </c>
    </row>
    <row r="27" spans="1:2" x14ac:dyDescent="0.25">
      <c r="A27" t="s">
        <v>220</v>
      </c>
      <c r="B27" t="s">
        <v>1896</v>
      </c>
    </row>
    <row r="28" spans="1:2" x14ac:dyDescent="0.25">
      <c r="A28" t="s">
        <v>531</v>
      </c>
      <c r="B28" t="s">
        <v>1897</v>
      </c>
    </row>
    <row r="29" spans="1:2" x14ac:dyDescent="0.25">
      <c r="A29" t="s">
        <v>210</v>
      </c>
      <c r="B29" t="s">
        <v>1898</v>
      </c>
    </row>
    <row r="30" spans="1:2" x14ac:dyDescent="0.25">
      <c r="A30" t="s">
        <v>208</v>
      </c>
      <c r="B30" t="s">
        <v>1899</v>
      </c>
    </row>
    <row r="31" spans="1:2" x14ac:dyDescent="0.25">
      <c r="A31" t="s">
        <v>664</v>
      </c>
      <c r="B31" t="s">
        <v>1900</v>
      </c>
    </row>
    <row r="32" spans="1:2" x14ac:dyDescent="0.25">
      <c r="A32" t="s">
        <v>229</v>
      </c>
      <c r="B32" t="s">
        <v>1901</v>
      </c>
    </row>
    <row r="33" spans="1:2" x14ac:dyDescent="0.25">
      <c r="A33" t="s">
        <v>238</v>
      </c>
      <c r="B33" t="s">
        <v>1902</v>
      </c>
    </row>
    <row r="34" spans="1:2" x14ac:dyDescent="0.25">
      <c r="A34" t="s">
        <v>232</v>
      </c>
      <c r="B34" t="s">
        <v>1903</v>
      </c>
    </row>
    <row r="35" spans="1:2" x14ac:dyDescent="0.25">
      <c r="A35" t="s">
        <v>399</v>
      </c>
      <c r="B35" t="s">
        <v>1904</v>
      </c>
    </row>
    <row r="36" spans="1:2" x14ac:dyDescent="0.25">
      <c r="A36" t="s">
        <v>222</v>
      </c>
      <c r="B36" t="s">
        <v>1905</v>
      </c>
    </row>
    <row r="37" spans="1:2" x14ac:dyDescent="0.25">
      <c r="A37" t="s">
        <v>234</v>
      </c>
      <c r="B37" t="s">
        <v>1906</v>
      </c>
    </row>
    <row r="38" spans="1:2" x14ac:dyDescent="0.25">
      <c r="A38" t="s">
        <v>69</v>
      </c>
      <c r="B38" t="s">
        <v>1907</v>
      </c>
    </row>
    <row r="39" spans="1:2" x14ac:dyDescent="0.25">
      <c r="A39" t="s">
        <v>230</v>
      </c>
      <c r="B39" t="s">
        <v>1908</v>
      </c>
    </row>
    <row r="40" spans="1:2" x14ac:dyDescent="0.25">
      <c r="A40" t="s">
        <v>227</v>
      </c>
      <c r="B40" t="s">
        <v>1908</v>
      </c>
    </row>
    <row r="41" spans="1:2" x14ac:dyDescent="0.25">
      <c r="A41" t="s">
        <v>239</v>
      </c>
      <c r="B41" t="s">
        <v>1909</v>
      </c>
    </row>
    <row r="42" spans="1:2" x14ac:dyDescent="0.25">
      <c r="A42" t="s">
        <v>225</v>
      </c>
      <c r="B42" t="s">
        <v>1910</v>
      </c>
    </row>
    <row r="43" spans="1:2" x14ac:dyDescent="0.25">
      <c r="A43" t="s">
        <v>254</v>
      </c>
      <c r="B43" t="s">
        <v>1911</v>
      </c>
    </row>
    <row r="44" spans="1:2" x14ac:dyDescent="0.25">
      <c r="A44" t="s">
        <v>263</v>
      </c>
      <c r="B44" t="s">
        <v>1912</v>
      </c>
    </row>
    <row r="45" spans="1:2" x14ac:dyDescent="0.25">
      <c r="A45" t="s">
        <v>266</v>
      </c>
      <c r="B45" t="s">
        <v>1913</v>
      </c>
    </row>
    <row r="46" spans="1:2" x14ac:dyDescent="0.25">
      <c r="A46" t="s">
        <v>231</v>
      </c>
      <c r="B46" t="s">
        <v>1914</v>
      </c>
    </row>
    <row r="47" spans="1:2" x14ac:dyDescent="0.25">
      <c r="A47" t="s">
        <v>226</v>
      </c>
      <c r="B47" t="s">
        <v>1915</v>
      </c>
    </row>
    <row r="48" spans="1:2" x14ac:dyDescent="0.25">
      <c r="A48" t="s">
        <v>237</v>
      </c>
      <c r="B48" t="s">
        <v>1916</v>
      </c>
    </row>
    <row r="49" spans="1:2" x14ac:dyDescent="0.25">
      <c r="A49" t="s">
        <v>233</v>
      </c>
      <c r="B49" t="s">
        <v>1917</v>
      </c>
    </row>
    <row r="50" spans="1:2" x14ac:dyDescent="0.25">
      <c r="A50" t="s">
        <v>235</v>
      </c>
      <c r="B50" t="s">
        <v>1918</v>
      </c>
    </row>
    <row r="51" spans="1:2" x14ac:dyDescent="0.25">
      <c r="A51" t="s">
        <v>69</v>
      </c>
      <c r="B51" t="s">
        <v>1919</v>
      </c>
    </row>
    <row r="52" spans="1:2" x14ac:dyDescent="0.25">
      <c r="A52" t="s">
        <v>400</v>
      </c>
      <c r="B52" t="s">
        <v>1920</v>
      </c>
    </row>
    <row r="53" spans="1:2" x14ac:dyDescent="0.25">
      <c r="A53" t="s">
        <v>236</v>
      </c>
      <c r="B53" t="s">
        <v>1921</v>
      </c>
    </row>
    <row r="54" spans="1:2" x14ac:dyDescent="0.25">
      <c r="A54" t="s">
        <v>224</v>
      </c>
      <c r="B54" t="s">
        <v>1922</v>
      </c>
    </row>
    <row r="55" spans="1:2" x14ac:dyDescent="0.25">
      <c r="A55" t="s">
        <v>228</v>
      </c>
      <c r="B55" t="s">
        <v>1923</v>
      </c>
    </row>
    <row r="56" spans="1:2" x14ac:dyDescent="0.25">
      <c r="A56" t="s">
        <v>69</v>
      </c>
      <c r="B56" t="s">
        <v>1924</v>
      </c>
    </row>
    <row r="57" spans="1:2" x14ac:dyDescent="0.25">
      <c r="A57" t="s">
        <v>69</v>
      </c>
      <c r="B57" t="s">
        <v>1925</v>
      </c>
    </row>
    <row r="58" spans="1:2" x14ac:dyDescent="0.25">
      <c r="A58" t="s">
        <v>223</v>
      </c>
      <c r="B58" t="s">
        <v>1926</v>
      </c>
    </row>
    <row r="59" spans="1:2" x14ac:dyDescent="0.25">
      <c r="A59" t="s">
        <v>69</v>
      </c>
      <c r="B59" t="s">
        <v>1927</v>
      </c>
    </row>
    <row r="60" spans="1:2" x14ac:dyDescent="0.25">
      <c r="A60" t="s">
        <v>226</v>
      </c>
      <c r="B60" t="s">
        <v>1928</v>
      </c>
    </row>
    <row r="61" spans="1:2" x14ac:dyDescent="0.25">
      <c r="A61" t="s">
        <v>586</v>
      </c>
      <c r="B61" t="s">
        <v>1929</v>
      </c>
    </row>
    <row r="62" spans="1:2" x14ac:dyDescent="0.25">
      <c r="A62" t="s">
        <v>248</v>
      </c>
      <c r="B62" t="s">
        <v>1930</v>
      </c>
    </row>
    <row r="63" spans="1:2" x14ac:dyDescent="0.25">
      <c r="A63" t="s">
        <v>244</v>
      </c>
      <c r="B63" t="s">
        <v>1931</v>
      </c>
    </row>
    <row r="64" spans="1:2" x14ac:dyDescent="0.25">
      <c r="A64" t="s">
        <v>243</v>
      </c>
      <c r="B64" t="s">
        <v>1932</v>
      </c>
    </row>
    <row r="65" spans="1:2" x14ac:dyDescent="0.25">
      <c r="A65" t="s">
        <v>251</v>
      </c>
      <c r="B65" t="s">
        <v>1933</v>
      </c>
    </row>
    <row r="66" spans="1:2" x14ac:dyDescent="0.25">
      <c r="A66" t="s">
        <v>69</v>
      </c>
      <c r="B66" t="s">
        <v>1934</v>
      </c>
    </row>
    <row r="67" spans="1:2" x14ac:dyDescent="0.25">
      <c r="A67" t="s">
        <v>69</v>
      </c>
      <c r="B67" t="s">
        <v>1935</v>
      </c>
    </row>
    <row r="68" spans="1:2" x14ac:dyDescent="0.25">
      <c r="A68" t="s">
        <v>248</v>
      </c>
      <c r="B68" t="s">
        <v>1936</v>
      </c>
    </row>
    <row r="69" spans="1:2" x14ac:dyDescent="0.25">
      <c r="A69" t="s">
        <v>245</v>
      </c>
      <c r="B69" t="s">
        <v>1937</v>
      </c>
    </row>
    <row r="70" spans="1:2" x14ac:dyDescent="0.25">
      <c r="A70" t="s">
        <v>598</v>
      </c>
      <c r="B70" t="s">
        <v>1938</v>
      </c>
    </row>
    <row r="71" spans="1:2" x14ac:dyDescent="0.25">
      <c r="A71" t="s">
        <v>255</v>
      </c>
      <c r="B71" t="s">
        <v>1939</v>
      </c>
    </row>
    <row r="72" spans="1:2" x14ac:dyDescent="0.25">
      <c r="A72" t="s">
        <v>253</v>
      </c>
      <c r="B72" t="s">
        <v>1940</v>
      </c>
    </row>
    <row r="73" spans="1:2" x14ac:dyDescent="0.25">
      <c r="A73" t="s">
        <v>603</v>
      </c>
      <c r="B73" t="s">
        <v>1941</v>
      </c>
    </row>
    <row r="74" spans="1:2" x14ac:dyDescent="0.25">
      <c r="A74" t="s">
        <v>240</v>
      </c>
      <c r="B74" t="s">
        <v>1942</v>
      </c>
    </row>
    <row r="75" spans="1:2" x14ac:dyDescent="0.25">
      <c r="A75" t="s">
        <v>265</v>
      </c>
      <c r="B75" t="s">
        <v>1943</v>
      </c>
    </row>
    <row r="76" spans="1:2" x14ac:dyDescent="0.25">
      <c r="A76" t="s">
        <v>244</v>
      </c>
      <c r="B76" t="s">
        <v>1944</v>
      </c>
    </row>
    <row r="77" spans="1:2" x14ac:dyDescent="0.25">
      <c r="A77" t="s">
        <v>69</v>
      </c>
      <c r="B77" t="s">
        <v>1945</v>
      </c>
    </row>
    <row r="78" spans="1:2" x14ac:dyDescent="0.25">
      <c r="A78" t="s">
        <v>264</v>
      </c>
      <c r="B78" t="s">
        <v>1946</v>
      </c>
    </row>
    <row r="79" spans="1:2" x14ac:dyDescent="0.25">
      <c r="A79" t="s">
        <v>252</v>
      </c>
      <c r="B79" t="s">
        <v>1947</v>
      </c>
    </row>
    <row r="80" spans="1:2" x14ac:dyDescent="0.25">
      <c r="A80" t="s">
        <v>256</v>
      </c>
      <c r="B80" t="s">
        <v>1947</v>
      </c>
    </row>
    <row r="81" spans="1:2" x14ac:dyDescent="0.25">
      <c r="A81" t="s">
        <v>249</v>
      </c>
      <c r="B81" t="s">
        <v>1948</v>
      </c>
    </row>
    <row r="82" spans="1:2" x14ac:dyDescent="0.25">
      <c r="A82" t="s">
        <v>247</v>
      </c>
      <c r="B82" t="s">
        <v>1949</v>
      </c>
    </row>
    <row r="83" spans="1:2" x14ac:dyDescent="0.25">
      <c r="A83" t="s">
        <v>242</v>
      </c>
      <c r="B83" t="s">
        <v>1950</v>
      </c>
    </row>
    <row r="84" spans="1:2" x14ac:dyDescent="0.25">
      <c r="A84" t="s">
        <v>250</v>
      </c>
      <c r="B84" t="s">
        <v>1951</v>
      </c>
    </row>
    <row r="85" spans="1:2" x14ac:dyDescent="0.25">
      <c r="A85" t="s">
        <v>241</v>
      </c>
      <c r="B85" t="s">
        <v>1952</v>
      </c>
    </row>
    <row r="86" spans="1:2" x14ac:dyDescent="0.25">
      <c r="A86" t="s">
        <v>246</v>
      </c>
      <c r="B86" t="s">
        <v>1953</v>
      </c>
    </row>
    <row r="87" spans="1:2" x14ac:dyDescent="0.25">
      <c r="A87" t="s">
        <v>645</v>
      </c>
      <c r="B87" t="s">
        <v>1954</v>
      </c>
    </row>
    <row r="88" spans="1:2" x14ac:dyDescent="0.25">
      <c r="A88" t="s">
        <v>661</v>
      </c>
      <c r="B88" t="s">
        <v>1955</v>
      </c>
    </row>
    <row r="89" spans="1:2" x14ac:dyDescent="0.25">
      <c r="B89" t="s">
        <v>1956</v>
      </c>
    </row>
    <row r="90" spans="1:2" x14ac:dyDescent="0.25">
      <c r="B90" t="s">
        <v>1957</v>
      </c>
    </row>
    <row r="91" spans="1:2" x14ac:dyDescent="0.25">
      <c r="B91" t="s">
        <v>1958</v>
      </c>
    </row>
    <row r="92" spans="1:2" x14ac:dyDescent="0.25">
      <c r="B92" t="s">
        <v>1959</v>
      </c>
    </row>
    <row r="93" spans="1:2" x14ac:dyDescent="0.25">
      <c r="B93" t="s">
        <v>1960</v>
      </c>
    </row>
    <row r="94" spans="1:2" x14ac:dyDescent="0.25">
      <c r="B94" t="s">
        <v>1961</v>
      </c>
    </row>
    <row r="95" spans="1:2" x14ac:dyDescent="0.25">
      <c r="B95" t="s">
        <v>1962</v>
      </c>
    </row>
    <row r="96" spans="1:2" x14ac:dyDescent="0.25">
      <c r="B96" t="s">
        <v>1963</v>
      </c>
    </row>
    <row r="97" spans="2:2" x14ac:dyDescent="0.25">
      <c r="B97" t="s">
        <v>1964</v>
      </c>
    </row>
    <row r="98" spans="2:2" x14ac:dyDescent="0.25">
      <c r="B98" t="s">
        <v>1965</v>
      </c>
    </row>
    <row r="99" spans="2:2" x14ac:dyDescent="0.25">
      <c r="B99" t="s">
        <v>1966</v>
      </c>
    </row>
    <row r="100" spans="2:2" x14ac:dyDescent="0.25">
      <c r="B100" t="s">
        <v>1967</v>
      </c>
    </row>
    <row r="101" spans="2:2" x14ac:dyDescent="0.25">
      <c r="B101" t="s">
        <v>1968</v>
      </c>
    </row>
    <row r="102" spans="2:2" x14ac:dyDescent="0.25">
      <c r="B102" t="s">
        <v>1969</v>
      </c>
    </row>
    <row r="103" spans="2:2" x14ac:dyDescent="0.25">
      <c r="B103" t="s">
        <v>1970</v>
      </c>
    </row>
    <row r="104" spans="2:2" x14ac:dyDescent="0.25">
      <c r="B104" t="s">
        <v>1971</v>
      </c>
    </row>
    <row r="105" spans="2:2" x14ac:dyDescent="0.25">
      <c r="B105" t="s">
        <v>1972</v>
      </c>
    </row>
    <row r="106" spans="2:2" x14ac:dyDescent="0.25">
      <c r="B106" t="s">
        <v>1973</v>
      </c>
    </row>
    <row r="107" spans="2:2" x14ac:dyDescent="0.25">
      <c r="B107" t="s">
        <v>1974</v>
      </c>
    </row>
    <row r="108" spans="2:2" x14ac:dyDescent="0.25">
      <c r="B108" t="s">
        <v>1975</v>
      </c>
    </row>
    <row r="109" spans="2:2" x14ac:dyDescent="0.25">
      <c r="B109" t="s">
        <v>1976</v>
      </c>
    </row>
    <row r="110" spans="2:2" x14ac:dyDescent="0.25">
      <c r="B110" t="s">
        <v>1977</v>
      </c>
    </row>
    <row r="111" spans="2:2" x14ac:dyDescent="0.25">
      <c r="B111" t="s">
        <v>1898</v>
      </c>
    </row>
    <row r="112" spans="2:2" x14ac:dyDescent="0.25">
      <c r="B112" t="s">
        <v>1978</v>
      </c>
    </row>
    <row r="113" spans="2:2" x14ac:dyDescent="0.25">
      <c r="B113" t="s">
        <v>1979</v>
      </c>
    </row>
    <row r="114" spans="2:2" x14ac:dyDescent="0.25">
      <c r="B114" t="s">
        <v>1980</v>
      </c>
    </row>
    <row r="115" spans="2:2" x14ac:dyDescent="0.25">
      <c r="B115" t="s">
        <v>1981</v>
      </c>
    </row>
    <row r="116" spans="2:2" x14ac:dyDescent="0.25">
      <c r="B116" t="s">
        <v>1982</v>
      </c>
    </row>
    <row r="117" spans="2:2" x14ac:dyDescent="0.25">
      <c r="B117" t="s">
        <v>1983</v>
      </c>
    </row>
    <row r="118" spans="2:2" x14ac:dyDescent="0.25">
      <c r="B118" t="s">
        <v>1984</v>
      </c>
    </row>
    <row r="119" spans="2:2" x14ac:dyDescent="0.25">
      <c r="B119" t="s">
        <v>1985</v>
      </c>
    </row>
    <row r="120" spans="2:2" x14ac:dyDescent="0.25">
      <c r="B120" t="s">
        <v>1986</v>
      </c>
    </row>
    <row r="121" spans="2:2" x14ac:dyDescent="0.25">
      <c r="B121" t="s">
        <v>1987</v>
      </c>
    </row>
    <row r="122" spans="2:2" x14ac:dyDescent="0.25">
      <c r="B122" t="s">
        <v>1988</v>
      </c>
    </row>
    <row r="123" spans="2:2" x14ac:dyDescent="0.25">
      <c r="B123" t="s">
        <v>1989</v>
      </c>
    </row>
    <row r="124" spans="2:2" x14ac:dyDescent="0.25">
      <c r="B124" t="s">
        <v>1990</v>
      </c>
    </row>
    <row r="125" spans="2:2" x14ac:dyDescent="0.25">
      <c r="B125" t="s">
        <v>1991</v>
      </c>
    </row>
    <row r="126" spans="2:2" x14ac:dyDescent="0.25">
      <c r="B126" t="s">
        <v>1992</v>
      </c>
    </row>
    <row r="127" spans="2:2" x14ac:dyDescent="0.25">
      <c r="B127" t="s">
        <v>1993</v>
      </c>
    </row>
    <row r="128" spans="2:2" x14ac:dyDescent="0.25">
      <c r="B128" t="s">
        <v>1994</v>
      </c>
    </row>
    <row r="129" spans="2:2" x14ac:dyDescent="0.25">
      <c r="B129" t="s">
        <v>1995</v>
      </c>
    </row>
    <row r="130" spans="2:2" x14ac:dyDescent="0.25">
      <c r="B130" t="s">
        <v>1996</v>
      </c>
    </row>
    <row r="131" spans="2:2" x14ac:dyDescent="0.25">
      <c r="B131" t="s">
        <v>1996</v>
      </c>
    </row>
    <row r="132" spans="2:2" x14ac:dyDescent="0.25">
      <c r="B132" t="s">
        <v>1996</v>
      </c>
    </row>
    <row r="133" spans="2:2" x14ac:dyDescent="0.25">
      <c r="B133" t="s">
        <v>1996</v>
      </c>
    </row>
    <row r="134" spans="2:2" x14ac:dyDescent="0.25">
      <c r="B134" t="s">
        <v>1997</v>
      </c>
    </row>
    <row r="135" spans="2:2" x14ac:dyDescent="0.25">
      <c r="B135" t="s">
        <v>1998</v>
      </c>
    </row>
    <row r="136" spans="2:2" x14ac:dyDescent="0.25">
      <c r="B136" t="s">
        <v>1999</v>
      </c>
    </row>
    <row r="137" spans="2:2" x14ac:dyDescent="0.25">
      <c r="B137" t="s">
        <v>2000</v>
      </c>
    </row>
    <row r="138" spans="2:2" x14ac:dyDescent="0.25">
      <c r="B138" t="s">
        <v>2001</v>
      </c>
    </row>
    <row r="139" spans="2:2" x14ac:dyDescent="0.25">
      <c r="B139" t="s">
        <v>2002</v>
      </c>
    </row>
    <row r="140" spans="2:2" x14ac:dyDescent="0.25">
      <c r="B140" t="s">
        <v>2003</v>
      </c>
    </row>
    <row r="141" spans="2:2" x14ac:dyDescent="0.25">
      <c r="B141" t="s">
        <v>2004</v>
      </c>
    </row>
    <row r="142" spans="2:2" x14ac:dyDescent="0.25">
      <c r="B142" t="s">
        <v>2005</v>
      </c>
    </row>
    <row r="143" spans="2:2" x14ac:dyDescent="0.25">
      <c r="B143" t="s">
        <v>2006</v>
      </c>
    </row>
    <row r="144" spans="2:2" x14ac:dyDescent="0.25">
      <c r="B144" t="s">
        <v>2007</v>
      </c>
    </row>
    <row r="145" spans="2:2" x14ac:dyDescent="0.25">
      <c r="B145" t="s">
        <v>2008</v>
      </c>
    </row>
    <row r="146" spans="2:2" x14ac:dyDescent="0.25">
      <c r="B146" t="s">
        <v>2009</v>
      </c>
    </row>
    <row r="147" spans="2:2" x14ac:dyDescent="0.25">
      <c r="B147" t="s">
        <v>2010</v>
      </c>
    </row>
    <row r="148" spans="2:2" x14ac:dyDescent="0.25">
      <c r="B148" t="s">
        <v>2011</v>
      </c>
    </row>
    <row r="149" spans="2:2" x14ac:dyDescent="0.25">
      <c r="B149" t="s">
        <v>2012</v>
      </c>
    </row>
    <row r="150" spans="2:2" x14ac:dyDescent="0.25">
      <c r="B150" t="s">
        <v>2013</v>
      </c>
    </row>
    <row r="151" spans="2:2" x14ac:dyDescent="0.25">
      <c r="B151" t="s">
        <v>2014</v>
      </c>
    </row>
    <row r="152" spans="2:2" x14ac:dyDescent="0.25">
      <c r="B152" t="s">
        <v>2015</v>
      </c>
    </row>
    <row r="153" spans="2:2" x14ac:dyDescent="0.25">
      <c r="B153" t="s">
        <v>2016</v>
      </c>
    </row>
    <row r="154" spans="2:2" x14ac:dyDescent="0.25">
      <c r="B154" t="s">
        <v>2017</v>
      </c>
    </row>
    <row r="155" spans="2:2" x14ac:dyDescent="0.25">
      <c r="B155" t="s">
        <v>2018</v>
      </c>
    </row>
    <row r="156" spans="2:2" x14ac:dyDescent="0.25">
      <c r="B156" t="s">
        <v>2019</v>
      </c>
    </row>
    <row r="157" spans="2:2" x14ac:dyDescent="0.25">
      <c r="B157" t="s">
        <v>2020</v>
      </c>
    </row>
    <row r="158" spans="2:2" x14ac:dyDescent="0.25">
      <c r="B158" t="s">
        <v>2021</v>
      </c>
    </row>
    <row r="159" spans="2:2" x14ac:dyDescent="0.25">
      <c r="B159" t="s">
        <v>206</v>
      </c>
    </row>
    <row r="160" spans="2:2" x14ac:dyDescent="0.25">
      <c r="B160" t="s">
        <v>2022</v>
      </c>
    </row>
    <row r="161" spans="2:2" x14ac:dyDescent="0.25">
      <c r="B161" t="s">
        <v>2023</v>
      </c>
    </row>
    <row r="162" spans="2:2" x14ac:dyDescent="0.25">
      <c r="B162" t="s">
        <v>2024</v>
      </c>
    </row>
    <row r="163" spans="2:2" x14ac:dyDescent="0.25">
      <c r="B163" t="s">
        <v>2025</v>
      </c>
    </row>
    <row r="164" spans="2:2" x14ac:dyDescent="0.25">
      <c r="B164" t="s">
        <v>2026</v>
      </c>
    </row>
    <row r="165" spans="2:2" x14ac:dyDescent="0.25">
      <c r="B165" t="s">
        <v>2027</v>
      </c>
    </row>
    <row r="166" spans="2:2" x14ac:dyDescent="0.25">
      <c r="B166" t="s">
        <v>2028</v>
      </c>
    </row>
    <row r="167" spans="2:2" x14ac:dyDescent="0.25">
      <c r="B167" t="s">
        <v>2029</v>
      </c>
    </row>
    <row r="168" spans="2:2" x14ac:dyDescent="0.25">
      <c r="B168" t="s">
        <v>2030</v>
      </c>
    </row>
    <row r="169" spans="2:2" x14ac:dyDescent="0.25">
      <c r="B169" t="s">
        <v>2031</v>
      </c>
    </row>
    <row r="170" spans="2:2" x14ac:dyDescent="0.25">
      <c r="B170" t="s">
        <v>2032</v>
      </c>
    </row>
    <row r="171" spans="2:2" x14ac:dyDescent="0.25">
      <c r="B171" t="s">
        <v>2033</v>
      </c>
    </row>
    <row r="172" spans="2:2" x14ac:dyDescent="0.25">
      <c r="B172" t="s">
        <v>2034</v>
      </c>
    </row>
    <row r="173" spans="2:2" x14ac:dyDescent="0.25">
      <c r="B173" t="s">
        <v>2035</v>
      </c>
    </row>
    <row r="174" spans="2:2" x14ac:dyDescent="0.25">
      <c r="B174" t="s">
        <v>2036</v>
      </c>
    </row>
    <row r="175" spans="2:2" x14ac:dyDescent="0.25">
      <c r="B175" t="s">
        <v>2037</v>
      </c>
    </row>
    <row r="176" spans="2:2" x14ac:dyDescent="0.25">
      <c r="B176" t="s">
        <v>2038</v>
      </c>
    </row>
    <row r="177" spans="2:2" x14ac:dyDescent="0.25">
      <c r="B177" t="s">
        <v>2039</v>
      </c>
    </row>
    <row r="178" spans="2:2" x14ac:dyDescent="0.25">
      <c r="B178" t="s">
        <v>2040</v>
      </c>
    </row>
    <row r="179" spans="2:2" x14ac:dyDescent="0.25">
      <c r="B179" t="s">
        <v>2041</v>
      </c>
    </row>
    <row r="180" spans="2:2" x14ac:dyDescent="0.25">
      <c r="B180" t="s">
        <v>2042</v>
      </c>
    </row>
    <row r="181" spans="2:2" x14ac:dyDescent="0.25">
      <c r="B181" t="s">
        <v>2043</v>
      </c>
    </row>
    <row r="182" spans="2:2" x14ac:dyDescent="0.25">
      <c r="B182" t="s">
        <v>2044</v>
      </c>
    </row>
    <row r="183" spans="2:2" x14ac:dyDescent="0.25">
      <c r="B183" t="s">
        <v>2045</v>
      </c>
    </row>
    <row r="184" spans="2:2" x14ac:dyDescent="0.25">
      <c r="B184" t="s">
        <v>2046</v>
      </c>
    </row>
    <row r="185" spans="2:2" x14ac:dyDescent="0.25">
      <c r="B185" t="s">
        <v>2047</v>
      </c>
    </row>
    <row r="186" spans="2:2" x14ac:dyDescent="0.25">
      <c r="B186" t="s">
        <v>2048</v>
      </c>
    </row>
    <row r="187" spans="2:2" x14ac:dyDescent="0.25">
      <c r="B187" t="s">
        <v>2049</v>
      </c>
    </row>
    <row r="188" spans="2:2" x14ac:dyDescent="0.25">
      <c r="B188" t="s">
        <v>2050</v>
      </c>
    </row>
    <row r="189" spans="2:2" x14ac:dyDescent="0.25">
      <c r="B189" t="s">
        <v>2051</v>
      </c>
    </row>
    <row r="190" spans="2:2" x14ac:dyDescent="0.25">
      <c r="B190" t="s">
        <v>2052</v>
      </c>
    </row>
    <row r="191" spans="2:2" x14ac:dyDescent="0.25">
      <c r="B191" t="s">
        <v>2053</v>
      </c>
    </row>
    <row r="192" spans="2:2" x14ac:dyDescent="0.25">
      <c r="B192" t="s">
        <v>2054</v>
      </c>
    </row>
    <row r="193" spans="2:2" x14ac:dyDescent="0.25">
      <c r="B193" t="s">
        <v>2055</v>
      </c>
    </row>
    <row r="194" spans="2:2" x14ac:dyDescent="0.25">
      <c r="B194" t="s">
        <v>2011</v>
      </c>
    </row>
    <row r="195" spans="2:2" x14ac:dyDescent="0.25">
      <c r="B195" t="s">
        <v>2056</v>
      </c>
    </row>
    <row r="196" spans="2:2" x14ac:dyDescent="0.25">
      <c r="B196" t="s">
        <v>2057</v>
      </c>
    </row>
    <row r="197" spans="2:2" x14ac:dyDescent="0.25">
      <c r="B197" t="s">
        <v>2058</v>
      </c>
    </row>
    <row r="198" spans="2:2" x14ac:dyDescent="0.25">
      <c r="B198" t="s">
        <v>2059</v>
      </c>
    </row>
    <row r="199" spans="2:2" x14ac:dyDescent="0.25">
      <c r="B199" t="s">
        <v>2060</v>
      </c>
    </row>
    <row r="200" spans="2:2" x14ac:dyDescent="0.25">
      <c r="B200" t="s">
        <v>2061</v>
      </c>
    </row>
    <row r="201" spans="2:2" x14ac:dyDescent="0.25">
      <c r="B201" t="s">
        <v>1996</v>
      </c>
    </row>
    <row r="202" spans="2:2" x14ac:dyDescent="0.25">
      <c r="B202" t="s">
        <v>2062</v>
      </c>
    </row>
    <row r="203" spans="2:2" x14ac:dyDescent="0.25">
      <c r="B203" t="s">
        <v>2063</v>
      </c>
    </row>
    <row r="204" spans="2:2" x14ac:dyDescent="0.25">
      <c r="B204" t="s">
        <v>2064</v>
      </c>
    </row>
    <row r="205" spans="2:2" x14ac:dyDescent="0.25">
      <c r="B205" t="s">
        <v>2065</v>
      </c>
    </row>
    <row r="206" spans="2:2" x14ac:dyDescent="0.25">
      <c r="B206" t="s">
        <v>2066</v>
      </c>
    </row>
    <row r="207" spans="2:2" x14ac:dyDescent="0.25">
      <c r="B207" t="s">
        <v>2067</v>
      </c>
    </row>
    <row r="208" spans="2:2" x14ac:dyDescent="0.25">
      <c r="B208" t="s">
        <v>2068</v>
      </c>
    </row>
    <row r="209" spans="2:2" x14ac:dyDescent="0.25">
      <c r="B209" t="s">
        <v>2069</v>
      </c>
    </row>
    <row r="210" spans="2:2" x14ac:dyDescent="0.25">
      <c r="B210" t="s">
        <v>2070</v>
      </c>
    </row>
    <row r="211" spans="2:2" x14ac:dyDescent="0.25">
      <c r="B211" t="s">
        <v>2071</v>
      </c>
    </row>
    <row r="212" spans="2:2" x14ac:dyDescent="0.25">
      <c r="B212" t="s">
        <v>2072</v>
      </c>
    </row>
    <row r="213" spans="2:2" x14ac:dyDescent="0.25">
      <c r="B213" t="s">
        <v>2073</v>
      </c>
    </row>
    <row r="214" spans="2:2" x14ac:dyDescent="0.25">
      <c r="B214" t="s">
        <v>2074</v>
      </c>
    </row>
    <row r="215" spans="2:2" x14ac:dyDescent="0.25">
      <c r="B215" t="s">
        <v>2075</v>
      </c>
    </row>
    <row r="216" spans="2:2" x14ac:dyDescent="0.25">
      <c r="B216" t="s">
        <v>2076</v>
      </c>
    </row>
    <row r="217" spans="2:2" x14ac:dyDescent="0.25">
      <c r="B217" t="s">
        <v>2077</v>
      </c>
    </row>
    <row r="218" spans="2:2" x14ac:dyDescent="0.25">
      <c r="B218" t="s">
        <v>2078</v>
      </c>
    </row>
    <row r="219" spans="2:2" x14ac:dyDescent="0.25">
      <c r="B219" t="s">
        <v>2079</v>
      </c>
    </row>
    <row r="220" spans="2:2" x14ac:dyDescent="0.25">
      <c r="B220" t="s">
        <v>2080</v>
      </c>
    </row>
    <row r="221" spans="2:2" x14ac:dyDescent="0.25">
      <c r="B221" t="s">
        <v>2081</v>
      </c>
    </row>
    <row r="222" spans="2:2" x14ac:dyDescent="0.25">
      <c r="B222" t="s">
        <v>2082</v>
      </c>
    </row>
    <row r="223" spans="2:2" x14ac:dyDescent="0.25">
      <c r="B223" t="s">
        <v>2082</v>
      </c>
    </row>
    <row r="224" spans="2:2" x14ac:dyDescent="0.25">
      <c r="B224" t="s">
        <v>1996</v>
      </c>
    </row>
    <row r="225" spans="2:2" x14ac:dyDescent="0.25">
      <c r="B225" t="s">
        <v>1996</v>
      </c>
    </row>
    <row r="226" spans="2:2" x14ac:dyDescent="0.25">
      <c r="B226" t="s">
        <v>1996</v>
      </c>
    </row>
    <row r="227" spans="2:2" x14ac:dyDescent="0.25">
      <c r="B227" t="s">
        <v>2082</v>
      </c>
    </row>
    <row r="228" spans="2:2" x14ac:dyDescent="0.25">
      <c r="B228" t="s">
        <v>2083</v>
      </c>
    </row>
    <row r="229" spans="2:2" x14ac:dyDescent="0.25">
      <c r="B229" t="s">
        <v>2084</v>
      </c>
    </row>
    <row r="230" spans="2:2" x14ac:dyDescent="0.25">
      <c r="B230" t="s">
        <v>2085</v>
      </c>
    </row>
    <row r="231" spans="2:2" x14ac:dyDescent="0.25">
      <c r="B231" t="s">
        <v>2086</v>
      </c>
    </row>
    <row r="232" spans="2:2" x14ac:dyDescent="0.25">
      <c r="B232" t="s">
        <v>2087</v>
      </c>
    </row>
    <row r="233" spans="2:2" x14ac:dyDescent="0.25">
      <c r="B233" t="s">
        <v>2088</v>
      </c>
    </row>
    <row r="234" spans="2:2" x14ac:dyDescent="0.25">
      <c r="B234" t="s">
        <v>2089</v>
      </c>
    </row>
    <row r="235" spans="2:2" x14ac:dyDescent="0.25">
      <c r="B235" t="s">
        <v>2090</v>
      </c>
    </row>
    <row r="236" spans="2:2" x14ac:dyDescent="0.25">
      <c r="B236" t="s">
        <v>2091</v>
      </c>
    </row>
    <row r="237" spans="2:2" x14ac:dyDescent="0.25">
      <c r="B237" t="s">
        <v>2092</v>
      </c>
    </row>
    <row r="238" spans="2:2" x14ac:dyDescent="0.25">
      <c r="B238" t="s">
        <v>2093</v>
      </c>
    </row>
    <row r="239" spans="2:2" x14ac:dyDescent="0.25">
      <c r="B239" t="s">
        <v>2094</v>
      </c>
    </row>
    <row r="240" spans="2:2" x14ac:dyDescent="0.25">
      <c r="B240" t="s">
        <v>2095</v>
      </c>
    </row>
    <row r="241" spans="2:2" x14ac:dyDescent="0.25">
      <c r="B241" t="s">
        <v>2096</v>
      </c>
    </row>
    <row r="242" spans="2:2" x14ac:dyDescent="0.25">
      <c r="B242" t="s">
        <v>2097</v>
      </c>
    </row>
    <row r="243" spans="2:2" x14ac:dyDescent="0.25">
      <c r="B243" t="s">
        <v>2098</v>
      </c>
    </row>
    <row r="244" spans="2:2" x14ac:dyDescent="0.25">
      <c r="B244" t="s">
        <v>2099</v>
      </c>
    </row>
    <row r="245" spans="2:2" x14ac:dyDescent="0.25">
      <c r="B245" t="s">
        <v>2100</v>
      </c>
    </row>
    <row r="246" spans="2:2" x14ac:dyDescent="0.25">
      <c r="B246" t="s">
        <v>2101</v>
      </c>
    </row>
    <row r="247" spans="2:2" x14ac:dyDescent="0.25">
      <c r="B247" t="s">
        <v>2102</v>
      </c>
    </row>
    <row r="248" spans="2:2" x14ac:dyDescent="0.25">
      <c r="B248" t="s">
        <v>2103</v>
      </c>
    </row>
    <row r="249" spans="2:2" x14ac:dyDescent="0.25">
      <c r="B249" t="s">
        <v>2104</v>
      </c>
    </row>
    <row r="250" spans="2:2" x14ac:dyDescent="0.25">
      <c r="B250" t="s">
        <v>2105</v>
      </c>
    </row>
    <row r="251" spans="2:2" x14ac:dyDescent="0.25">
      <c r="B251" t="s">
        <v>2106</v>
      </c>
    </row>
    <row r="252" spans="2:2" x14ac:dyDescent="0.25">
      <c r="B252" t="s">
        <v>2107</v>
      </c>
    </row>
    <row r="253" spans="2:2" x14ac:dyDescent="0.25">
      <c r="B253" t="s">
        <v>2108</v>
      </c>
    </row>
    <row r="254" spans="2:2" x14ac:dyDescent="0.25">
      <c r="B254" t="s">
        <v>2109</v>
      </c>
    </row>
    <row r="255" spans="2:2" x14ac:dyDescent="0.25">
      <c r="B255" t="s">
        <v>2110</v>
      </c>
    </row>
    <row r="256" spans="2:2" x14ac:dyDescent="0.25">
      <c r="B256" t="s">
        <v>2111</v>
      </c>
    </row>
    <row r="257" spans="2:2" x14ac:dyDescent="0.25">
      <c r="B257" t="s">
        <v>2112</v>
      </c>
    </row>
    <row r="258" spans="2:2" x14ac:dyDescent="0.25">
      <c r="B258" t="s">
        <v>2113</v>
      </c>
    </row>
    <row r="259" spans="2:2" x14ac:dyDescent="0.25">
      <c r="B259" t="s">
        <v>2114</v>
      </c>
    </row>
    <row r="260" spans="2:2" x14ac:dyDescent="0.25">
      <c r="B260" t="s">
        <v>2115</v>
      </c>
    </row>
    <row r="261" spans="2:2" x14ac:dyDescent="0.25">
      <c r="B261" t="s">
        <v>2116</v>
      </c>
    </row>
    <row r="262" spans="2:2" x14ac:dyDescent="0.25">
      <c r="B262" t="s">
        <v>2117</v>
      </c>
    </row>
    <row r="263" spans="2:2" x14ac:dyDescent="0.25">
      <c r="B263" t="s">
        <v>2118</v>
      </c>
    </row>
    <row r="264" spans="2:2" x14ac:dyDescent="0.25">
      <c r="B264" t="s">
        <v>2119</v>
      </c>
    </row>
    <row r="265" spans="2:2" x14ac:dyDescent="0.25">
      <c r="B265" t="s">
        <v>2120</v>
      </c>
    </row>
    <row r="266" spans="2:2" x14ac:dyDescent="0.25">
      <c r="B266" t="s">
        <v>2121</v>
      </c>
    </row>
    <row r="267" spans="2:2" x14ac:dyDescent="0.25">
      <c r="B267" t="s">
        <v>2122</v>
      </c>
    </row>
    <row r="268" spans="2:2" x14ac:dyDescent="0.25">
      <c r="B268" t="s">
        <v>2123</v>
      </c>
    </row>
    <row r="269" spans="2:2" x14ac:dyDescent="0.25">
      <c r="B269" t="s">
        <v>2124</v>
      </c>
    </row>
    <row r="270" spans="2:2" x14ac:dyDescent="0.25">
      <c r="B270" t="s">
        <v>2125</v>
      </c>
    </row>
    <row r="271" spans="2:2" x14ac:dyDescent="0.25">
      <c r="B271" t="s">
        <v>2126</v>
      </c>
    </row>
    <row r="272" spans="2:2" x14ac:dyDescent="0.25">
      <c r="B272" t="s">
        <v>2127</v>
      </c>
    </row>
    <row r="273" spans="2:2" x14ac:dyDescent="0.25">
      <c r="B273" t="s">
        <v>2128</v>
      </c>
    </row>
    <row r="274" spans="2:2" x14ac:dyDescent="0.25">
      <c r="B274" t="s">
        <v>2129</v>
      </c>
    </row>
    <row r="275" spans="2:2" x14ac:dyDescent="0.25">
      <c r="B275" t="s">
        <v>2130</v>
      </c>
    </row>
    <row r="276" spans="2:2" x14ac:dyDescent="0.25">
      <c r="B276" t="s">
        <v>2131</v>
      </c>
    </row>
    <row r="277" spans="2:2" x14ac:dyDescent="0.25">
      <c r="B277" t="s">
        <v>2132</v>
      </c>
    </row>
    <row r="278" spans="2:2" x14ac:dyDescent="0.25">
      <c r="B278" t="s">
        <v>2133</v>
      </c>
    </row>
    <row r="279" spans="2:2" x14ac:dyDescent="0.25">
      <c r="B279" t="s">
        <v>2134</v>
      </c>
    </row>
    <row r="280" spans="2:2" x14ac:dyDescent="0.25">
      <c r="B280" t="s">
        <v>2135</v>
      </c>
    </row>
    <row r="281" spans="2:2" x14ac:dyDescent="0.25">
      <c r="B281" t="s">
        <v>2136</v>
      </c>
    </row>
    <row r="282" spans="2:2" x14ac:dyDescent="0.25">
      <c r="B282" t="s">
        <v>2137</v>
      </c>
    </row>
    <row r="283" spans="2:2" x14ac:dyDescent="0.25">
      <c r="B283" t="s">
        <v>2138</v>
      </c>
    </row>
    <row r="284" spans="2:2" x14ac:dyDescent="0.25">
      <c r="B284" t="s">
        <v>2139</v>
      </c>
    </row>
    <row r="285" spans="2:2" x14ac:dyDescent="0.25">
      <c r="B285" t="s">
        <v>2140</v>
      </c>
    </row>
    <row r="286" spans="2:2" x14ac:dyDescent="0.25">
      <c r="B286" t="s">
        <v>2141</v>
      </c>
    </row>
    <row r="287" spans="2:2" x14ac:dyDescent="0.25">
      <c r="B287" t="s">
        <v>2142</v>
      </c>
    </row>
    <row r="288" spans="2:2" x14ac:dyDescent="0.25">
      <c r="B288" t="s">
        <v>2143</v>
      </c>
    </row>
    <row r="289" spans="2:2" x14ac:dyDescent="0.25">
      <c r="B289" t="s">
        <v>2144</v>
      </c>
    </row>
    <row r="290" spans="2:2" x14ac:dyDescent="0.25">
      <c r="B290" t="s">
        <v>2145</v>
      </c>
    </row>
    <row r="291" spans="2:2" x14ac:dyDescent="0.25">
      <c r="B291" t="s">
        <v>2146</v>
      </c>
    </row>
    <row r="292" spans="2:2" x14ac:dyDescent="0.25">
      <c r="B292" t="s">
        <v>2147</v>
      </c>
    </row>
    <row r="293" spans="2:2" x14ac:dyDescent="0.25">
      <c r="B293" t="s">
        <v>2148</v>
      </c>
    </row>
    <row r="294" spans="2:2" x14ac:dyDescent="0.25">
      <c r="B294" t="s">
        <v>2149</v>
      </c>
    </row>
    <row r="295" spans="2:2" x14ac:dyDescent="0.25">
      <c r="B295" t="s">
        <v>2150</v>
      </c>
    </row>
    <row r="296" spans="2:2" x14ac:dyDescent="0.25">
      <c r="B296" t="s">
        <v>2151</v>
      </c>
    </row>
    <row r="297" spans="2:2" x14ac:dyDescent="0.25">
      <c r="B297" t="s">
        <v>2152</v>
      </c>
    </row>
    <row r="298" spans="2:2" x14ac:dyDescent="0.25">
      <c r="B298" t="s">
        <v>2153</v>
      </c>
    </row>
    <row r="299" spans="2:2" x14ac:dyDescent="0.25">
      <c r="B299" t="s">
        <v>2154</v>
      </c>
    </row>
    <row r="300" spans="2:2" x14ac:dyDescent="0.25">
      <c r="B300" t="s">
        <v>2155</v>
      </c>
    </row>
    <row r="301" spans="2:2" x14ac:dyDescent="0.25">
      <c r="B301" t="s">
        <v>2156</v>
      </c>
    </row>
    <row r="302" spans="2:2" x14ac:dyDescent="0.25">
      <c r="B302" t="s">
        <v>2157</v>
      </c>
    </row>
    <row r="303" spans="2:2" x14ac:dyDescent="0.25">
      <c r="B303" t="s">
        <v>2158</v>
      </c>
    </row>
    <row r="304" spans="2:2" x14ac:dyDescent="0.25">
      <c r="B304" t="s">
        <v>2159</v>
      </c>
    </row>
    <row r="305" spans="2:2" x14ac:dyDescent="0.25">
      <c r="B305" t="s">
        <v>2160</v>
      </c>
    </row>
    <row r="306" spans="2:2" x14ac:dyDescent="0.25">
      <c r="B306" t="s">
        <v>2161</v>
      </c>
    </row>
    <row r="307" spans="2:2" x14ac:dyDescent="0.25">
      <c r="B307" t="s">
        <v>2162</v>
      </c>
    </row>
    <row r="308" spans="2:2" x14ac:dyDescent="0.25">
      <c r="B308" t="s">
        <v>2163</v>
      </c>
    </row>
    <row r="309" spans="2:2" x14ac:dyDescent="0.25">
      <c r="B309" t="s">
        <v>2164</v>
      </c>
    </row>
    <row r="310" spans="2:2" x14ac:dyDescent="0.25">
      <c r="B310" t="s">
        <v>2165</v>
      </c>
    </row>
    <row r="311" spans="2:2" x14ac:dyDescent="0.25">
      <c r="B311" t="s">
        <v>2166</v>
      </c>
    </row>
    <row r="312" spans="2:2" x14ac:dyDescent="0.25">
      <c r="B312" t="s">
        <v>2166</v>
      </c>
    </row>
    <row r="313" spans="2:2" x14ac:dyDescent="0.25">
      <c r="B313" t="s">
        <v>2167</v>
      </c>
    </row>
    <row r="314" spans="2:2" x14ac:dyDescent="0.25">
      <c r="B314" t="s">
        <v>2168</v>
      </c>
    </row>
    <row r="315" spans="2:2" x14ac:dyDescent="0.25">
      <c r="B315" t="s">
        <v>2169</v>
      </c>
    </row>
    <row r="316" spans="2:2" x14ac:dyDescent="0.25">
      <c r="B316" t="s">
        <v>2170</v>
      </c>
    </row>
    <row r="317" spans="2:2" x14ac:dyDescent="0.25">
      <c r="B317" t="s">
        <v>2171</v>
      </c>
    </row>
    <row r="318" spans="2:2" x14ac:dyDescent="0.25">
      <c r="B318" t="s">
        <v>2172</v>
      </c>
    </row>
    <row r="319" spans="2:2" x14ac:dyDescent="0.25">
      <c r="B319" t="s">
        <v>2173</v>
      </c>
    </row>
    <row r="320" spans="2:2" x14ac:dyDescent="0.25">
      <c r="B320" t="s">
        <v>2174</v>
      </c>
    </row>
    <row r="321" spans="2:2" x14ac:dyDescent="0.25">
      <c r="B321" t="s">
        <v>2175</v>
      </c>
    </row>
    <row r="322" spans="2:2" x14ac:dyDescent="0.25">
      <c r="B322" t="s">
        <v>2176</v>
      </c>
    </row>
    <row r="323" spans="2:2" x14ac:dyDescent="0.25">
      <c r="B323" t="s">
        <v>2177</v>
      </c>
    </row>
    <row r="324" spans="2:2" x14ac:dyDescent="0.25">
      <c r="B324" t="s">
        <v>2178</v>
      </c>
    </row>
    <row r="325" spans="2:2" x14ac:dyDescent="0.25">
      <c r="B325" t="s">
        <v>2179</v>
      </c>
    </row>
    <row r="326" spans="2:2" x14ac:dyDescent="0.25">
      <c r="B326" t="s">
        <v>2180</v>
      </c>
    </row>
    <row r="327" spans="2:2" x14ac:dyDescent="0.25">
      <c r="B327" t="s">
        <v>2181</v>
      </c>
    </row>
    <row r="328" spans="2:2" x14ac:dyDescent="0.25">
      <c r="B328" t="s">
        <v>2182</v>
      </c>
    </row>
    <row r="329" spans="2:2" x14ac:dyDescent="0.25">
      <c r="B329" t="s">
        <v>2183</v>
      </c>
    </row>
    <row r="330" spans="2:2" x14ac:dyDescent="0.25">
      <c r="B330" t="s">
        <v>2184</v>
      </c>
    </row>
    <row r="331" spans="2:2" x14ac:dyDescent="0.25">
      <c r="B331" t="s">
        <v>2185</v>
      </c>
    </row>
    <row r="332" spans="2:2" x14ac:dyDescent="0.25">
      <c r="B332" t="s">
        <v>2186</v>
      </c>
    </row>
    <row r="333" spans="2:2" x14ac:dyDescent="0.25">
      <c r="B333" t="s">
        <v>2187</v>
      </c>
    </row>
    <row r="334" spans="2:2" x14ac:dyDescent="0.25">
      <c r="B334" t="s">
        <v>2188</v>
      </c>
    </row>
    <row r="335" spans="2:2" x14ac:dyDescent="0.25">
      <c r="B335" t="s">
        <v>2189</v>
      </c>
    </row>
    <row r="336" spans="2:2" x14ac:dyDescent="0.25">
      <c r="B336" t="s">
        <v>2190</v>
      </c>
    </row>
    <row r="337" spans="2:2" x14ac:dyDescent="0.25">
      <c r="B337" t="s">
        <v>2191</v>
      </c>
    </row>
    <row r="338" spans="2:2" x14ac:dyDescent="0.25">
      <c r="B338" t="s">
        <v>2192</v>
      </c>
    </row>
    <row r="339" spans="2:2" x14ac:dyDescent="0.25">
      <c r="B339" t="s">
        <v>2193</v>
      </c>
    </row>
    <row r="340" spans="2:2" x14ac:dyDescent="0.25">
      <c r="B340" t="s">
        <v>2194</v>
      </c>
    </row>
    <row r="341" spans="2:2" x14ac:dyDescent="0.25">
      <c r="B341" t="s">
        <v>2195</v>
      </c>
    </row>
    <row r="342" spans="2:2" x14ac:dyDescent="0.25">
      <c r="B342" t="s">
        <v>2196</v>
      </c>
    </row>
    <row r="343" spans="2:2" x14ac:dyDescent="0.25">
      <c r="B343" t="s">
        <v>2197</v>
      </c>
    </row>
    <row r="344" spans="2:2" x14ac:dyDescent="0.25">
      <c r="B344" t="s">
        <v>2198</v>
      </c>
    </row>
    <row r="345" spans="2:2" x14ac:dyDescent="0.25">
      <c r="B345" t="s">
        <v>2199</v>
      </c>
    </row>
    <row r="346" spans="2:2" x14ac:dyDescent="0.25">
      <c r="B346" t="s">
        <v>2200</v>
      </c>
    </row>
    <row r="347" spans="2:2" x14ac:dyDescent="0.25">
      <c r="B347" t="s">
        <v>2201</v>
      </c>
    </row>
    <row r="348" spans="2:2" x14ac:dyDescent="0.25">
      <c r="B348" t="s">
        <v>2202</v>
      </c>
    </row>
    <row r="349" spans="2:2" x14ac:dyDescent="0.25">
      <c r="B349" t="s">
        <v>2203</v>
      </c>
    </row>
    <row r="350" spans="2:2" x14ac:dyDescent="0.25">
      <c r="B350" t="s">
        <v>2204</v>
      </c>
    </row>
    <row r="351" spans="2:2" x14ac:dyDescent="0.25">
      <c r="B351" t="s">
        <v>2205</v>
      </c>
    </row>
    <row r="352" spans="2:2" x14ac:dyDescent="0.25">
      <c r="B352" t="s">
        <v>2206</v>
      </c>
    </row>
    <row r="353" spans="2:2" x14ac:dyDescent="0.25">
      <c r="B353" t="s">
        <v>2207</v>
      </c>
    </row>
    <row r="354" spans="2:2" x14ac:dyDescent="0.25">
      <c r="B354" t="s">
        <v>2208</v>
      </c>
    </row>
    <row r="355" spans="2:2" x14ac:dyDescent="0.25">
      <c r="B355" t="s">
        <v>2209</v>
      </c>
    </row>
    <row r="356" spans="2:2" x14ac:dyDescent="0.25">
      <c r="B356" t="s">
        <v>2210</v>
      </c>
    </row>
    <row r="357" spans="2:2" x14ac:dyDescent="0.25">
      <c r="B357" t="s">
        <v>2211</v>
      </c>
    </row>
    <row r="358" spans="2:2" x14ac:dyDescent="0.25">
      <c r="B358" t="s">
        <v>2212</v>
      </c>
    </row>
    <row r="359" spans="2:2" x14ac:dyDescent="0.25">
      <c r="B359" t="s">
        <v>2213</v>
      </c>
    </row>
    <row r="360" spans="2:2" x14ac:dyDescent="0.25">
      <c r="B360" t="s">
        <v>2214</v>
      </c>
    </row>
    <row r="361" spans="2:2" x14ac:dyDescent="0.25">
      <c r="B361" t="s">
        <v>2215</v>
      </c>
    </row>
    <row r="362" spans="2:2" x14ac:dyDescent="0.25">
      <c r="B362" t="s">
        <v>2216</v>
      </c>
    </row>
    <row r="363" spans="2:2" x14ac:dyDescent="0.25">
      <c r="B363" t="s">
        <v>2217</v>
      </c>
    </row>
    <row r="364" spans="2:2" x14ac:dyDescent="0.25">
      <c r="B364" t="s">
        <v>2217</v>
      </c>
    </row>
    <row r="365" spans="2:2" x14ac:dyDescent="0.25">
      <c r="B365" t="s">
        <v>2218</v>
      </c>
    </row>
    <row r="366" spans="2:2" x14ac:dyDescent="0.25">
      <c r="B366" t="s">
        <v>2219</v>
      </c>
    </row>
    <row r="367" spans="2:2" x14ac:dyDescent="0.25">
      <c r="B367" t="s">
        <v>2220</v>
      </c>
    </row>
    <row r="368" spans="2:2" x14ac:dyDescent="0.25">
      <c r="B368" t="s">
        <v>2046</v>
      </c>
    </row>
    <row r="369" spans="2:2" x14ac:dyDescent="0.25">
      <c r="B369" t="s">
        <v>2221</v>
      </c>
    </row>
    <row r="370" spans="2:2" x14ac:dyDescent="0.25">
      <c r="B370" t="s">
        <v>2222</v>
      </c>
    </row>
    <row r="371" spans="2:2" x14ac:dyDescent="0.25">
      <c r="B371" t="s">
        <v>2223</v>
      </c>
    </row>
    <row r="372" spans="2:2" x14ac:dyDescent="0.25">
      <c r="B372" t="s">
        <v>2223</v>
      </c>
    </row>
    <row r="373" spans="2:2" x14ac:dyDescent="0.25">
      <c r="B373" t="s">
        <v>2224</v>
      </c>
    </row>
    <row r="374" spans="2:2" x14ac:dyDescent="0.25">
      <c r="B374" t="s">
        <v>2225</v>
      </c>
    </row>
    <row r="375" spans="2:2" x14ac:dyDescent="0.25">
      <c r="B375" t="s">
        <v>2226</v>
      </c>
    </row>
    <row r="376" spans="2:2" x14ac:dyDescent="0.25">
      <c r="B376" t="s">
        <v>2227</v>
      </c>
    </row>
    <row r="377" spans="2:2" x14ac:dyDescent="0.25">
      <c r="B377" t="s">
        <v>2228</v>
      </c>
    </row>
    <row r="378" spans="2:2" x14ac:dyDescent="0.25">
      <c r="B378" t="s">
        <v>2229</v>
      </c>
    </row>
    <row r="379" spans="2:2" x14ac:dyDescent="0.25">
      <c r="B379" t="s">
        <v>2230</v>
      </c>
    </row>
    <row r="380" spans="2:2" x14ac:dyDescent="0.25">
      <c r="B380" t="s">
        <v>2231</v>
      </c>
    </row>
    <row r="381" spans="2:2" x14ac:dyDescent="0.25">
      <c r="B381" t="s">
        <v>2232</v>
      </c>
    </row>
    <row r="382" spans="2:2" x14ac:dyDescent="0.25">
      <c r="B382" t="s">
        <v>2233</v>
      </c>
    </row>
    <row r="383" spans="2:2" x14ac:dyDescent="0.25">
      <c r="B383" t="s">
        <v>2234</v>
      </c>
    </row>
    <row r="384" spans="2:2" x14ac:dyDescent="0.25">
      <c r="B384" t="s">
        <v>2235</v>
      </c>
    </row>
    <row r="385" spans="2:2" x14ac:dyDescent="0.25">
      <c r="B385" t="s">
        <v>2236</v>
      </c>
    </row>
    <row r="386" spans="2:2" x14ac:dyDescent="0.25">
      <c r="B386" t="s">
        <v>2237</v>
      </c>
    </row>
    <row r="387" spans="2:2" x14ac:dyDescent="0.25">
      <c r="B387" t="s">
        <v>2238</v>
      </c>
    </row>
    <row r="388" spans="2:2" x14ac:dyDescent="0.25">
      <c r="B388" t="s">
        <v>2239</v>
      </c>
    </row>
    <row r="389" spans="2:2" x14ac:dyDescent="0.25">
      <c r="B389" t="s">
        <v>2240</v>
      </c>
    </row>
    <row r="390" spans="2:2" x14ac:dyDescent="0.25">
      <c r="B390" t="s">
        <v>2241</v>
      </c>
    </row>
    <row r="391" spans="2:2" x14ac:dyDescent="0.25">
      <c r="B391" t="s">
        <v>2242</v>
      </c>
    </row>
    <row r="392" spans="2:2" x14ac:dyDescent="0.25">
      <c r="B392" t="s">
        <v>2243</v>
      </c>
    </row>
    <row r="393" spans="2:2" x14ac:dyDescent="0.25">
      <c r="B393" t="s">
        <v>2244</v>
      </c>
    </row>
    <row r="394" spans="2:2" x14ac:dyDescent="0.25">
      <c r="B394" t="s">
        <v>2245</v>
      </c>
    </row>
    <row r="395" spans="2:2" x14ac:dyDescent="0.25">
      <c r="B395" t="s">
        <v>2246</v>
      </c>
    </row>
    <row r="396" spans="2:2" x14ac:dyDescent="0.25">
      <c r="B396" t="s">
        <v>2247</v>
      </c>
    </row>
    <row r="397" spans="2:2" x14ac:dyDescent="0.25">
      <c r="B397" t="s">
        <v>2248</v>
      </c>
    </row>
    <row r="398" spans="2:2" x14ac:dyDescent="0.25">
      <c r="B398" t="s">
        <v>2249</v>
      </c>
    </row>
    <row r="399" spans="2:2" x14ac:dyDescent="0.25">
      <c r="B399" t="s">
        <v>2250</v>
      </c>
    </row>
    <row r="400" spans="2:2" x14ac:dyDescent="0.25">
      <c r="B400" t="s">
        <v>2251</v>
      </c>
    </row>
    <row r="401" spans="2:2" x14ac:dyDescent="0.25">
      <c r="B401" t="s">
        <v>2252</v>
      </c>
    </row>
    <row r="402" spans="2:2" x14ac:dyDescent="0.25">
      <c r="B402" t="s">
        <v>2253</v>
      </c>
    </row>
    <row r="403" spans="2:2" x14ac:dyDescent="0.25">
      <c r="B403" t="s">
        <v>2254</v>
      </c>
    </row>
    <row r="404" spans="2:2" x14ac:dyDescent="0.25">
      <c r="B404" t="s">
        <v>2255</v>
      </c>
    </row>
    <row r="405" spans="2:2" x14ac:dyDescent="0.25">
      <c r="B405" t="s">
        <v>2256</v>
      </c>
    </row>
    <row r="406" spans="2:2" x14ac:dyDescent="0.25">
      <c r="B406" t="s">
        <v>2257</v>
      </c>
    </row>
    <row r="407" spans="2:2" x14ac:dyDescent="0.25">
      <c r="B407" t="s">
        <v>2258</v>
      </c>
    </row>
    <row r="408" spans="2:2" x14ac:dyDescent="0.25">
      <c r="B408" t="s">
        <v>2259</v>
      </c>
    </row>
    <row r="409" spans="2:2" x14ac:dyDescent="0.25">
      <c r="B409" t="s">
        <v>2260</v>
      </c>
    </row>
    <row r="410" spans="2:2" x14ac:dyDescent="0.25">
      <c r="B410" t="s">
        <v>2261</v>
      </c>
    </row>
    <row r="411" spans="2:2" x14ac:dyDescent="0.25">
      <c r="B411" t="s">
        <v>2262</v>
      </c>
    </row>
    <row r="412" spans="2:2" x14ac:dyDescent="0.25">
      <c r="B412" t="s">
        <v>2263</v>
      </c>
    </row>
    <row r="413" spans="2:2" x14ac:dyDescent="0.25">
      <c r="B413" t="s">
        <v>2264</v>
      </c>
    </row>
    <row r="414" spans="2:2" x14ac:dyDescent="0.25">
      <c r="B414" t="s">
        <v>2265</v>
      </c>
    </row>
    <row r="415" spans="2:2" x14ac:dyDescent="0.25">
      <c r="B415" t="s">
        <v>2266</v>
      </c>
    </row>
    <row r="416" spans="2:2" x14ac:dyDescent="0.25">
      <c r="B416" t="s">
        <v>2267</v>
      </c>
    </row>
    <row r="417" spans="2:2" x14ac:dyDescent="0.25">
      <c r="B417" t="s">
        <v>2268</v>
      </c>
    </row>
    <row r="418" spans="2:2" x14ac:dyDescent="0.25">
      <c r="B418" t="s">
        <v>2269</v>
      </c>
    </row>
    <row r="419" spans="2:2" x14ac:dyDescent="0.25">
      <c r="B419" t="s">
        <v>2270</v>
      </c>
    </row>
    <row r="420" spans="2:2" x14ac:dyDescent="0.25">
      <c r="B420" t="s">
        <v>2271</v>
      </c>
    </row>
    <row r="421" spans="2:2" x14ac:dyDescent="0.25">
      <c r="B421" t="s">
        <v>235</v>
      </c>
    </row>
    <row r="422" spans="2:2" x14ac:dyDescent="0.25">
      <c r="B422" t="s">
        <v>2272</v>
      </c>
    </row>
    <row r="423" spans="2:2" x14ac:dyDescent="0.25">
      <c r="B423" t="s">
        <v>2273</v>
      </c>
    </row>
    <row r="424" spans="2:2" x14ac:dyDescent="0.25">
      <c r="B424" t="s">
        <v>2274</v>
      </c>
    </row>
    <row r="425" spans="2:2" x14ac:dyDescent="0.25">
      <c r="B425" t="s">
        <v>2275</v>
      </c>
    </row>
    <row r="426" spans="2:2" x14ac:dyDescent="0.25">
      <c r="B426" t="s">
        <v>2276</v>
      </c>
    </row>
    <row r="427" spans="2:2" x14ac:dyDescent="0.25">
      <c r="B427" t="s">
        <v>2277</v>
      </c>
    </row>
    <row r="428" spans="2:2" x14ac:dyDescent="0.25">
      <c r="B428" t="s">
        <v>2278</v>
      </c>
    </row>
    <row r="429" spans="2:2" x14ac:dyDescent="0.25">
      <c r="B429" t="s">
        <v>2275</v>
      </c>
    </row>
    <row r="430" spans="2:2" x14ac:dyDescent="0.25">
      <c r="B430" t="s">
        <v>2279</v>
      </c>
    </row>
    <row r="431" spans="2:2" x14ac:dyDescent="0.25">
      <c r="B431" t="s">
        <v>2280</v>
      </c>
    </row>
    <row r="432" spans="2:2" x14ac:dyDescent="0.25">
      <c r="B432" t="s">
        <v>603</v>
      </c>
    </row>
    <row r="433" spans="2:2" x14ac:dyDescent="0.25">
      <c r="B433" t="s">
        <v>2275</v>
      </c>
    </row>
    <row r="434" spans="2:2" x14ac:dyDescent="0.25">
      <c r="B434" t="s">
        <v>2281</v>
      </c>
    </row>
    <row r="435" spans="2:2" x14ac:dyDescent="0.25">
      <c r="B435" t="s">
        <v>2282</v>
      </c>
    </row>
    <row r="436" spans="2:2" x14ac:dyDescent="0.25">
      <c r="B436" t="s">
        <v>2283</v>
      </c>
    </row>
    <row r="437" spans="2:2" x14ac:dyDescent="0.25">
      <c r="B437" t="s">
        <v>2284</v>
      </c>
    </row>
    <row r="438" spans="2:2" x14ac:dyDescent="0.25">
      <c r="B438" t="s">
        <v>2285</v>
      </c>
    </row>
    <row r="439" spans="2:2" x14ac:dyDescent="0.25">
      <c r="B439" t="s">
        <v>2286</v>
      </c>
    </row>
    <row r="440" spans="2:2" x14ac:dyDescent="0.25">
      <c r="B440" t="s">
        <v>2287</v>
      </c>
    </row>
    <row r="441" spans="2:2" x14ac:dyDescent="0.25">
      <c r="B441" t="s">
        <v>2288</v>
      </c>
    </row>
    <row r="442" spans="2:2" x14ac:dyDescent="0.25">
      <c r="B442" t="s">
        <v>2289</v>
      </c>
    </row>
    <row r="443" spans="2:2" x14ac:dyDescent="0.25">
      <c r="B443" t="s">
        <v>2290</v>
      </c>
    </row>
    <row r="444" spans="2:2" x14ac:dyDescent="0.25">
      <c r="B444" t="s">
        <v>2291</v>
      </c>
    </row>
    <row r="445" spans="2:2" x14ac:dyDescent="0.25">
      <c r="B445" t="s">
        <v>2275</v>
      </c>
    </row>
    <row r="446" spans="2:2" x14ac:dyDescent="0.25">
      <c r="B446" t="s">
        <v>2292</v>
      </c>
    </row>
    <row r="447" spans="2:2" x14ac:dyDescent="0.25">
      <c r="B447" t="s">
        <v>2293</v>
      </c>
    </row>
    <row r="448" spans="2:2" x14ac:dyDescent="0.25">
      <c r="B448" t="s">
        <v>2294</v>
      </c>
    </row>
    <row r="449" spans="2:2" x14ac:dyDescent="0.25">
      <c r="B449" t="s">
        <v>2295</v>
      </c>
    </row>
    <row r="450" spans="2:2" x14ac:dyDescent="0.25">
      <c r="B450" t="s">
        <v>2296</v>
      </c>
    </row>
    <row r="451" spans="2:2" x14ac:dyDescent="0.25">
      <c r="B451" t="s">
        <v>2297</v>
      </c>
    </row>
    <row r="452" spans="2:2" x14ac:dyDescent="0.25">
      <c r="B452" t="s">
        <v>2298</v>
      </c>
    </row>
    <row r="453" spans="2:2" x14ac:dyDescent="0.25">
      <c r="B453" t="s">
        <v>2299</v>
      </c>
    </row>
    <row r="454" spans="2:2" x14ac:dyDescent="0.25">
      <c r="B454" t="s">
        <v>2300</v>
      </c>
    </row>
    <row r="455" spans="2:2" x14ac:dyDescent="0.25">
      <c r="B455" t="s">
        <v>2261</v>
      </c>
    </row>
    <row r="456" spans="2:2" x14ac:dyDescent="0.25">
      <c r="B456" t="s">
        <v>2301</v>
      </c>
    </row>
    <row r="457" spans="2:2" x14ac:dyDescent="0.25">
      <c r="B457" t="s">
        <v>2275</v>
      </c>
    </row>
    <row r="458" spans="2:2" x14ac:dyDescent="0.25">
      <c r="B458" t="s">
        <v>2302</v>
      </c>
    </row>
    <row r="459" spans="2:2" x14ac:dyDescent="0.25">
      <c r="B459" t="s">
        <v>2275</v>
      </c>
    </row>
    <row r="460" spans="2:2" x14ac:dyDescent="0.25">
      <c r="B460" t="s">
        <v>2275</v>
      </c>
    </row>
    <row r="461" spans="2:2" x14ac:dyDescent="0.25">
      <c r="B461" t="s">
        <v>2303</v>
      </c>
    </row>
    <row r="462" spans="2:2" x14ac:dyDescent="0.25">
      <c r="B462" t="s">
        <v>2304</v>
      </c>
    </row>
    <row r="463" spans="2:2" x14ac:dyDescent="0.25">
      <c r="B463" t="s">
        <v>2305</v>
      </c>
    </row>
    <row r="464" spans="2:2" x14ac:dyDescent="0.25">
      <c r="B464" t="s">
        <v>2306</v>
      </c>
    </row>
    <row r="465" spans="2:2" x14ac:dyDescent="0.25">
      <c r="B465" t="s">
        <v>2307</v>
      </c>
    </row>
    <row r="466" spans="2:2" x14ac:dyDescent="0.25">
      <c r="B466" t="s">
        <v>2275</v>
      </c>
    </row>
    <row r="467" spans="2:2" x14ac:dyDescent="0.25">
      <c r="B467" t="s">
        <v>2308</v>
      </c>
    </row>
    <row r="468" spans="2:2" x14ac:dyDescent="0.25">
      <c r="B468" t="s">
        <v>2309</v>
      </c>
    </row>
    <row r="469" spans="2:2" x14ac:dyDescent="0.25">
      <c r="B469" t="s">
        <v>2310</v>
      </c>
    </row>
    <row r="470" spans="2:2" x14ac:dyDescent="0.25">
      <c r="B470" t="s">
        <v>2275</v>
      </c>
    </row>
    <row r="471" spans="2:2" x14ac:dyDescent="0.25">
      <c r="B471" t="s">
        <v>2311</v>
      </c>
    </row>
    <row r="472" spans="2:2" x14ac:dyDescent="0.25">
      <c r="B472" t="s">
        <v>237</v>
      </c>
    </row>
    <row r="473" spans="2:2" x14ac:dyDescent="0.25">
      <c r="B473" t="s">
        <v>2275</v>
      </c>
    </row>
    <row r="474" spans="2:2" x14ac:dyDescent="0.25">
      <c r="B474" t="s">
        <v>2312</v>
      </c>
    </row>
    <row r="475" spans="2:2" x14ac:dyDescent="0.25">
      <c r="B475" t="s">
        <v>2275</v>
      </c>
    </row>
    <row r="476" spans="2:2" x14ac:dyDescent="0.25">
      <c r="B476" t="s">
        <v>2313</v>
      </c>
    </row>
    <row r="477" spans="2:2" x14ac:dyDescent="0.25">
      <c r="B477" t="s">
        <v>2314</v>
      </c>
    </row>
    <row r="478" spans="2:2" x14ac:dyDescent="0.25">
      <c r="B478" t="s">
        <v>2315</v>
      </c>
    </row>
    <row r="479" spans="2:2" x14ac:dyDescent="0.25">
      <c r="B479" t="s">
        <v>2316</v>
      </c>
    </row>
    <row r="480" spans="2:2" x14ac:dyDescent="0.25">
      <c r="B480" t="s">
        <v>2317</v>
      </c>
    </row>
    <row r="481" spans="2:2" x14ac:dyDescent="0.25">
      <c r="B481" t="s">
        <v>2275</v>
      </c>
    </row>
    <row r="482" spans="2:2" x14ac:dyDescent="0.25">
      <c r="B482" t="s">
        <v>2318</v>
      </c>
    </row>
    <row r="483" spans="2:2" x14ac:dyDescent="0.25">
      <c r="B483" t="s">
        <v>2319</v>
      </c>
    </row>
    <row r="484" spans="2:2" x14ac:dyDescent="0.25">
      <c r="B484" t="s">
        <v>2320</v>
      </c>
    </row>
    <row r="485" spans="2:2" x14ac:dyDescent="0.25">
      <c r="B485" t="s">
        <v>2275</v>
      </c>
    </row>
    <row r="486" spans="2:2" x14ac:dyDescent="0.25">
      <c r="B486" t="s">
        <v>2321</v>
      </c>
    </row>
    <row r="487" spans="2:2" x14ac:dyDescent="0.25">
      <c r="B487" t="s">
        <v>2275</v>
      </c>
    </row>
    <row r="488" spans="2:2" x14ac:dyDescent="0.25">
      <c r="B488" t="s">
        <v>2275</v>
      </c>
    </row>
    <row r="489" spans="2:2" x14ac:dyDescent="0.25">
      <c r="B489" t="s">
        <v>2322</v>
      </c>
    </row>
    <row r="490" spans="2:2" x14ac:dyDescent="0.25">
      <c r="B490" t="s">
        <v>2323</v>
      </c>
    </row>
    <row r="491" spans="2:2" x14ac:dyDescent="0.25">
      <c r="B491" t="s">
        <v>2324</v>
      </c>
    </row>
    <row r="492" spans="2:2" x14ac:dyDescent="0.25">
      <c r="B492" t="s">
        <v>2275</v>
      </c>
    </row>
    <row r="493" spans="2:2" x14ac:dyDescent="0.25">
      <c r="B493" t="s">
        <v>2325</v>
      </c>
    </row>
    <row r="494" spans="2:2" x14ac:dyDescent="0.25">
      <c r="B494" t="s">
        <v>2326</v>
      </c>
    </row>
    <row r="495" spans="2:2" x14ac:dyDescent="0.25">
      <c r="B495" t="s">
        <v>2327</v>
      </c>
    </row>
    <row r="496" spans="2:2" x14ac:dyDescent="0.25">
      <c r="B496" t="s">
        <v>2275</v>
      </c>
    </row>
    <row r="497" spans="2:2" x14ac:dyDescent="0.25">
      <c r="B497" t="s">
        <v>2275</v>
      </c>
    </row>
    <row r="498" spans="2:2" x14ac:dyDescent="0.25">
      <c r="B498" t="s">
        <v>2328</v>
      </c>
    </row>
    <row r="499" spans="2:2" x14ac:dyDescent="0.25">
      <c r="B499" t="s">
        <v>2329</v>
      </c>
    </row>
    <row r="500" spans="2:2" x14ac:dyDescent="0.25">
      <c r="B500" t="s">
        <v>2330</v>
      </c>
    </row>
    <row r="501" spans="2:2" x14ac:dyDescent="0.25">
      <c r="B501" t="s">
        <v>2331</v>
      </c>
    </row>
    <row r="502" spans="2:2" x14ac:dyDescent="0.25">
      <c r="B502" t="s">
        <v>2332</v>
      </c>
    </row>
    <row r="503" spans="2:2" x14ac:dyDescent="0.25">
      <c r="B503" t="s">
        <v>2333</v>
      </c>
    </row>
    <row r="504" spans="2:2" x14ac:dyDescent="0.25">
      <c r="B504" t="s">
        <v>2275</v>
      </c>
    </row>
    <row r="505" spans="2:2" x14ac:dyDescent="0.25">
      <c r="B505" t="s">
        <v>2275</v>
      </c>
    </row>
    <row r="506" spans="2:2" x14ac:dyDescent="0.25">
      <c r="B506" t="s">
        <v>2334</v>
      </c>
    </row>
    <row r="507" spans="2:2" x14ac:dyDescent="0.25">
      <c r="B507" t="s">
        <v>2335</v>
      </c>
    </row>
    <row r="508" spans="2:2" x14ac:dyDescent="0.25">
      <c r="B508" t="s">
        <v>2336</v>
      </c>
    </row>
    <row r="509" spans="2:2" x14ac:dyDescent="0.25">
      <c r="B509" t="s">
        <v>2337</v>
      </c>
    </row>
    <row r="510" spans="2:2" x14ac:dyDescent="0.25">
      <c r="B510" t="s">
        <v>2338</v>
      </c>
    </row>
    <row r="511" spans="2:2" x14ac:dyDescent="0.25">
      <c r="B511" t="s">
        <v>2339</v>
      </c>
    </row>
    <row r="512" spans="2:2" x14ac:dyDescent="0.25">
      <c r="B512" t="s">
        <v>2340</v>
      </c>
    </row>
    <row r="513" spans="2:2" x14ac:dyDescent="0.25">
      <c r="B513" t="s">
        <v>2341</v>
      </c>
    </row>
    <row r="514" spans="2:2" x14ac:dyDescent="0.25">
      <c r="B514" t="s">
        <v>2275</v>
      </c>
    </row>
    <row r="515" spans="2:2" x14ac:dyDescent="0.25">
      <c r="B515" t="s">
        <v>225</v>
      </c>
    </row>
    <row r="516" spans="2:2" x14ac:dyDescent="0.25">
      <c r="B516" t="s">
        <v>2342</v>
      </c>
    </row>
    <row r="517" spans="2:2" x14ac:dyDescent="0.25">
      <c r="B517" t="s">
        <v>2343</v>
      </c>
    </row>
    <row r="518" spans="2:2" x14ac:dyDescent="0.25">
      <c r="B518" t="s">
        <v>2344</v>
      </c>
    </row>
    <row r="519" spans="2:2" x14ac:dyDescent="0.25">
      <c r="B519" t="s">
        <v>2345</v>
      </c>
    </row>
    <row r="520" spans="2:2" x14ac:dyDescent="0.25">
      <c r="B520" t="s">
        <v>2346</v>
      </c>
    </row>
    <row r="521" spans="2:2" x14ac:dyDescent="0.25">
      <c r="B521" t="s">
        <v>2275</v>
      </c>
    </row>
    <row r="522" spans="2:2" x14ac:dyDescent="0.25">
      <c r="B522" t="s">
        <v>2347</v>
      </c>
    </row>
    <row r="523" spans="2:2" x14ac:dyDescent="0.25">
      <c r="B523" t="s">
        <v>2348</v>
      </c>
    </row>
    <row r="524" spans="2:2" x14ac:dyDescent="0.25">
      <c r="B524" t="s">
        <v>2349</v>
      </c>
    </row>
    <row r="525" spans="2:2" x14ac:dyDescent="0.25">
      <c r="B525" t="s">
        <v>2350</v>
      </c>
    </row>
    <row r="526" spans="2:2" x14ac:dyDescent="0.25">
      <c r="B526" t="s">
        <v>2351</v>
      </c>
    </row>
    <row r="527" spans="2:2" x14ac:dyDescent="0.25">
      <c r="B527" t="s">
        <v>2275</v>
      </c>
    </row>
    <row r="528" spans="2:2" x14ac:dyDescent="0.25">
      <c r="B528" t="s">
        <v>2352</v>
      </c>
    </row>
    <row r="529" spans="2:2" x14ac:dyDescent="0.25">
      <c r="B529" t="s">
        <v>2275</v>
      </c>
    </row>
    <row r="530" spans="2:2" x14ac:dyDescent="0.25">
      <c r="B530" t="s">
        <v>2353</v>
      </c>
    </row>
    <row r="531" spans="2:2" x14ac:dyDescent="0.25">
      <c r="B531" t="s">
        <v>2275</v>
      </c>
    </row>
    <row r="532" spans="2:2" x14ac:dyDescent="0.25">
      <c r="B532" t="s">
        <v>2275</v>
      </c>
    </row>
    <row r="533" spans="2:2" x14ac:dyDescent="0.25">
      <c r="B533" t="s">
        <v>2354</v>
      </c>
    </row>
    <row r="534" spans="2:2" x14ac:dyDescent="0.25">
      <c r="B534" t="s">
        <v>2355</v>
      </c>
    </row>
    <row r="535" spans="2:2" x14ac:dyDescent="0.25">
      <c r="B535" t="s">
        <v>2356</v>
      </c>
    </row>
    <row r="536" spans="2:2" x14ac:dyDescent="0.25">
      <c r="B536" t="s">
        <v>2275</v>
      </c>
    </row>
    <row r="537" spans="2:2" x14ac:dyDescent="0.25">
      <c r="B537" t="s">
        <v>2357</v>
      </c>
    </row>
    <row r="538" spans="2:2" x14ac:dyDescent="0.25">
      <c r="B538" t="s">
        <v>2275</v>
      </c>
    </row>
    <row r="539" spans="2:2" x14ac:dyDescent="0.25">
      <c r="B539" t="s">
        <v>2275</v>
      </c>
    </row>
    <row r="540" spans="2:2" x14ac:dyDescent="0.25">
      <c r="B540" t="s">
        <v>2358</v>
      </c>
    </row>
    <row r="541" spans="2:2" x14ac:dyDescent="0.25">
      <c r="B541" t="s">
        <v>2359</v>
      </c>
    </row>
    <row r="542" spans="2:2" x14ac:dyDescent="0.25">
      <c r="B542" t="s">
        <v>2360</v>
      </c>
    </row>
    <row r="543" spans="2:2" x14ac:dyDescent="0.25">
      <c r="B543" t="s">
        <v>2350</v>
      </c>
    </row>
    <row r="544" spans="2:2" x14ac:dyDescent="0.25">
      <c r="B544" t="s">
        <v>2361</v>
      </c>
    </row>
    <row r="545" spans="2:2" x14ac:dyDescent="0.25">
      <c r="B545" t="s">
        <v>2362</v>
      </c>
    </row>
    <row r="546" spans="2:2" x14ac:dyDescent="0.25">
      <c r="B546" t="s">
        <v>2363</v>
      </c>
    </row>
    <row r="547" spans="2:2" x14ac:dyDescent="0.25">
      <c r="B547" t="s">
        <v>2364</v>
      </c>
    </row>
    <row r="548" spans="2:2" x14ac:dyDescent="0.25">
      <c r="B548" t="s">
        <v>2365</v>
      </c>
    </row>
    <row r="549" spans="2:2" x14ac:dyDescent="0.25">
      <c r="B549" t="s">
        <v>2366</v>
      </c>
    </row>
    <row r="550" spans="2:2" x14ac:dyDescent="0.25">
      <c r="B550" t="s">
        <v>2367</v>
      </c>
    </row>
    <row r="551" spans="2:2" x14ac:dyDescent="0.25">
      <c r="B551" t="s">
        <v>2368</v>
      </c>
    </row>
    <row r="552" spans="2:2" x14ac:dyDescent="0.25">
      <c r="B552" t="s">
        <v>2369</v>
      </c>
    </row>
    <row r="553" spans="2:2" x14ac:dyDescent="0.25">
      <c r="B553" t="s">
        <v>230</v>
      </c>
    </row>
    <row r="554" spans="2:2" x14ac:dyDescent="0.25">
      <c r="B554" t="s">
        <v>221</v>
      </c>
    </row>
    <row r="555" spans="2:2" x14ac:dyDescent="0.25">
      <c r="B555" t="s">
        <v>2370</v>
      </c>
    </row>
    <row r="556" spans="2:2" x14ac:dyDescent="0.25">
      <c r="B556" t="s">
        <v>2275</v>
      </c>
    </row>
    <row r="557" spans="2:2" x14ac:dyDescent="0.25">
      <c r="B557" t="s">
        <v>2371</v>
      </c>
    </row>
    <row r="558" spans="2:2" x14ac:dyDescent="0.25">
      <c r="B558" t="s">
        <v>2275</v>
      </c>
    </row>
    <row r="559" spans="2:2" x14ac:dyDescent="0.25">
      <c r="B559" t="s">
        <v>2275</v>
      </c>
    </row>
    <row r="560" spans="2:2" x14ac:dyDescent="0.25">
      <c r="B560" t="s">
        <v>238</v>
      </c>
    </row>
    <row r="561" spans="2:2" x14ac:dyDescent="0.25">
      <c r="B561" t="s">
        <v>2372</v>
      </c>
    </row>
    <row r="562" spans="2:2" x14ac:dyDescent="0.25">
      <c r="B562" t="s">
        <v>233</v>
      </c>
    </row>
    <row r="563" spans="2:2" x14ac:dyDescent="0.25">
      <c r="B563" t="s">
        <v>2373</v>
      </c>
    </row>
    <row r="564" spans="2:2" x14ac:dyDescent="0.25">
      <c r="B564" t="s">
        <v>2046</v>
      </c>
    </row>
    <row r="565" spans="2:2" x14ac:dyDescent="0.25">
      <c r="B565" t="s">
        <v>2374</v>
      </c>
    </row>
    <row r="566" spans="2:2" x14ac:dyDescent="0.25">
      <c r="B566" t="s">
        <v>2375</v>
      </c>
    </row>
    <row r="567" spans="2:2" x14ac:dyDescent="0.25">
      <c r="B567" t="s">
        <v>2376</v>
      </c>
    </row>
    <row r="568" spans="2:2" x14ac:dyDescent="0.25">
      <c r="B568" t="s">
        <v>2377</v>
      </c>
    </row>
    <row r="569" spans="2:2" x14ac:dyDescent="0.25">
      <c r="B569" t="s">
        <v>2378</v>
      </c>
    </row>
    <row r="570" spans="2:2" x14ac:dyDescent="0.25">
      <c r="B570" t="s">
        <v>2379</v>
      </c>
    </row>
    <row r="571" spans="2:2" x14ac:dyDescent="0.25">
      <c r="B571" t="s">
        <v>2275</v>
      </c>
    </row>
    <row r="572" spans="2:2" x14ac:dyDescent="0.25">
      <c r="B572" t="s">
        <v>2380</v>
      </c>
    </row>
    <row r="573" spans="2:2" x14ac:dyDescent="0.25">
      <c r="B573" t="s">
        <v>2381</v>
      </c>
    </row>
    <row r="574" spans="2:2" x14ac:dyDescent="0.25">
      <c r="B574" t="s">
        <v>2382</v>
      </c>
    </row>
    <row r="575" spans="2:2" x14ac:dyDescent="0.25">
      <c r="B575" t="s">
        <v>2383</v>
      </c>
    </row>
    <row r="576" spans="2:2" x14ac:dyDescent="0.25">
      <c r="B576" t="s">
        <v>2384</v>
      </c>
    </row>
    <row r="577" spans="2:2" x14ac:dyDescent="0.25">
      <c r="B577" t="s">
        <v>2385</v>
      </c>
    </row>
    <row r="578" spans="2:2" x14ac:dyDescent="0.25">
      <c r="B578" t="s">
        <v>2385</v>
      </c>
    </row>
    <row r="579" spans="2:2" x14ac:dyDescent="0.25">
      <c r="B579" t="s">
        <v>2275</v>
      </c>
    </row>
    <row r="580" spans="2:2" x14ac:dyDescent="0.25">
      <c r="B580" t="s">
        <v>2386</v>
      </c>
    </row>
    <row r="581" spans="2:2" x14ac:dyDescent="0.25">
      <c r="B581" t="s">
        <v>2387</v>
      </c>
    </row>
    <row r="582" spans="2:2" x14ac:dyDescent="0.25">
      <c r="B582" t="s">
        <v>2388</v>
      </c>
    </row>
    <row r="583" spans="2:2" x14ac:dyDescent="0.25">
      <c r="B583" t="s">
        <v>2389</v>
      </c>
    </row>
    <row r="584" spans="2:2" x14ac:dyDescent="0.25">
      <c r="B584" t="s">
        <v>2390</v>
      </c>
    </row>
    <row r="585" spans="2:2" x14ac:dyDescent="0.25">
      <c r="B585" t="s">
        <v>2275</v>
      </c>
    </row>
    <row r="586" spans="2:2" x14ac:dyDescent="0.25">
      <c r="B586" t="s">
        <v>2391</v>
      </c>
    </row>
    <row r="587" spans="2:2" x14ac:dyDescent="0.25">
      <c r="B587" t="s">
        <v>2275</v>
      </c>
    </row>
    <row r="588" spans="2:2" x14ac:dyDescent="0.25">
      <c r="B588" t="s">
        <v>2392</v>
      </c>
    </row>
    <row r="589" spans="2:2" x14ac:dyDescent="0.25">
      <c r="B589" t="s">
        <v>2393</v>
      </c>
    </row>
    <row r="590" spans="2:2" x14ac:dyDescent="0.25">
      <c r="B590" t="s">
        <v>2394</v>
      </c>
    </row>
    <row r="591" spans="2:2" x14ac:dyDescent="0.25">
      <c r="B591" t="s">
        <v>2395</v>
      </c>
    </row>
    <row r="592" spans="2:2" x14ac:dyDescent="0.25">
      <c r="B592" t="s">
        <v>247</v>
      </c>
    </row>
    <row r="593" spans="2:2" x14ac:dyDescent="0.25">
      <c r="B593" t="s">
        <v>2396</v>
      </c>
    </row>
    <row r="594" spans="2:2" x14ac:dyDescent="0.25">
      <c r="B594" t="s">
        <v>2397</v>
      </c>
    </row>
    <row r="595" spans="2:2" x14ac:dyDescent="0.25">
      <c r="B595" t="s">
        <v>2398</v>
      </c>
    </row>
    <row r="596" spans="2:2" x14ac:dyDescent="0.25">
      <c r="B596" t="s">
        <v>2399</v>
      </c>
    </row>
    <row r="597" spans="2:2" x14ac:dyDescent="0.25">
      <c r="B597" t="s">
        <v>2400</v>
      </c>
    </row>
    <row r="598" spans="2:2" x14ac:dyDescent="0.25">
      <c r="B598" t="s">
        <v>2401</v>
      </c>
    </row>
    <row r="599" spans="2:2" x14ac:dyDescent="0.25">
      <c r="B599" t="s">
        <v>2402</v>
      </c>
    </row>
    <row r="600" spans="2:2" x14ac:dyDescent="0.25">
      <c r="B600" t="s">
        <v>2403</v>
      </c>
    </row>
    <row r="601" spans="2:2" x14ac:dyDescent="0.25">
      <c r="B601" t="s">
        <v>2404</v>
      </c>
    </row>
    <row r="602" spans="2:2" x14ac:dyDescent="0.25">
      <c r="B602" t="s">
        <v>2404</v>
      </c>
    </row>
    <row r="603" spans="2:2" x14ac:dyDescent="0.25">
      <c r="B603" t="s">
        <v>2405</v>
      </c>
    </row>
    <row r="604" spans="2:2" x14ac:dyDescent="0.25">
      <c r="B604" t="s">
        <v>2275</v>
      </c>
    </row>
    <row r="605" spans="2:2" x14ac:dyDescent="0.25">
      <c r="B605" t="s">
        <v>2169</v>
      </c>
    </row>
    <row r="606" spans="2:2" x14ac:dyDescent="0.25">
      <c r="B606" t="s">
        <v>2406</v>
      </c>
    </row>
    <row r="607" spans="2:2" x14ac:dyDescent="0.25">
      <c r="B607" t="s">
        <v>2404</v>
      </c>
    </row>
    <row r="608" spans="2:2" x14ac:dyDescent="0.25">
      <c r="B608" t="s">
        <v>2404</v>
      </c>
    </row>
    <row r="609" spans="2:2" x14ac:dyDescent="0.25">
      <c r="B609" t="s">
        <v>2407</v>
      </c>
    </row>
    <row r="610" spans="2:2" x14ac:dyDescent="0.25">
      <c r="B610" t="s">
        <v>2408</v>
      </c>
    </row>
    <row r="611" spans="2:2" x14ac:dyDescent="0.25">
      <c r="B611" t="s">
        <v>2234</v>
      </c>
    </row>
    <row r="612" spans="2:2" x14ac:dyDescent="0.25">
      <c r="B612" t="s">
        <v>2409</v>
      </c>
    </row>
    <row r="613" spans="2:2" x14ac:dyDescent="0.25">
      <c r="B613" t="s">
        <v>2410</v>
      </c>
    </row>
    <row r="614" spans="2:2" x14ac:dyDescent="0.25">
      <c r="B614" t="s">
        <v>2411</v>
      </c>
    </row>
    <row r="615" spans="2:2" x14ac:dyDescent="0.25">
      <c r="B615" t="s">
        <v>2412</v>
      </c>
    </row>
    <row r="616" spans="2:2" x14ac:dyDescent="0.25">
      <c r="B616" t="s">
        <v>2413</v>
      </c>
    </row>
    <row r="617" spans="2:2" x14ac:dyDescent="0.25">
      <c r="B617" t="s">
        <v>2414</v>
      </c>
    </row>
    <row r="618" spans="2:2" x14ac:dyDescent="0.25">
      <c r="B618" t="s">
        <v>2415</v>
      </c>
    </row>
    <row r="619" spans="2:2" x14ac:dyDescent="0.25">
      <c r="B619" t="s">
        <v>2416</v>
      </c>
    </row>
    <row r="620" spans="2:2" x14ac:dyDescent="0.25">
      <c r="B620" t="s">
        <v>2417</v>
      </c>
    </row>
    <row r="621" spans="2:2" x14ac:dyDescent="0.25">
      <c r="B621" t="s">
        <v>2418</v>
      </c>
    </row>
    <row r="622" spans="2:2" x14ac:dyDescent="0.25">
      <c r="B622" t="s">
        <v>2419</v>
      </c>
    </row>
    <row r="623" spans="2:2" x14ac:dyDescent="0.25">
      <c r="B623" t="s">
        <v>2420</v>
      </c>
    </row>
    <row r="624" spans="2:2" x14ac:dyDescent="0.25">
      <c r="B624" t="s">
        <v>2421</v>
      </c>
    </row>
    <row r="625" spans="2:2" x14ac:dyDescent="0.25">
      <c r="B625" t="s">
        <v>2422</v>
      </c>
    </row>
    <row r="626" spans="2:2" x14ac:dyDescent="0.25">
      <c r="B626" t="s">
        <v>2275</v>
      </c>
    </row>
    <row r="627" spans="2:2" x14ac:dyDescent="0.25">
      <c r="B627" t="s">
        <v>2423</v>
      </c>
    </row>
    <row r="628" spans="2:2" x14ac:dyDescent="0.25">
      <c r="B628" t="s">
        <v>2424</v>
      </c>
    </row>
    <row r="629" spans="2:2" x14ac:dyDescent="0.25">
      <c r="B629" t="s">
        <v>2425</v>
      </c>
    </row>
    <row r="630" spans="2:2" x14ac:dyDescent="0.25">
      <c r="B630" t="s">
        <v>2426</v>
      </c>
    </row>
    <row r="631" spans="2:2" x14ac:dyDescent="0.25">
      <c r="B631" t="s">
        <v>2427</v>
      </c>
    </row>
    <row r="632" spans="2:2" x14ac:dyDescent="0.25">
      <c r="B632" t="s">
        <v>2428</v>
      </c>
    </row>
    <row r="633" spans="2:2" x14ac:dyDescent="0.25">
      <c r="B633" t="s">
        <v>240</v>
      </c>
    </row>
    <row r="634" spans="2:2" x14ac:dyDescent="0.25">
      <c r="B634" t="s">
        <v>2429</v>
      </c>
    </row>
    <row r="635" spans="2:2" x14ac:dyDescent="0.25">
      <c r="B635" t="s">
        <v>2430</v>
      </c>
    </row>
    <row r="636" spans="2:2" x14ac:dyDescent="0.25">
      <c r="B636" t="s">
        <v>2431</v>
      </c>
    </row>
    <row r="637" spans="2:2" x14ac:dyDescent="0.25">
      <c r="B637" t="s">
        <v>2432</v>
      </c>
    </row>
    <row r="638" spans="2:2" x14ac:dyDescent="0.25">
      <c r="B638" t="s">
        <v>2433</v>
      </c>
    </row>
    <row r="639" spans="2:2" x14ac:dyDescent="0.25">
      <c r="B639" t="s">
        <v>2434</v>
      </c>
    </row>
    <row r="640" spans="2:2" x14ac:dyDescent="0.25">
      <c r="B640" t="s">
        <v>2435</v>
      </c>
    </row>
    <row r="641" spans="2:2" x14ac:dyDescent="0.25">
      <c r="B641" t="s">
        <v>2436</v>
      </c>
    </row>
    <row r="642" spans="2:2" x14ac:dyDescent="0.25">
      <c r="B642" t="s">
        <v>2437</v>
      </c>
    </row>
    <row r="643" spans="2:2" x14ac:dyDescent="0.25">
      <c r="B643" t="s">
        <v>2438</v>
      </c>
    </row>
    <row r="644" spans="2:2" x14ac:dyDescent="0.25">
      <c r="B644" t="s">
        <v>2439</v>
      </c>
    </row>
    <row r="645" spans="2:2" x14ac:dyDescent="0.25">
      <c r="B645" t="s">
        <v>2440</v>
      </c>
    </row>
    <row r="646" spans="2:2" x14ac:dyDescent="0.25">
      <c r="B646" t="s">
        <v>2441</v>
      </c>
    </row>
    <row r="647" spans="2:2" x14ac:dyDescent="0.25">
      <c r="B647" t="s">
        <v>2442</v>
      </c>
    </row>
    <row r="648" spans="2:2" x14ac:dyDescent="0.25">
      <c r="B648" t="s">
        <v>2443</v>
      </c>
    </row>
    <row r="649" spans="2:2" x14ac:dyDescent="0.25">
      <c r="B649" t="s">
        <v>2444</v>
      </c>
    </row>
    <row r="650" spans="2:2" x14ac:dyDescent="0.25">
      <c r="B650" t="s">
        <v>2445</v>
      </c>
    </row>
    <row r="651" spans="2:2" x14ac:dyDescent="0.25">
      <c r="B651" t="s">
        <v>2446</v>
      </c>
    </row>
    <row r="652" spans="2:2" x14ac:dyDescent="0.25">
      <c r="B652" t="s">
        <v>2447</v>
      </c>
    </row>
    <row r="653" spans="2:2" x14ac:dyDescent="0.25">
      <c r="B653" t="s">
        <v>2448</v>
      </c>
    </row>
    <row r="654" spans="2:2" x14ac:dyDescent="0.25">
      <c r="B654" t="s">
        <v>2449</v>
      </c>
    </row>
    <row r="655" spans="2:2" x14ac:dyDescent="0.25">
      <c r="B655" t="s">
        <v>2450</v>
      </c>
    </row>
    <row r="656" spans="2:2" x14ac:dyDescent="0.25">
      <c r="B656" t="s">
        <v>2451</v>
      </c>
    </row>
    <row r="657" spans="2:2" x14ac:dyDescent="0.25">
      <c r="B657" t="s">
        <v>2452</v>
      </c>
    </row>
    <row r="658" spans="2:2" x14ac:dyDescent="0.25">
      <c r="B658" t="s">
        <v>2275</v>
      </c>
    </row>
    <row r="659" spans="2:2" x14ac:dyDescent="0.25">
      <c r="B659" t="s">
        <v>2453</v>
      </c>
    </row>
    <row r="660" spans="2:2" x14ac:dyDescent="0.25">
      <c r="B660" t="s">
        <v>2454</v>
      </c>
    </row>
    <row r="661" spans="2:2" x14ac:dyDescent="0.25">
      <c r="B661" t="s">
        <v>2455</v>
      </c>
    </row>
    <row r="662" spans="2:2" x14ac:dyDescent="0.25">
      <c r="B662" t="s">
        <v>2456</v>
      </c>
    </row>
    <row r="663" spans="2:2" x14ac:dyDescent="0.25">
      <c r="B663" t="s">
        <v>2457</v>
      </c>
    </row>
    <row r="664" spans="2:2" x14ac:dyDescent="0.25">
      <c r="B664" t="s">
        <v>2458</v>
      </c>
    </row>
    <row r="665" spans="2:2" x14ac:dyDescent="0.25">
      <c r="B665" t="s">
        <v>2046</v>
      </c>
    </row>
    <row r="666" spans="2:2" x14ac:dyDescent="0.25">
      <c r="B666" t="s">
        <v>2459</v>
      </c>
    </row>
    <row r="667" spans="2:2" x14ac:dyDescent="0.25">
      <c r="B667" t="s">
        <v>2460</v>
      </c>
    </row>
    <row r="668" spans="2:2" x14ac:dyDescent="0.25">
      <c r="B668" t="s">
        <v>2461</v>
      </c>
    </row>
    <row r="669" spans="2:2" x14ac:dyDescent="0.25">
      <c r="B669" t="s">
        <v>2462</v>
      </c>
    </row>
    <row r="670" spans="2:2" x14ac:dyDescent="0.25">
      <c r="B670" t="s">
        <v>2463</v>
      </c>
    </row>
    <row r="671" spans="2:2" x14ac:dyDescent="0.25">
      <c r="B671" t="s">
        <v>2275</v>
      </c>
    </row>
    <row r="672" spans="2:2" x14ac:dyDescent="0.25">
      <c r="B672" t="s">
        <v>2464</v>
      </c>
    </row>
    <row r="673" spans="2:2" x14ac:dyDescent="0.25">
      <c r="B673" t="s">
        <v>2465</v>
      </c>
    </row>
    <row r="674" spans="2:2" x14ac:dyDescent="0.25">
      <c r="B674" t="s">
        <v>2466</v>
      </c>
    </row>
    <row r="675" spans="2:2" x14ac:dyDescent="0.25">
      <c r="B675" t="s">
        <v>2467</v>
      </c>
    </row>
    <row r="676" spans="2:2" x14ac:dyDescent="0.25">
      <c r="B676" t="s">
        <v>2468</v>
      </c>
    </row>
    <row r="677" spans="2:2" x14ac:dyDescent="0.25">
      <c r="B677" t="s">
        <v>2469</v>
      </c>
    </row>
    <row r="678" spans="2:2" x14ac:dyDescent="0.25">
      <c r="B678" t="s">
        <v>2275</v>
      </c>
    </row>
    <row r="679" spans="2:2" x14ac:dyDescent="0.25">
      <c r="B679" t="s">
        <v>2470</v>
      </c>
    </row>
    <row r="680" spans="2:2" x14ac:dyDescent="0.25">
      <c r="B680" t="s">
        <v>2471</v>
      </c>
    </row>
    <row r="681" spans="2:2" x14ac:dyDescent="0.25">
      <c r="B681" t="s">
        <v>2472</v>
      </c>
    </row>
    <row r="682" spans="2:2" x14ac:dyDescent="0.25">
      <c r="B682" t="s">
        <v>2473</v>
      </c>
    </row>
    <row r="683" spans="2:2" x14ac:dyDescent="0.25">
      <c r="B683" t="s">
        <v>2474</v>
      </c>
    </row>
    <row r="684" spans="2:2" x14ac:dyDescent="0.25">
      <c r="B684" t="s">
        <v>2475</v>
      </c>
    </row>
    <row r="685" spans="2:2" x14ac:dyDescent="0.25">
      <c r="B685" t="s">
        <v>2476</v>
      </c>
    </row>
    <row r="686" spans="2:2" x14ac:dyDescent="0.25">
      <c r="B686" t="s">
        <v>2477</v>
      </c>
    </row>
    <row r="687" spans="2:2" x14ac:dyDescent="0.25">
      <c r="B687" t="s">
        <v>2478</v>
      </c>
    </row>
    <row r="688" spans="2:2" x14ac:dyDescent="0.25">
      <c r="B688" t="s">
        <v>2479</v>
      </c>
    </row>
    <row r="689" spans="2:2" x14ac:dyDescent="0.25">
      <c r="B689" t="s">
        <v>2480</v>
      </c>
    </row>
    <row r="690" spans="2:2" x14ac:dyDescent="0.25">
      <c r="B690" t="s">
        <v>2481</v>
      </c>
    </row>
    <row r="691" spans="2:2" x14ac:dyDescent="0.25">
      <c r="B691" t="s">
        <v>2482</v>
      </c>
    </row>
    <row r="692" spans="2:2" x14ac:dyDescent="0.25">
      <c r="B692" t="s">
        <v>2483</v>
      </c>
    </row>
    <row r="693" spans="2:2" x14ac:dyDescent="0.25">
      <c r="B693" t="s">
        <v>2484</v>
      </c>
    </row>
    <row r="694" spans="2:2" x14ac:dyDescent="0.25">
      <c r="B694" t="s">
        <v>2485</v>
      </c>
    </row>
    <row r="695" spans="2:2" x14ac:dyDescent="0.25">
      <c r="B695" t="s">
        <v>2275</v>
      </c>
    </row>
    <row r="696" spans="2:2" x14ac:dyDescent="0.25">
      <c r="B696" t="s">
        <v>657</v>
      </c>
    </row>
    <row r="697" spans="2:2" x14ac:dyDescent="0.25">
      <c r="B697" t="s">
        <v>2486</v>
      </c>
    </row>
    <row r="698" spans="2:2" x14ac:dyDescent="0.25">
      <c r="B698" t="s">
        <v>2487</v>
      </c>
    </row>
    <row r="699" spans="2:2" x14ac:dyDescent="0.25">
      <c r="B699" t="s">
        <v>2275</v>
      </c>
    </row>
    <row r="700" spans="2:2" x14ac:dyDescent="0.25">
      <c r="B700" t="s">
        <v>2275</v>
      </c>
    </row>
    <row r="701" spans="2:2" x14ac:dyDescent="0.25">
      <c r="B701" t="s">
        <v>2275</v>
      </c>
    </row>
    <row r="702" spans="2:2" x14ac:dyDescent="0.25">
      <c r="B702" t="s">
        <v>2488</v>
      </c>
    </row>
    <row r="703" spans="2:2" x14ac:dyDescent="0.25">
      <c r="B703" t="s">
        <v>2489</v>
      </c>
    </row>
    <row r="704" spans="2:2" x14ac:dyDescent="0.25">
      <c r="B704" t="s">
        <v>2490</v>
      </c>
    </row>
    <row r="705" spans="2:2" x14ac:dyDescent="0.25">
      <c r="B705" t="s">
        <v>2491</v>
      </c>
    </row>
    <row r="706" spans="2:2" x14ac:dyDescent="0.25">
      <c r="B706" t="s">
        <v>2492</v>
      </c>
    </row>
    <row r="707" spans="2:2" x14ac:dyDescent="0.25">
      <c r="B707" t="s">
        <v>2493</v>
      </c>
    </row>
    <row r="708" spans="2:2" x14ac:dyDescent="0.25">
      <c r="B708" t="s">
        <v>2494</v>
      </c>
    </row>
    <row r="709" spans="2:2" x14ac:dyDescent="0.25">
      <c r="B709" t="s">
        <v>2495</v>
      </c>
    </row>
    <row r="710" spans="2:2" x14ac:dyDescent="0.25">
      <c r="B710" t="s">
        <v>2496</v>
      </c>
    </row>
    <row r="711" spans="2:2" x14ac:dyDescent="0.25">
      <c r="B711" t="s">
        <v>2497</v>
      </c>
    </row>
    <row r="712" spans="2:2" x14ac:dyDescent="0.25">
      <c r="B712" t="s">
        <v>2498</v>
      </c>
    </row>
    <row r="713" spans="2:2" x14ac:dyDescent="0.25">
      <c r="B713" t="s">
        <v>2499</v>
      </c>
    </row>
    <row r="714" spans="2:2" x14ac:dyDescent="0.25">
      <c r="B714" t="s">
        <v>2500</v>
      </c>
    </row>
    <row r="715" spans="2:2" x14ac:dyDescent="0.25">
      <c r="B715" t="s">
        <v>2501</v>
      </c>
    </row>
    <row r="716" spans="2:2" x14ac:dyDescent="0.25">
      <c r="B716" t="s">
        <v>2502</v>
      </c>
    </row>
    <row r="717" spans="2:2" x14ac:dyDescent="0.25">
      <c r="B717" t="s">
        <v>2503</v>
      </c>
    </row>
    <row r="718" spans="2:2" x14ac:dyDescent="0.25">
      <c r="B718" t="s">
        <v>2504</v>
      </c>
    </row>
    <row r="719" spans="2:2" x14ac:dyDescent="0.25">
      <c r="B719" t="s">
        <v>2275</v>
      </c>
    </row>
    <row r="720" spans="2:2" x14ac:dyDescent="0.25">
      <c r="B720" t="s">
        <v>2275</v>
      </c>
    </row>
    <row r="721" spans="2:2" x14ac:dyDescent="0.25">
      <c r="B721" t="s">
        <v>2505</v>
      </c>
    </row>
    <row r="722" spans="2:2" x14ac:dyDescent="0.25">
      <c r="B722" t="s">
        <v>2506</v>
      </c>
    </row>
    <row r="723" spans="2:2" x14ac:dyDescent="0.25">
      <c r="B723" t="s">
        <v>2275</v>
      </c>
    </row>
    <row r="724" spans="2:2" x14ac:dyDescent="0.25">
      <c r="B724" t="s">
        <v>2507</v>
      </c>
    </row>
    <row r="725" spans="2:2" x14ac:dyDescent="0.25">
      <c r="B725" t="s">
        <v>2508</v>
      </c>
    </row>
    <row r="726" spans="2:2" x14ac:dyDescent="0.25">
      <c r="B726" t="s">
        <v>2509</v>
      </c>
    </row>
    <row r="727" spans="2:2" x14ac:dyDescent="0.25">
      <c r="B727" t="s">
        <v>2510</v>
      </c>
    </row>
    <row r="728" spans="2:2" x14ac:dyDescent="0.25">
      <c r="B728" t="s">
        <v>2275</v>
      </c>
    </row>
    <row r="729" spans="2:2" x14ac:dyDescent="0.25">
      <c r="B729" t="s">
        <v>2511</v>
      </c>
    </row>
    <row r="730" spans="2:2" x14ac:dyDescent="0.25">
      <c r="B730" t="s">
        <v>2512</v>
      </c>
    </row>
    <row r="731" spans="2:2" x14ac:dyDescent="0.25">
      <c r="B731" t="s">
        <v>2513</v>
      </c>
    </row>
    <row r="732" spans="2:2" x14ac:dyDescent="0.25">
      <c r="B732" t="s">
        <v>2275</v>
      </c>
    </row>
    <row r="733" spans="2:2" x14ac:dyDescent="0.25">
      <c r="B733" t="s">
        <v>2514</v>
      </c>
    </row>
    <row r="734" spans="2:2" x14ac:dyDescent="0.25">
      <c r="B734" t="s">
        <v>2515</v>
      </c>
    </row>
    <row r="735" spans="2:2" x14ac:dyDescent="0.25">
      <c r="B735" t="s">
        <v>2275</v>
      </c>
    </row>
    <row r="736" spans="2:2" x14ac:dyDescent="0.25">
      <c r="B736" t="s">
        <v>2516</v>
      </c>
    </row>
    <row r="737" spans="2:2" x14ac:dyDescent="0.25">
      <c r="B737" t="s">
        <v>2517</v>
      </c>
    </row>
    <row r="738" spans="2:2" x14ac:dyDescent="0.25">
      <c r="B738" t="s">
        <v>2518</v>
      </c>
    </row>
    <row r="739" spans="2:2" x14ac:dyDescent="0.25">
      <c r="B739" t="s">
        <v>2519</v>
      </c>
    </row>
    <row r="740" spans="2:2" x14ac:dyDescent="0.25">
      <c r="B740" t="s">
        <v>2520</v>
      </c>
    </row>
    <row r="741" spans="2:2" x14ac:dyDescent="0.25">
      <c r="B741" t="s">
        <v>2521</v>
      </c>
    </row>
    <row r="742" spans="2:2" x14ac:dyDescent="0.25">
      <c r="B742" t="s">
        <v>2522</v>
      </c>
    </row>
    <row r="743" spans="2:2" x14ac:dyDescent="0.25">
      <c r="B743" t="s">
        <v>2275</v>
      </c>
    </row>
    <row r="744" spans="2:2" x14ac:dyDescent="0.25">
      <c r="B744" t="s">
        <v>2275</v>
      </c>
    </row>
    <row r="745" spans="2:2" x14ac:dyDescent="0.25">
      <c r="B745" t="s">
        <v>2523</v>
      </c>
    </row>
    <row r="746" spans="2:2" x14ac:dyDescent="0.25">
      <c r="B746" t="s">
        <v>2524</v>
      </c>
    </row>
    <row r="747" spans="2:2" x14ac:dyDescent="0.25">
      <c r="B747" t="s">
        <v>2525</v>
      </c>
    </row>
    <row r="748" spans="2:2" x14ac:dyDescent="0.25">
      <c r="B748" t="s">
        <v>2275</v>
      </c>
    </row>
    <row r="749" spans="2:2" x14ac:dyDescent="0.25">
      <c r="B749" t="s">
        <v>2526</v>
      </c>
    </row>
    <row r="750" spans="2:2" x14ac:dyDescent="0.25">
      <c r="B750" t="s">
        <v>2527</v>
      </c>
    </row>
    <row r="751" spans="2:2" x14ac:dyDescent="0.25">
      <c r="B751" t="s">
        <v>2528</v>
      </c>
    </row>
    <row r="752" spans="2:2" x14ac:dyDescent="0.25">
      <c r="B752" t="s">
        <v>2529</v>
      </c>
    </row>
    <row r="753" spans="2:2" x14ac:dyDescent="0.25">
      <c r="B753" t="s">
        <v>2530</v>
      </c>
    </row>
    <row r="754" spans="2:2" x14ac:dyDescent="0.25">
      <c r="B754" t="s">
        <v>2531</v>
      </c>
    </row>
    <row r="755" spans="2:2" x14ac:dyDescent="0.25">
      <c r="B755" t="s">
        <v>2532</v>
      </c>
    </row>
    <row r="756" spans="2:2" x14ac:dyDescent="0.25">
      <c r="B756" t="s">
        <v>2533</v>
      </c>
    </row>
    <row r="757" spans="2:2" x14ac:dyDescent="0.25">
      <c r="B757" t="s">
        <v>2245</v>
      </c>
    </row>
    <row r="758" spans="2:2" x14ac:dyDescent="0.25">
      <c r="B758" t="s">
        <v>2534</v>
      </c>
    </row>
    <row r="759" spans="2:2" x14ac:dyDescent="0.25">
      <c r="B759" t="s">
        <v>2275</v>
      </c>
    </row>
    <row r="760" spans="2:2" x14ac:dyDescent="0.25">
      <c r="B760" t="s">
        <v>2535</v>
      </c>
    </row>
    <row r="761" spans="2:2" x14ac:dyDescent="0.25">
      <c r="B761" t="s">
        <v>2275</v>
      </c>
    </row>
    <row r="762" spans="2:2" x14ac:dyDescent="0.25">
      <c r="B762" t="s">
        <v>2536</v>
      </c>
    </row>
    <row r="763" spans="2:2" x14ac:dyDescent="0.25">
      <c r="B763" t="s">
        <v>2275</v>
      </c>
    </row>
    <row r="764" spans="2:2" x14ac:dyDescent="0.25">
      <c r="B764" t="s">
        <v>2275</v>
      </c>
    </row>
    <row r="765" spans="2:2" x14ac:dyDescent="0.25">
      <c r="B765" t="s">
        <v>2537</v>
      </c>
    </row>
    <row r="766" spans="2:2" x14ac:dyDescent="0.25">
      <c r="B766" t="s">
        <v>2538</v>
      </c>
    </row>
    <row r="767" spans="2:2" x14ac:dyDescent="0.25">
      <c r="B767" t="s">
        <v>2539</v>
      </c>
    </row>
    <row r="768" spans="2:2" x14ac:dyDescent="0.25">
      <c r="B768" t="s">
        <v>2540</v>
      </c>
    </row>
    <row r="769" spans="2:2" x14ac:dyDescent="0.25">
      <c r="B769" t="s">
        <v>2541</v>
      </c>
    </row>
    <row r="770" spans="2:2" x14ac:dyDescent="0.25">
      <c r="B770" t="s">
        <v>2542</v>
      </c>
    </row>
    <row r="771" spans="2:2" x14ac:dyDescent="0.25">
      <c r="B771" t="s">
        <v>2275</v>
      </c>
    </row>
    <row r="772" spans="2:2" x14ac:dyDescent="0.25">
      <c r="B772" t="s">
        <v>2275</v>
      </c>
    </row>
    <row r="773" spans="2:2" x14ac:dyDescent="0.25">
      <c r="B773" t="s">
        <v>2543</v>
      </c>
    </row>
    <row r="774" spans="2:2" x14ac:dyDescent="0.25">
      <c r="B774" t="s">
        <v>2544</v>
      </c>
    </row>
    <row r="775" spans="2:2" x14ac:dyDescent="0.25">
      <c r="B775" t="s">
        <v>2545</v>
      </c>
    </row>
    <row r="776" spans="2:2" x14ac:dyDescent="0.25">
      <c r="B776" t="s">
        <v>2546</v>
      </c>
    </row>
    <row r="777" spans="2:2" x14ac:dyDescent="0.25">
      <c r="B777" t="s">
        <v>2547</v>
      </c>
    </row>
    <row r="778" spans="2:2" x14ac:dyDescent="0.25">
      <c r="B778" t="s">
        <v>2548</v>
      </c>
    </row>
    <row r="779" spans="2:2" x14ac:dyDescent="0.25">
      <c r="B779" t="s">
        <v>2549</v>
      </c>
    </row>
    <row r="780" spans="2:2" x14ac:dyDescent="0.25">
      <c r="B780" t="s">
        <v>2550</v>
      </c>
    </row>
    <row r="781" spans="2:2" x14ac:dyDescent="0.25">
      <c r="B781" t="s">
        <v>2551</v>
      </c>
    </row>
    <row r="782" spans="2:2" x14ac:dyDescent="0.25">
      <c r="B782" t="s">
        <v>2275</v>
      </c>
    </row>
    <row r="783" spans="2:2" x14ac:dyDescent="0.25">
      <c r="B783" t="s">
        <v>2275</v>
      </c>
    </row>
    <row r="784" spans="2:2" x14ac:dyDescent="0.25">
      <c r="B784" t="s">
        <v>2552</v>
      </c>
    </row>
    <row r="785" spans="2:2" x14ac:dyDescent="0.25">
      <c r="B785" t="s">
        <v>2275</v>
      </c>
    </row>
    <row r="786" spans="2:2" x14ac:dyDescent="0.25">
      <c r="B786" t="s">
        <v>2553</v>
      </c>
    </row>
    <row r="787" spans="2:2" x14ac:dyDescent="0.25">
      <c r="B787" t="s">
        <v>2275</v>
      </c>
    </row>
    <row r="788" spans="2:2" x14ac:dyDescent="0.25">
      <c r="B788" t="s">
        <v>2554</v>
      </c>
    </row>
    <row r="789" spans="2:2" x14ac:dyDescent="0.25">
      <c r="B789" t="s">
        <v>2555</v>
      </c>
    </row>
    <row r="790" spans="2:2" x14ac:dyDescent="0.25">
      <c r="B790" t="s">
        <v>2556</v>
      </c>
    </row>
    <row r="791" spans="2:2" x14ac:dyDescent="0.25">
      <c r="B791" t="s">
        <v>2557</v>
      </c>
    </row>
    <row r="792" spans="2:2" x14ac:dyDescent="0.25">
      <c r="B792" t="s">
        <v>2558</v>
      </c>
    </row>
    <row r="793" spans="2:2" x14ac:dyDescent="0.25">
      <c r="B793" t="s">
        <v>2559</v>
      </c>
    </row>
    <row r="794" spans="2:2" x14ac:dyDescent="0.25">
      <c r="B794" t="s">
        <v>2560</v>
      </c>
    </row>
    <row r="795" spans="2:2" x14ac:dyDescent="0.25">
      <c r="B795" t="s">
        <v>2561</v>
      </c>
    </row>
    <row r="796" spans="2:2" x14ac:dyDescent="0.25">
      <c r="B796" t="s">
        <v>2562</v>
      </c>
    </row>
    <row r="797" spans="2:2" x14ac:dyDescent="0.25">
      <c r="B797" t="s">
        <v>2563</v>
      </c>
    </row>
    <row r="798" spans="2:2" x14ac:dyDescent="0.25">
      <c r="B798" t="s">
        <v>2564</v>
      </c>
    </row>
    <row r="799" spans="2:2" x14ac:dyDescent="0.25">
      <c r="B799" t="s">
        <v>2565</v>
      </c>
    </row>
    <row r="800" spans="2:2" x14ac:dyDescent="0.25">
      <c r="B800" t="s">
        <v>2566</v>
      </c>
    </row>
    <row r="801" spans="2:2" x14ac:dyDescent="0.25">
      <c r="B801" t="s">
        <v>2567</v>
      </c>
    </row>
    <row r="802" spans="2:2" x14ac:dyDescent="0.25">
      <c r="B802" t="s">
        <v>2568</v>
      </c>
    </row>
    <row r="803" spans="2:2" x14ac:dyDescent="0.25">
      <c r="B803" t="s">
        <v>2569</v>
      </c>
    </row>
    <row r="804" spans="2:2" x14ac:dyDescent="0.25">
      <c r="B804" t="s">
        <v>2570</v>
      </c>
    </row>
    <row r="805" spans="2:2" x14ac:dyDescent="0.25">
      <c r="B805" t="s">
        <v>2571</v>
      </c>
    </row>
    <row r="806" spans="2:2" x14ac:dyDescent="0.25">
      <c r="B806" t="s">
        <v>2572</v>
      </c>
    </row>
    <row r="807" spans="2:2" x14ac:dyDescent="0.25">
      <c r="B807" t="s">
        <v>2573</v>
      </c>
    </row>
    <row r="808" spans="2:2" x14ac:dyDescent="0.25">
      <c r="B808" t="s">
        <v>2574</v>
      </c>
    </row>
    <row r="809" spans="2:2" x14ac:dyDescent="0.25">
      <c r="B809" t="s">
        <v>2575</v>
      </c>
    </row>
    <row r="810" spans="2:2" x14ac:dyDescent="0.25">
      <c r="B810" t="s">
        <v>2576</v>
      </c>
    </row>
    <row r="811" spans="2:2" x14ac:dyDescent="0.25">
      <c r="B811" t="s">
        <v>2577</v>
      </c>
    </row>
    <row r="812" spans="2:2" x14ac:dyDescent="0.25">
      <c r="B812" t="s">
        <v>2578</v>
      </c>
    </row>
    <row r="813" spans="2:2" x14ac:dyDescent="0.25">
      <c r="B813" t="s">
        <v>2579</v>
      </c>
    </row>
    <row r="814" spans="2:2" x14ac:dyDescent="0.25">
      <c r="B814" t="s">
        <v>2580</v>
      </c>
    </row>
    <row r="815" spans="2:2" x14ac:dyDescent="0.25">
      <c r="B815" t="s">
        <v>2275</v>
      </c>
    </row>
    <row r="816" spans="2:2" x14ac:dyDescent="0.25">
      <c r="B816" t="s">
        <v>2275</v>
      </c>
    </row>
    <row r="817" spans="2:2" x14ac:dyDescent="0.25">
      <c r="B817" t="s">
        <v>2581</v>
      </c>
    </row>
    <row r="818" spans="2:2" x14ac:dyDescent="0.25">
      <c r="B818" t="s">
        <v>2582</v>
      </c>
    </row>
    <row r="819" spans="2:2" x14ac:dyDescent="0.25">
      <c r="B819" t="s">
        <v>2583</v>
      </c>
    </row>
    <row r="820" spans="2:2" x14ac:dyDescent="0.25">
      <c r="B820" t="s">
        <v>2584</v>
      </c>
    </row>
    <row r="821" spans="2:2" x14ac:dyDescent="0.25">
      <c r="B821" t="s">
        <v>2585</v>
      </c>
    </row>
    <row r="822" spans="2:2" x14ac:dyDescent="0.25">
      <c r="B822" t="s">
        <v>2586</v>
      </c>
    </row>
    <row r="823" spans="2:2" x14ac:dyDescent="0.25">
      <c r="B823" t="s">
        <v>2587</v>
      </c>
    </row>
    <row r="824" spans="2:2" x14ac:dyDescent="0.25">
      <c r="B824" t="s">
        <v>2588</v>
      </c>
    </row>
    <row r="825" spans="2:2" x14ac:dyDescent="0.25">
      <c r="B825" t="s">
        <v>2589</v>
      </c>
    </row>
    <row r="826" spans="2:2" x14ac:dyDescent="0.25">
      <c r="B826" t="s">
        <v>2275</v>
      </c>
    </row>
    <row r="827" spans="2:2" x14ac:dyDescent="0.25">
      <c r="B827" t="s">
        <v>2275</v>
      </c>
    </row>
    <row r="828" spans="2:2" x14ac:dyDescent="0.25">
      <c r="B828" t="s">
        <v>2590</v>
      </c>
    </row>
    <row r="829" spans="2:2" x14ac:dyDescent="0.25">
      <c r="B829" t="s">
        <v>2591</v>
      </c>
    </row>
    <row r="830" spans="2:2" x14ac:dyDescent="0.25">
      <c r="B830" t="s">
        <v>2592</v>
      </c>
    </row>
    <row r="831" spans="2:2" x14ac:dyDescent="0.25">
      <c r="B831" t="s">
        <v>2593</v>
      </c>
    </row>
    <row r="832" spans="2:2" x14ac:dyDescent="0.25">
      <c r="B832" t="s">
        <v>2594</v>
      </c>
    </row>
    <row r="833" spans="2:2" x14ac:dyDescent="0.25">
      <c r="B833" t="s">
        <v>2275</v>
      </c>
    </row>
    <row r="834" spans="2:2" x14ac:dyDescent="0.25">
      <c r="B834" t="s">
        <v>2275</v>
      </c>
    </row>
    <row r="835" spans="2:2" x14ac:dyDescent="0.25">
      <c r="B835" t="s">
        <v>2275</v>
      </c>
    </row>
    <row r="836" spans="2:2" x14ac:dyDescent="0.25">
      <c r="B836" t="s">
        <v>2275</v>
      </c>
    </row>
    <row r="837" spans="2:2" x14ac:dyDescent="0.25">
      <c r="B837" t="s">
        <v>2275</v>
      </c>
    </row>
    <row r="838" spans="2:2" x14ac:dyDescent="0.25">
      <c r="B838" t="s">
        <v>2595</v>
      </c>
    </row>
    <row r="839" spans="2:2" x14ac:dyDescent="0.25">
      <c r="B839" t="s">
        <v>2275</v>
      </c>
    </row>
    <row r="840" spans="2:2" x14ac:dyDescent="0.25">
      <c r="B840" t="s">
        <v>2275</v>
      </c>
    </row>
    <row r="841" spans="2:2" x14ac:dyDescent="0.25">
      <c r="B841" t="s">
        <v>2596</v>
      </c>
    </row>
    <row r="842" spans="2:2" x14ac:dyDescent="0.25">
      <c r="B842" t="s">
        <v>2597</v>
      </c>
    </row>
    <row r="843" spans="2:2" x14ac:dyDescent="0.25">
      <c r="B843" t="s">
        <v>2275</v>
      </c>
    </row>
    <row r="844" spans="2:2" x14ac:dyDescent="0.25">
      <c r="B844" t="s">
        <v>2598</v>
      </c>
    </row>
    <row r="845" spans="2:2" x14ac:dyDescent="0.25">
      <c r="B845" t="s">
        <v>2599</v>
      </c>
    </row>
    <row r="846" spans="2:2" x14ac:dyDescent="0.25">
      <c r="B846" t="s">
        <v>2600</v>
      </c>
    </row>
    <row r="847" spans="2:2" x14ac:dyDescent="0.25">
      <c r="B847" t="s">
        <v>2601</v>
      </c>
    </row>
    <row r="848" spans="2:2" x14ac:dyDescent="0.25">
      <c r="B848" t="s">
        <v>2275</v>
      </c>
    </row>
    <row r="849" spans="2:2" x14ac:dyDescent="0.25">
      <c r="B849" t="s">
        <v>2275</v>
      </c>
    </row>
    <row r="850" spans="2:2" x14ac:dyDescent="0.25">
      <c r="B850" t="s">
        <v>2602</v>
      </c>
    </row>
    <row r="851" spans="2:2" x14ac:dyDescent="0.25">
      <c r="B851" t="s">
        <v>2603</v>
      </c>
    </row>
    <row r="852" spans="2:2" x14ac:dyDescent="0.25">
      <c r="B852" t="s">
        <v>2604</v>
      </c>
    </row>
    <row r="853" spans="2:2" x14ac:dyDescent="0.25">
      <c r="B853" t="s">
        <v>2605</v>
      </c>
    </row>
    <row r="854" spans="2:2" x14ac:dyDescent="0.25">
      <c r="B854" t="s">
        <v>2275</v>
      </c>
    </row>
    <row r="855" spans="2:2" x14ac:dyDescent="0.25">
      <c r="B855" t="s">
        <v>2606</v>
      </c>
    </row>
    <row r="856" spans="2:2" x14ac:dyDescent="0.25">
      <c r="B856" t="s">
        <v>2607</v>
      </c>
    </row>
    <row r="857" spans="2:2" x14ac:dyDescent="0.25">
      <c r="B857" t="s">
        <v>2608</v>
      </c>
    </row>
    <row r="858" spans="2:2" x14ac:dyDescent="0.25">
      <c r="B858" t="s">
        <v>2609</v>
      </c>
    </row>
    <row r="859" spans="2:2" x14ac:dyDescent="0.25">
      <c r="B859" t="s">
        <v>2610</v>
      </c>
    </row>
    <row r="860" spans="2:2" x14ac:dyDescent="0.25">
      <c r="B860" t="s">
        <v>2611</v>
      </c>
    </row>
    <row r="861" spans="2:2" x14ac:dyDescent="0.25">
      <c r="B861" t="s">
        <v>2612</v>
      </c>
    </row>
    <row r="862" spans="2:2" x14ac:dyDescent="0.25">
      <c r="B862" t="s">
        <v>2613</v>
      </c>
    </row>
    <row r="863" spans="2:2" x14ac:dyDescent="0.25">
      <c r="B863" t="s">
        <v>2614</v>
      </c>
    </row>
    <row r="864" spans="2:2" x14ac:dyDescent="0.25">
      <c r="B864" t="s">
        <v>2615</v>
      </c>
    </row>
    <row r="865" spans="2:2" x14ac:dyDescent="0.25">
      <c r="B865" t="s">
        <v>2616</v>
      </c>
    </row>
    <row r="866" spans="2:2" x14ac:dyDescent="0.25">
      <c r="B866" t="s">
        <v>2617</v>
      </c>
    </row>
    <row r="867" spans="2:2" x14ac:dyDescent="0.25">
      <c r="B867" t="s">
        <v>2618</v>
      </c>
    </row>
    <row r="868" spans="2:2" x14ac:dyDescent="0.25">
      <c r="B868" t="s">
        <v>2619</v>
      </c>
    </row>
    <row r="869" spans="2:2" x14ac:dyDescent="0.25">
      <c r="B869" t="s">
        <v>2619</v>
      </c>
    </row>
    <row r="870" spans="2:2" x14ac:dyDescent="0.25">
      <c r="B870" t="s">
        <v>2275</v>
      </c>
    </row>
    <row r="871" spans="2:2" x14ac:dyDescent="0.25">
      <c r="B871" t="s">
        <v>2275</v>
      </c>
    </row>
    <row r="872" spans="2:2" x14ac:dyDescent="0.25">
      <c r="B872" t="s">
        <v>2620</v>
      </c>
    </row>
    <row r="873" spans="2:2" x14ac:dyDescent="0.25">
      <c r="B873" t="s">
        <v>2621</v>
      </c>
    </row>
    <row r="874" spans="2:2" x14ac:dyDescent="0.25">
      <c r="B874" t="s">
        <v>2622</v>
      </c>
    </row>
    <row r="875" spans="2:2" x14ac:dyDescent="0.25">
      <c r="B875" t="s">
        <v>2623</v>
      </c>
    </row>
    <row r="876" spans="2:2" x14ac:dyDescent="0.25">
      <c r="B876" t="s">
        <v>2275</v>
      </c>
    </row>
    <row r="877" spans="2:2" x14ac:dyDescent="0.25">
      <c r="B877" t="s">
        <v>2624</v>
      </c>
    </row>
    <row r="878" spans="2:2" x14ac:dyDescent="0.25">
      <c r="B878" t="s">
        <v>2625</v>
      </c>
    </row>
    <row r="879" spans="2:2" x14ac:dyDescent="0.25">
      <c r="B879" t="s">
        <v>2626</v>
      </c>
    </row>
    <row r="880" spans="2:2" x14ac:dyDescent="0.25">
      <c r="B880" t="s">
        <v>2627</v>
      </c>
    </row>
    <row r="881" spans="2:2" x14ac:dyDescent="0.25">
      <c r="B881" t="s">
        <v>2628</v>
      </c>
    </row>
    <row r="882" spans="2:2" x14ac:dyDescent="0.25">
      <c r="B882" t="s">
        <v>2629</v>
      </c>
    </row>
    <row r="883" spans="2:2" x14ac:dyDescent="0.25">
      <c r="B883" t="s">
        <v>2630</v>
      </c>
    </row>
    <row r="884" spans="2:2" x14ac:dyDescent="0.25">
      <c r="B884" t="s">
        <v>2275</v>
      </c>
    </row>
    <row r="885" spans="2:2" x14ac:dyDescent="0.25">
      <c r="B885" t="s">
        <v>2631</v>
      </c>
    </row>
    <row r="886" spans="2:2" x14ac:dyDescent="0.25">
      <c r="B886" t="s">
        <v>2632</v>
      </c>
    </row>
    <row r="887" spans="2:2" x14ac:dyDescent="0.25">
      <c r="B887" t="s">
        <v>2633</v>
      </c>
    </row>
    <row r="888" spans="2:2" x14ac:dyDescent="0.25">
      <c r="B888" t="s">
        <v>2634</v>
      </c>
    </row>
    <row r="889" spans="2:2" x14ac:dyDescent="0.25">
      <c r="B889" t="s">
        <v>2635</v>
      </c>
    </row>
    <row r="890" spans="2:2" x14ac:dyDescent="0.25">
      <c r="B890" t="s">
        <v>2636</v>
      </c>
    </row>
    <row r="891" spans="2:2" x14ac:dyDescent="0.25">
      <c r="B891" t="s">
        <v>2637</v>
      </c>
    </row>
    <row r="892" spans="2:2" x14ac:dyDescent="0.25">
      <c r="B892" t="s">
        <v>2638</v>
      </c>
    </row>
    <row r="893" spans="2:2" x14ac:dyDescent="0.25">
      <c r="B893" t="s">
        <v>2275</v>
      </c>
    </row>
    <row r="894" spans="2:2" x14ac:dyDescent="0.25">
      <c r="B894" t="s">
        <v>2639</v>
      </c>
    </row>
    <row r="895" spans="2:2" x14ac:dyDescent="0.25">
      <c r="B895" t="s">
        <v>2640</v>
      </c>
    </row>
    <row r="896" spans="2:2" x14ac:dyDescent="0.25">
      <c r="B896" t="s">
        <v>2641</v>
      </c>
    </row>
    <row r="897" spans="2:2" x14ac:dyDescent="0.25">
      <c r="B897" t="s">
        <v>2275</v>
      </c>
    </row>
    <row r="898" spans="2:2" x14ac:dyDescent="0.25">
      <c r="B898" t="s">
        <v>2275</v>
      </c>
    </row>
    <row r="899" spans="2:2" x14ac:dyDescent="0.25">
      <c r="B899" t="s">
        <v>2642</v>
      </c>
    </row>
    <row r="900" spans="2:2" x14ac:dyDescent="0.25">
      <c r="B900" t="s">
        <v>2275</v>
      </c>
    </row>
    <row r="901" spans="2:2" x14ac:dyDescent="0.25">
      <c r="B901" t="s">
        <v>2643</v>
      </c>
    </row>
    <row r="902" spans="2:2" x14ac:dyDescent="0.25">
      <c r="B902" t="s">
        <v>2644</v>
      </c>
    </row>
    <row r="903" spans="2:2" x14ac:dyDescent="0.25">
      <c r="B903" t="s">
        <v>2645</v>
      </c>
    </row>
    <row r="904" spans="2:2" x14ac:dyDescent="0.25">
      <c r="B904" t="s">
        <v>2646</v>
      </c>
    </row>
    <row r="905" spans="2:2" x14ac:dyDescent="0.25">
      <c r="B905" t="s">
        <v>2275</v>
      </c>
    </row>
    <row r="906" spans="2:2" x14ac:dyDescent="0.25">
      <c r="B906" t="s">
        <v>2275</v>
      </c>
    </row>
    <row r="907" spans="2:2" x14ac:dyDescent="0.25">
      <c r="B907" t="s">
        <v>2275</v>
      </c>
    </row>
    <row r="908" spans="2:2" x14ac:dyDescent="0.25">
      <c r="B908" t="s">
        <v>2647</v>
      </c>
    </row>
    <row r="909" spans="2:2" x14ac:dyDescent="0.25">
      <c r="B909" t="s">
        <v>2275</v>
      </c>
    </row>
    <row r="910" spans="2:2" x14ac:dyDescent="0.25">
      <c r="B910" t="s">
        <v>2648</v>
      </c>
    </row>
    <row r="911" spans="2:2" x14ac:dyDescent="0.25">
      <c r="B911" t="s">
        <v>2649</v>
      </c>
    </row>
    <row r="912" spans="2:2" x14ac:dyDescent="0.25">
      <c r="B912" t="s">
        <v>2275</v>
      </c>
    </row>
    <row r="913" spans="2:2" x14ac:dyDescent="0.25">
      <c r="B913" t="s">
        <v>2275</v>
      </c>
    </row>
    <row r="914" spans="2:2" x14ac:dyDescent="0.25">
      <c r="B914" t="s">
        <v>2275</v>
      </c>
    </row>
    <row r="915" spans="2:2" x14ac:dyDescent="0.25">
      <c r="B915" t="s">
        <v>2650</v>
      </c>
    </row>
    <row r="916" spans="2:2" x14ac:dyDescent="0.25">
      <c r="B916" t="s">
        <v>2651</v>
      </c>
    </row>
    <row r="917" spans="2:2" x14ac:dyDescent="0.25">
      <c r="B917" t="s">
        <v>2652</v>
      </c>
    </row>
    <row r="918" spans="2:2" x14ac:dyDescent="0.25">
      <c r="B918" t="s">
        <v>2275</v>
      </c>
    </row>
    <row r="919" spans="2:2" x14ac:dyDescent="0.25">
      <c r="B919" t="s">
        <v>2653</v>
      </c>
    </row>
    <row r="920" spans="2:2" x14ac:dyDescent="0.25">
      <c r="B920" t="s">
        <v>2654</v>
      </c>
    </row>
    <row r="921" spans="2:2" x14ac:dyDescent="0.25">
      <c r="B921" t="s">
        <v>2275</v>
      </c>
    </row>
    <row r="922" spans="2:2" x14ac:dyDescent="0.25">
      <c r="B922" t="s">
        <v>2655</v>
      </c>
    </row>
    <row r="923" spans="2:2" x14ac:dyDescent="0.25">
      <c r="B923" t="s">
        <v>2656</v>
      </c>
    </row>
    <row r="924" spans="2:2" x14ac:dyDescent="0.25">
      <c r="B924" t="s">
        <v>2657</v>
      </c>
    </row>
    <row r="925" spans="2:2" x14ac:dyDescent="0.25">
      <c r="B925" t="s">
        <v>2658</v>
      </c>
    </row>
    <row r="926" spans="2:2" x14ac:dyDescent="0.25">
      <c r="B926" t="s">
        <v>2275</v>
      </c>
    </row>
    <row r="927" spans="2:2" x14ac:dyDescent="0.25">
      <c r="B927" t="s">
        <v>2659</v>
      </c>
    </row>
    <row r="928" spans="2:2" x14ac:dyDescent="0.25">
      <c r="B928" t="s">
        <v>2660</v>
      </c>
    </row>
    <row r="929" spans="2:2" x14ac:dyDescent="0.25">
      <c r="B929" t="s">
        <v>2661</v>
      </c>
    </row>
    <row r="930" spans="2:2" x14ac:dyDescent="0.25">
      <c r="B930" t="s">
        <v>2662</v>
      </c>
    </row>
    <row r="931" spans="2:2" x14ac:dyDescent="0.25">
      <c r="B931" t="s">
        <v>2663</v>
      </c>
    </row>
    <row r="932" spans="2:2" x14ac:dyDescent="0.25">
      <c r="B932" t="s">
        <v>2664</v>
      </c>
    </row>
    <row r="933" spans="2:2" x14ac:dyDescent="0.25">
      <c r="B933" t="s">
        <v>2665</v>
      </c>
    </row>
    <row r="934" spans="2:2" x14ac:dyDescent="0.25">
      <c r="B934" t="s">
        <v>2666</v>
      </c>
    </row>
    <row r="935" spans="2:2" x14ac:dyDescent="0.25">
      <c r="B935" t="s">
        <v>2667</v>
      </c>
    </row>
    <row r="936" spans="2:2" x14ac:dyDescent="0.25">
      <c r="B936" t="s">
        <v>2275</v>
      </c>
    </row>
    <row r="937" spans="2:2" x14ac:dyDescent="0.25">
      <c r="B937" t="s">
        <v>2275</v>
      </c>
    </row>
    <row r="938" spans="2:2" x14ac:dyDescent="0.25">
      <c r="B938" t="s">
        <v>2668</v>
      </c>
    </row>
    <row r="939" spans="2:2" x14ac:dyDescent="0.25">
      <c r="B939" t="s">
        <v>2275</v>
      </c>
    </row>
    <row r="940" spans="2:2" x14ac:dyDescent="0.25">
      <c r="B940" t="s">
        <v>2669</v>
      </c>
    </row>
    <row r="941" spans="2:2" x14ac:dyDescent="0.25">
      <c r="B941" t="s">
        <v>2670</v>
      </c>
    </row>
    <row r="942" spans="2:2" x14ac:dyDescent="0.25">
      <c r="B942" t="s">
        <v>2522</v>
      </c>
    </row>
    <row r="943" spans="2:2" x14ac:dyDescent="0.25">
      <c r="B943" t="s">
        <v>2522</v>
      </c>
    </row>
    <row r="944" spans="2:2" x14ac:dyDescent="0.25">
      <c r="B944" t="s">
        <v>2671</v>
      </c>
    </row>
    <row r="945" spans="2:2" x14ac:dyDescent="0.25">
      <c r="B945" t="s">
        <v>2672</v>
      </c>
    </row>
    <row r="946" spans="2:2" x14ac:dyDescent="0.25">
      <c r="B946" t="s">
        <v>2673</v>
      </c>
    </row>
    <row r="947" spans="2:2" x14ac:dyDescent="0.25">
      <c r="B947" t="s">
        <v>2674</v>
      </c>
    </row>
    <row r="948" spans="2:2" x14ac:dyDescent="0.25">
      <c r="B948" t="s">
        <v>2675</v>
      </c>
    </row>
    <row r="949" spans="2:2" x14ac:dyDescent="0.25">
      <c r="B949" t="s">
        <v>2676</v>
      </c>
    </row>
    <row r="950" spans="2:2" x14ac:dyDescent="0.25">
      <c r="B950" t="s">
        <v>2677</v>
      </c>
    </row>
    <row r="951" spans="2:2" x14ac:dyDescent="0.25">
      <c r="B951" t="s">
        <v>2678</v>
      </c>
    </row>
    <row r="952" spans="2:2" x14ac:dyDescent="0.25">
      <c r="B952" t="s">
        <v>2679</v>
      </c>
    </row>
    <row r="953" spans="2:2" x14ac:dyDescent="0.25">
      <c r="B953" t="s">
        <v>2275</v>
      </c>
    </row>
    <row r="954" spans="2:2" x14ac:dyDescent="0.25">
      <c r="B954" t="s">
        <v>2275</v>
      </c>
    </row>
    <row r="955" spans="2:2" x14ac:dyDescent="0.25">
      <c r="B955" t="s">
        <v>2680</v>
      </c>
    </row>
    <row r="956" spans="2:2" x14ac:dyDescent="0.25">
      <c r="B956" t="s">
        <v>2681</v>
      </c>
    </row>
    <row r="957" spans="2:2" x14ac:dyDescent="0.25">
      <c r="B957" t="s">
        <v>2682</v>
      </c>
    </row>
    <row r="958" spans="2:2" x14ac:dyDescent="0.25">
      <c r="B958" t="s">
        <v>2275</v>
      </c>
    </row>
    <row r="959" spans="2:2" x14ac:dyDescent="0.25">
      <c r="B959" t="s">
        <v>2275</v>
      </c>
    </row>
    <row r="960" spans="2:2" x14ac:dyDescent="0.25">
      <c r="B960" t="s">
        <v>2261</v>
      </c>
    </row>
    <row r="961" spans="2:2" x14ac:dyDescent="0.25">
      <c r="B961" t="s">
        <v>2683</v>
      </c>
    </row>
    <row r="962" spans="2:2" x14ac:dyDescent="0.25">
      <c r="B962" t="s">
        <v>2684</v>
      </c>
    </row>
    <row r="963" spans="2:2" x14ac:dyDescent="0.25">
      <c r="B963" t="s">
        <v>2685</v>
      </c>
    </row>
    <row r="964" spans="2:2" x14ac:dyDescent="0.25">
      <c r="B964" t="s">
        <v>2686</v>
      </c>
    </row>
    <row r="965" spans="2:2" x14ac:dyDescent="0.25">
      <c r="B965" t="s">
        <v>2687</v>
      </c>
    </row>
    <row r="966" spans="2:2" x14ac:dyDescent="0.25">
      <c r="B966" t="s">
        <v>2688</v>
      </c>
    </row>
    <row r="967" spans="2:2" x14ac:dyDescent="0.25">
      <c r="B967" t="s">
        <v>2689</v>
      </c>
    </row>
    <row r="968" spans="2:2" x14ac:dyDescent="0.25">
      <c r="B968" t="s">
        <v>2690</v>
      </c>
    </row>
    <row r="969" spans="2:2" x14ac:dyDescent="0.25">
      <c r="B969" t="s">
        <v>2275</v>
      </c>
    </row>
    <row r="970" spans="2:2" x14ac:dyDescent="0.25">
      <c r="B970" t="s">
        <v>2275</v>
      </c>
    </row>
    <row r="971" spans="2:2" x14ac:dyDescent="0.25">
      <c r="B971" t="s">
        <v>2275</v>
      </c>
    </row>
    <row r="972" spans="2:2" x14ac:dyDescent="0.25">
      <c r="B972" t="s">
        <v>2691</v>
      </c>
    </row>
    <row r="973" spans="2:2" x14ac:dyDescent="0.25">
      <c r="B973" t="s">
        <v>2275</v>
      </c>
    </row>
    <row r="974" spans="2:2" x14ac:dyDescent="0.25">
      <c r="B974" t="s">
        <v>2275</v>
      </c>
    </row>
    <row r="975" spans="2:2" x14ac:dyDescent="0.25">
      <c r="B975" t="s">
        <v>2275</v>
      </c>
    </row>
    <row r="976" spans="2:2" x14ac:dyDescent="0.25">
      <c r="B976" t="s">
        <v>2275</v>
      </c>
    </row>
    <row r="977" spans="2:2" x14ac:dyDescent="0.25">
      <c r="B977" t="s">
        <v>2275</v>
      </c>
    </row>
    <row r="978" spans="2:2" x14ac:dyDescent="0.25">
      <c r="B978" t="s">
        <v>2275</v>
      </c>
    </row>
    <row r="979" spans="2:2" x14ac:dyDescent="0.25">
      <c r="B979" t="s">
        <v>2275</v>
      </c>
    </row>
    <row r="980" spans="2:2" x14ac:dyDescent="0.25">
      <c r="B980" t="s">
        <v>2691</v>
      </c>
    </row>
    <row r="981" spans="2:2" x14ac:dyDescent="0.25">
      <c r="B981" t="s">
        <v>2275</v>
      </c>
    </row>
    <row r="982" spans="2:2" x14ac:dyDescent="0.25">
      <c r="B982" t="s">
        <v>2275</v>
      </c>
    </row>
    <row r="983" spans="2:2" x14ac:dyDescent="0.25">
      <c r="B983" t="s">
        <v>645</v>
      </c>
    </row>
    <row r="984" spans="2:2" x14ac:dyDescent="0.25">
      <c r="B984" t="s">
        <v>2692</v>
      </c>
    </row>
    <row r="985" spans="2:2" x14ac:dyDescent="0.25">
      <c r="B985" t="s">
        <v>2693</v>
      </c>
    </row>
    <row r="986" spans="2:2" x14ac:dyDescent="0.25">
      <c r="B986" t="s">
        <v>2694</v>
      </c>
    </row>
    <row r="987" spans="2:2" x14ac:dyDescent="0.25">
      <c r="B987" t="s">
        <v>2695</v>
      </c>
    </row>
    <row r="988" spans="2:2" x14ac:dyDescent="0.25">
      <c r="B988" t="s">
        <v>2696</v>
      </c>
    </row>
    <row r="989" spans="2:2" x14ac:dyDescent="0.25">
      <c r="B989" t="s">
        <v>2697</v>
      </c>
    </row>
    <row r="990" spans="2:2" x14ac:dyDescent="0.25">
      <c r="B990" t="s">
        <v>2698</v>
      </c>
    </row>
    <row r="991" spans="2:2" x14ac:dyDescent="0.25">
      <c r="B991" t="s">
        <v>2699</v>
      </c>
    </row>
    <row r="992" spans="2:2" x14ac:dyDescent="0.25">
      <c r="B992" t="s">
        <v>2700</v>
      </c>
    </row>
    <row r="993" spans="2:2" x14ac:dyDescent="0.25">
      <c r="B993" t="s">
        <v>2701</v>
      </c>
    </row>
    <row r="994" spans="2:2" x14ac:dyDescent="0.25">
      <c r="B994" t="s">
        <v>2275</v>
      </c>
    </row>
    <row r="995" spans="2:2" x14ac:dyDescent="0.25">
      <c r="B995" t="s">
        <v>2275</v>
      </c>
    </row>
    <row r="996" spans="2:2" x14ac:dyDescent="0.25">
      <c r="B996" t="s">
        <v>2275</v>
      </c>
    </row>
    <row r="997" spans="2:2" x14ac:dyDescent="0.25">
      <c r="B997" t="s">
        <v>2275</v>
      </c>
    </row>
    <row r="998" spans="2:2" x14ac:dyDescent="0.25">
      <c r="B998" t="s">
        <v>2702</v>
      </c>
    </row>
    <row r="999" spans="2:2" x14ac:dyDescent="0.25">
      <c r="B999" t="s">
        <v>2275</v>
      </c>
    </row>
    <row r="1000" spans="2:2" x14ac:dyDescent="0.25">
      <c r="B1000" t="s">
        <v>2703</v>
      </c>
    </row>
    <row r="1001" spans="2:2" x14ac:dyDescent="0.25">
      <c r="B1001" t="s">
        <v>2691</v>
      </c>
    </row>
    <row r="1002" spans="2:2" x14ac:dyDescent="0.25">
      <c r="B1002" t="s">
        <v>2704</v>
      </c>
    </row>
    <row r="1003" spans="2:2" x14ac:dyDescent="0.25">
      <c r="B1003" t="s">
        <v>2705</v>
      </c>
    </row>
    <row r="1004" spans="2:2" x14ac:dyDescent="0.25">
      <c r="B1004" t="s">
        <v>2706</v>
      </c>
    </row>
    <row r="1005" spans="2:2" x14ac:dyDescent="0.25">
      <c r="B1005" t="s">
        <v>2707</v>
      </c>
    </row>
    <row r="1006" spans="2:2" x14ac:dyDescent="0.25">
      <c r="B1006" t="s">
        <v>2275</v>
      </c>
    </row>
    <row r="1007" spans="2:2" x14ac:dyDescent="0.25">
      <c r="B1007" t="s">
        <v>2708</v>
      </c>
    </row>
    <row r="1008" spans="2:2" x14ac:dyDescent="0.25">
      <c r="B1008" t="s">
        <v>2709</v>
      </c>
    </row>
    <row r="1009" spans="2:2" x14ac:dyDescent="0.25">
      <c r="B1009" t="s">
        <v>2710</v>
      </c>
    </row>
    <row r="1010" spans="2:2" x14ac:dyDescent="0.25">
      <c r="B1010" t="s">
        <v>2412</v>
      </c>
    </row>
    <row r="1011" spans="2:2" x14ac:dyDescent="0.25">
      <c r="B1011" t="s">
        <v>2711</v>
      </c>
    </row>
    <row r="1012" spans="2:2" x14ac:dyDescent="0.25">
      <c r="B1012" t="s">
        <v>2712</v>
      </c>
    </row>
    <row r="1013" spans="2:2" x14ac:dyDescent="0.25">
      <c r="B1013" t="s">
        <v>2713</v>
      </c>
    </row>
    <row r="1014" spans="2:2" x14ac:dyDescent="0.25">
      <c r="B1014" t="s">
        <v>2714</v>
      </c>
    </row>
    <row r="1015" spans="2:2" x14ac:dyDescent="0.25">
      <c r="B1015" t="s">
        <v>2715</v>
      </c>
    </row>
    <row r="1016" spans="2:2" x14ac:dyDescent="0.25">
      <c r="B1016" t="s">
        <v>2716</v>
      </c>
    </row>
    <row r="1017" spans="2:2" x14ac:dyDescent="0.25">
      <c r="B1017" t="s">
        <v>2275</v>
      </c>
    </row>
    <row r="1018" spans="2:2" x14ac:dyDescent="0.25">
      <c r="B1018" t="s">
        <v>2275</v>
      </c>
    </row>
    <row r="1019" spans="2:2" x14ac:dyDescent="0.25">
      <c r="B1019" t="s">
        <v>2717</v>
      </c>
    </row>
    <row r="1020" spans="2:2" x14ac:dyDescent="0.25">
      <c r="B1020" t="s">
        <v>2275</v>
      </c>
    </row>
    <row r="1021" spans="2:2" x14ac:dyDescent="0.25">
      <c r="B1021" t="s">
        <v>2718</v>
      </c>
    </row>
    <row r="1022" spans="2:2" x14ac:dyDescent="0.25">
      <c r="B1022" t="s">
        <v>2275</v>
      </c>
    </row>
    <row r="1023" spans="2:2" x14ac:dyDescent="0.25">
      <c r="B1023" t="s">
        <v>2719</v>
      </c>
    </row>
    <row r="1024" spans="2:2" x14ac:dyDescent="0.25">
      <c r="B1024" t="s">
        <v>2720</v>
      </c>
    </row>
    <row r="1025" spans="2:2" x14ac:dyDescent="0.25">
      <c r="B1025" t="s">
        <v>2721</v>
      </c>
    </row>
    <row r="1026" spans="2:2" x14ac:dyDescent="0.25">
      <c r="B1026" t="s">
        <v>2722</v>
      </c>
    </row>
    <row r="1027" spans="2:2" x14ac:dyDescent="0.25">
      <c r="B1027" t="s">
        <v>2723</v>
      </c>
    </row>
    <row r="1028" spans="2:2" x14ac:dyDescent="0.25">
      <c r="B1028" t="s">
        <v>2275</v>
      </c>
    </row>
    <row r="1029" spans="2:2" x14ac:dyDescent="0.25">
      <c r="B1029" t="s">
        <v>2724</v>
      </c>
    </row>
    <row r="1030" spans="2:2" x14ac:dyDescent="0.25">
      <c r="B1030" t="s">
        <v>2725</v>
      </c>
    </row>
    <row r="1031" spans="2:2" x14ac:dyDescent="0.25">
      <c r="B1031" t="s">
        <v>2726</v>
      </c>
    </row>
    <row r="1032" spans="2:2" x14ac:dyDescent="0.25">
      <c r="B1032" t="s">
        <v>2727</v>
      </c>
    </row>
    <row r="1033" spans="2:2" x14ac:dyDescent="0.25">
      <c r="B1033" t="s">
        <v>2275</v>
      </c>
    </row>
    <row r="1034" spans="2:2" x14ac:dyDescent="0.25">
      <c r="B1034" t="s">
        <v>2728</v>
      </c>
    </row>
    <row r="1035" spans="2:2" x14ac:dyDescent="0.25">
      <c r="B1035" t="s">
        <v>2729</v>
      </c>
    </row>
    <row r="1036" spans="2:2" x14ac:dyDescent="0.25">
      <c r="B1036" t="s">
        <v>2730</v>
      </c>
    </row>
    <row r="1037" spans="2:2" x14ac:dyDescent="0.25">
      <c r="B1037" t="s">
        <v>2731</v>
      </c>
    </row>
    <row r="1038" spans="2:2" x14ac:dyDescent="0.25">
      <c r="B1038" t="s">
        <v>2275</v>
      </c>
    </row>
    <row r="1039" spans="2:2" x14ac:dyDescent="0.25">
      <c r="B1039" t="s">
        <v>2732</v>
      </c>
    </row>
    <row r="1040" spans="2:2" x14ac:dyDescent="0.25">
      <c r="B1040" t="s">
        <v>2733</v>
      </c>
    </row>
    <row r="1041" spans="2:2" x14ac:dyDescent="0.25">
      <c r="B1041" t="s">
        <v>2275</v>
      </c>
    </row>
    <row r="1042" spans="2:2" x14ac:dyDescent="0.25">
      <c r="B1042" t="s">
        <v>2734</v>
      </c>
    </row>
    <row r="1043" spans="2:2" x14ac:dyDescent="0.25">
      <c r="B1043" t="s">
        <v>2735</v>
      </c>
    </row>
    <row r="1044" spans="2:2" x14ac:dyDescent="0.25">
      <c r="B1044" t="s">
        <v>2736</v>
      </c>
    </row>
    <row r="1045" spans="2:2" x14ac:dyDescent="0.25">
      <c r="B1045" t="s">
        <v>2691</v>
      </c>
    </row>
    <row r="1046" spans="2:2" x14ac:dyDescent="0.25">
      <c r="B1046" t="s">
        <v>2275</v>
      </c>
    </row>
    <row r="1047" spans="2:2" x14ac:dyDescent="0.25">
      <c r="B1047" t="s">
        <v>2275</v>
      </c>
    </row>
    <row r="1048" spans="2:2" x14ac:dyDescent="0.25">
      <c r="B1048" t="s">
        <v>2737</v>
      </c>
    </row>
    <row r="1049" spans="2:2" x14ac:dyDescent="0.25">
      <c r="B1049" t="s">
        <v>2738</v>
      </c>
    </row>
    <row r="1050" spans="2:2" x14ac:dyDescent="0.25">
      <c r="B1050" t="s">
        <v>400</v>
      </c>
    </row>
    <row r="1051" spans="2:2" x14ac:dyDescent="0.25">
      <c r="B1051" t="s">
        <v>2275</v>
      </c>
    </row>
    <row r="1052" spans="2:2" x14ac:dyDescent="0.25">
      <c r="B1052" t="s">
        <v>2739</v>
      </c>
    </row>
    <row r="1053" spans="2:2" x14ac:dyDescent="0.25">
      <c r="B1053" t="s">
        <v>2449</v>
      </c>
    </row>
    <row r="1054" spans="2:2" x14ac:dyDescent="0.25">
      <c r="B1054" t="s">
        <v>2740</v>
      </c>
    </row>
    <row r="1055" spans="2:2" x14ac:dyDescent="0.25">
      <c r="B1055" t="s">
        <v>2741</v>
      </c>
    </row>
    <row r="1056" spans="2:2" x14ac:dyDescent="0.25">
      <c r="B1056" t="s">
        <v>2742</v>
      </c>
    </row>
    <row r="1057" spans="2:2" x14ac:dyDescent="0.25">
      <c r="B1057" t="s">
        <v>2743</v>
      </c>
    </row>
    <row r="1058" spans="2:2" x14ac:dyDescent="0.25">
      <c r="B1058" t="s">
        <v>2744</v>
      </c>
    </row>
    <row r="1059" spans="2:2" x14ac:dyDescent="0.25">
      <c r="B1059" t="s">
        <v>2745</v>
      </c>
    </row>
    <row r="1060" spans="2:2" x14ac:dyDescent="0.25">
      <c r="B1060" t="s">
        <v>2746</v>
      </c>
    </row>
    <row r="1061" spans="2:2" x14ac:dyDescent="0.25">
      <c r="B1061" t="s">
        <v>2275</v>
      </c>
    </row>
    <row r="1062" spans="2:2" x14ac:dyDescent="0.25">
      <c r="B1062" t="s">
        <v>2747</v>
      </c>
    </row>
    <row r="1063" spans="2:2" x14ac:dyDescent="0.25">
      <c r="B1063" t="s">
        <v>2748</v>
      </c>
    </row>
    <row r="1064" spans="2:2" x14ac:dyDescent="0.25">
      <c r="B1064" t="s">
        <v>2749</v>
      </c>
    </row>
    <row r="1065" spans="2:2" x14ac:dyDescent="0.25">
      <c r="B1065" t="s">
        <v>2750</v>
      </c>
    </row>
    <row r="1066" spans="2:2" x14ac:dyDescent="0.25">
      <c r="B1066" t="s">
        <v>2275</v>
      </c>
    </row>
    <row r="1067" spans="2:2" x14ac:dyDescent="0.25">
      <c r="B1067" t="s">
        <v>2751</v>
      </c>
    </row>
    <row r="1068" spans="2:2" x14ac:dyDescent="0.25">
      <c r="B1068" t="s">
        <v>2752</v>
      </c>
    </row>
    <row r="1069" spans="2:2" x14ac:dyDescent="0.25">
      <c r="B1069" t="s">
        <v>2753</v>
      </c>
    </row>
    <row r="1070" spans="2:2" x14ac:dyDescent="0.25">
      <c r="B1070" t="s">
        <v>2754</v>
      </c>
    </row>
    <row r="1071" spans="2:2" x14ac:dyDescent="0.25">
      <c r="B1071" t="s">
        <v>2755</v>
      </c>
    </row>
    <row r="1072" spans="2:2" x14ac:dyDescent="0.25">
      <c r="B1072" t="s">
        <v>2275</v>
      </c>
    </row>
    <row r="1073" spans="2:2" x14ac:dyDescent="0.25">
      <c r="B1073" t="s">
        <v>2275</v>
      </c>
    </row>
    <row r="1074" spans="2:2" x14ac:dyDescent="0.25">
      <c r="B1074" t="s">
        <v>2275</v>
      </c>
    </row>
    <row r="1075" spans="2:2" x14ac:dyDescent="0.25">
      <c r="B1075" t="s">
        <v>2756</v>
      </c>
    </row>
    <row r="1076" spans="2:2" x14ac:dyDescent="0.25">
      <c r="B1076" t="s">
        <v>2275</v>
      </c>
    </row>
    <row r="1077" spans="2:2" x14ac:dyDescent="0.25">
      <c r="B1077" t="s">
        <v>2757</v>
      </c>
    </row>
    <row r="1078" spans="2:2" x14ac:dyDescent="0.25">
      <c r="B1078" t="s">
        <v>2275</v>
      </c>
    </row>
    <row r="1079" spans="2:2" x14ac:dyDescent="0.25">
      <c r="B1079" t="s">
        <v>2275</v>
      </c>
    </row>
    <row r="1080" spans="2:2" x14ac:dyDescent="0.25">
      <c r="B1080" t="s">
        <v>2275</v>
      </c>
    </row>
    <row r="1081" spans="2:2" x14ac:dyDescent="0.25">
      <c r="B1081" t="s">
        <v>2275</v>
      </c>
    </row>
    <row r="1082" spans="2:2" x14ac:dyDescent="0.25">
      <c r="B1082" t="s">
        <v>2758</v>
      </c>
    </row>
    <row r="1083" spans="2:2" x14ac:dyDescent="0.25">
      <c r="B1083" t="s">
        <v>2759</v>
      </c>
    </row>
    <row r="1084" spans="2:2" x14ac:dyDescent="0.25">
      <c r="B1084" t="s">
        <v>2760</v>
      </c>
    </row>
    <row r="1085" spans="2:2" x14ac:dyDescent="0.25">
      <c r="B1085" t="s">
        <v>2275</v>
      </c>
    </row>
    <row r="1086" spans="2:2" x14ac:dyDescent="0.25">
      <c r="B1086" t="s">
        <v>2761</v>
      </c>
    </row>
    <row r="1087" spans="2:2" x14ac:dyDescent="0.25">
      <c r="B1087" t="s">
        <v>2762</v>
      </c>
    </row>
    <row r="1088" spans="2:2" x14ac:dyDescent="0.25">
      <c r="B1088" t="s">
        <v>2275</v>
      </c>
    </row>
    <row r="1089" spans="2:2" x14ac:dyDescent="0.25">
      <c r="B1089" t="s">
        <v>2502</v>
      </c>
    </row>
    <row r="1090" spans="2:2" x14ac:dyDescent="0.25">
      <c r="B1090" t="s">
        <v>2763</v>
      </c>
    </row>
    <row r="1091" spans="2:2" x14ac:dyDescent="0.25">
      <c r="B1091" t="s">
        <v>2764</v>
      </c>
    </row>
    <row r="1092" spans="2:2" x14ac:dyDescent="0.25">
      <c r="B1092" t="s">
        <v>2765</v>
      </c>
    </row>
    <row r="1093" spans="2:2" x14ac:dyDescent="0.25">
      <c r="B1093" t="s">
        <v>2766</v>
      </c>
    </row>
    <row r="1094" spans="2:2" x14ac:dyDescent="0.25">
      <c r="B1094" t="s">
        <v>2275</v>
      </c>
    </row>
    <row r="1095" spans="2:2" x14ac:dyDescent="0.25">
      <c r="B1095" t="s">
        <v>2767</v>
      </c>
    </row>
    <row r="1096" spans="2:2" x14ac:dyDescent="0.25">
      <c r="B1096" t="s">
        <v>2275</v>
      </c>
    </row>
    <row r="1097" spans="2:2" x14ac:dyDescent="0.25">
      <c r="B1097" t="s">
        <v>2768</v>
      </c>
    </row>
    <row r="1098" spans="2:2" x14ac:dyDescent="0.25">
      <c r="B1098" t="s">
        <v>2769</v>
      </c>
    </row>
    <row r="1099" spans="2:2" x14ac:dyDescent="0.25">
      <c r="B1099" t="s">
        <v>2770</v>
      </c>
    </row>
    <row r="1100" spans="2:2" x14ac:dyDescent="0.25">
      <c r="B1100" t="s">
        <v>2771</v>
      </c>
    </row>
    <row r="1101" spans="2:2" x14ac:dyDescent="0.25">
      <c r="B1101" t="s">
        <v>2772</v>
      </c>
    </row>
    <row r="1102" spans="2:2" x14ac:dyDescent="0.25">
      <c r="B1102" t="s">
        <v>2773</v>
      </c>
    </row>
    <row r="1103" spans="2:2" x14ac:dyDescent="0.25">
      <c r="B1103" t="s">
        <v>2275</v>
      </c>
    </row>
    <row r="1104" spans="2:2" x14ac:dyDescent="0.25">
      <c r="B1104" t="s">
        <v>2774</v>
      </c>
    </row>
    <row r="1105" spans="2:2" x14ac:dyDescent="0.25">
      <c r="B1105" t="s">
        <v>2775</v>
      </c>
    </row>
    <row r="1106" spans="2:2" x14ac:dyDescent="0.25">
      <c r="B1106" t="s">
        <v>2776</v>
      </c>
    </row>
    <row r="1107" spans="2:2" x14ac:dyDescent="0.25">
      <c r="B1107" t="s">
        <v>2275</v>
      </c>
    </row>
    <row r="1108" spans="2:2" x14ac:dyDescent="0.25">
      <c r="B1108" t="s">
        <v>2777</v>
      </c>
    </row>
    <row r="1109" spans="2:2" x14ac:dyDescent="0.25">
      <c r="B1109" t="s">
        <v>2778</v>
      </c>
    </row>
    <row r="1110" spans="2:2" x14ac:dyDescent="0.25">
      <c r="B1110" t="s">
        <v>2779</v>
      </c>
    </row>
    <row r="1111" spans="2:2" x14ac:dyDescent="0.25">
      <c r="B1111" t="s">
        <v>2275</v>
      </c>
    </row>
    <row r="1112" spans="2:2" x14ac:dyDescent="0.25">
      <c r="B1112" t="s">
        <v>2780</v>
      </c>
    </row>
    <row r="1113" spans="2:2" x14ac:dyDescent="0.25">
      <c r="B1113" t="s">
        <v>2781</v>
      </c>
    </row>
    <row r="1114" spans="2:2" x14ac:dyDescent="0.25">
      <c r="B1114" t="s">
        <v>2108</v>
      </c>
    </row>
    <row r="1115" spans="2:2" x14ac:dyDescent="0.25">
      <c r="B1115" t="s">
        <v>2782</v>
      </c>
    </row>
    <row r="1116" spans="2:2" x14ac:dyDescent="0.25">
      <c r="B1116" t="s">
        <v>2783</v>
      </c>
    </row>
    <row r="1117" spans="2:2" x14ac:dyDescent="0.25">
      <c r="B1117" t="s">
        <v>2784</v>
      </c>
    </row>
    <row r="1118" spans="2:2" x14ac:dyDescent="0.25">
      <c r="B1118" t="s">
        <v>2785</v>
      </c>
    </row>
    <row r="1119" spans="2:2" x14ac:dyDescent="0.25">
      <c r="B1119" t="s">
        <v>2786</v>
      </c>
    </row>
    <row r="1120" spans="2:2" x14ac:dyDescent="0.25">
      <c r="B1120" t="s">
        <v>2275</v>
      </c>
    </row>
    <row r="1121" spans="2:2" x14ac:dyDescent="0.25">
      <c r="B1121" t="s">
        <v>2787</v>
      </c>
    </row>
    <row r="1122" spans="2:2" x14ac:dyDescent="0.25">
      <c r="B1122" t="s">
        <v>2275</v>
      </c>
    </row>
    <row r="1123" spans="2:2" x14ac:dyDescent="0.25">
      <c r="B1123" t="s">
        <v>2788</v>
      </c>
    </row>
    <row r="1124" spans="2:2" x14ac:dyDescent="0.25">
      <c r="B1124" t="s">
        <v>2789</v>
      </c>
    </row>
    <row r="1125" spans="2:2" x14ac:dyDescent="0.25">
      <c r="B1125" t="s">
        <v>2790</v>
      </c>
    </row>
    <row r="1126" spans="2:2" x14ac:dyDescent="0.25">
      <c r="B1126" t="s">
        <v>2791</v>
      </c>
    </row>
    <row r="1127" spans="2:2" x14ac:dyDescent="0.25">
      <c r="B1127" t="s">
        <v>2275</v>
      </c>
    </row>
    <row r="1128" spans="2:2" x14ac:dyDescent="0.25">
      <c r="B1128" t="s">
        <v>2792</v>
      </c>
    </row>
    <row r="1129" spans="2:2" x14ac:dyDescent="0.25">
      <c r="B1129" t="s">
        <v>2793</v>
      </c>
    </row>
    <row r="1130" spans="2:2" x14ac:dyDescent="0.25">
      <c r="B1130" t="s">
        <v>2794</v>
      </c>
    </row>
    <row r="1131" spans="2:2" x14ac:dyDescent="0.25">
      <c r="B1131" t="s">
        <v>2795</v>
      </c>
    </row>
    <row r="1132" spans="2:2" x14ac:dyDescent="0.25">
      <c r="B1132" t="s">
        <v>2275</v>
      </c>
    </row>
    <row r="1133" spans="2:2" x14ac:dyDescent="0.25">
      <c r="B1133" t="s">
        <v>2796</v>
      </c>
    </row>
    <row r="1134" spans="2:2" x14ac:dyDescent="0.25">
      <c r="B1134" t="s">
        <v>2797</v>
      </c>
    </row>
    <row r="1135" spans="2:2" x14ac:dyDescent="0.25">
      <c r="B1135" t="s">
        <v>2275</v>
      </c>
    </row>
    <row r="1136" spans="2:2" x14ac:dyDescent="0.25">
      <c r="B1136" t="s">
        <v>2798</v>
      </c>
    </row>
    <row r="1137" spans="2:2" x14ac:dyDescent="0.25">
      <c r="B1137" t="s">
        <v>2275</v>
      </c>
    </row>
    <row r="1138" spans="2:2" x14ac:dyDescent="0.25">
      <c r="B1138" t="s">
        <v>2799</v>
      </c>
    </row>
    <row r="1139" spans="2:2" x14ac:dyDescent="0.25">
      <c r="B1139" t="s">
        <v>2800</v>
      </c>
    </row>
    <row r="1140" spans="2:2" x14ac:dyDescent="0.25">
      <c r="B1140" t="s">
        <v>2275</v>
      </c>
    </row>
    <row r="1141" spans="2:2" x14ac:dyDescent="0.25">
      <c r="B1141" t="s">
        <v>2801</v>
      </c>
    </row>
    <row r="1142" spans="2:2" x14ac:dyDescent="0.25">
      <c r="B1142" t="s">
        <v>2802</v>
      </c>
    </row>
    <row r="1143" spans="2:2" x14ac:dyDescent="0.25">
      <c r="B1143" t="s">
        <v>2803</v>
      </c>
    </row>
    <row r="1144" spans="2:2" x14ac:dyDescent="0.25">
      <c r="B1144" t="s">
        <v>2804</v>
      </c>
    </row>
    <row r="1145" spans="2:2" x14ac:dyDescent="0.25">
      <c r="B1145" t="s">
        <v>2275</v>
      </c>
    </row>
    <row r="1146" spans="2:2" x14ac:dyDescent="0.25">
      <c r="B1146" t="s">
        <v>2805</v>
      </c>
    </row>
    <row r="1147" spans="2:2" x14ac:dyDescent="0.25">
      <c r="B1147" t="s">
        <v>2806</v>
      </c>
    </row>
    <row r="1148" spans="2:2" x14ac:dyDescent="0.25">
      <c r="B1148" t="s">
        <v>2275</v>
      </c>
    </row>
    <row r="1149" spans="2:2" x14ac:dyDescent="0.25">
      <c r="B1149" t="s">
        <v>2275</v>
      </c>
    </row>
    <row r="1150" spans="2:2" x14ac:dyDescent="0.25">
      <c r="B1150" t="s">
        <v>2807</v>
      </c>
    </row>
    <row r="1151" spans="2:2" x14ac:dyDescent="0.25">
      <c r="B1151" t="s">
        <v>2808</v>
      </c>
    </row>
    <row r="1152" spans="2:2" x14ac:dyDescent="0.25">
      <c r="B1152" t="s">
        <v>2275</v>
      </c>
    </row>
    <row r="1153" spans="2:2" x14ac:dyDescent="0.25">
      <c r="B1153" t="s">
        <v>2809</v>
      </c>
    </row>
    <row r="1154" spans="2:2" x14ac:dyDescent="0.25">
      <c r="B1154" t="s">
        <v>2275</v>
      </c>
    </row>
    <row r="1155" spans="2:2" x14ac:dyDescent="0.25">
      <c r="B1155" t="s">
        <v>2275</v>
      </c>
    </row>
    <row r="1156" spans="2:2" x14ac:dyDescent="0.25">
      <c r="B1156" t="s">
        <v>2275</v>
      </c>
    </row>
    <row r="1157" spans="2:2" x14ac:dyDescent="0.25">
      <c r="B1157" t="s">
        <v>2810</v>
      </c>
    </row>
    <row r="1158" spans="2:2" x14ac:dyDescent="0.25">
      <c r="B1158" t="s">
        <v>2811</v>
      </c>
    </row>
    <row r="1159" spans="2:2" x14ac:dyDescent="0.25">
      <c r="B1159" t="s">
        <v>2812</v>
      </c>
    </row>
    <row r="1160" spans="2:2" x14ac:dyDescent="0.25">
      <c r="B1160" t="s">
        <v>2813</v>
      </c>
    </row>
    <row r="1161" spans="2:2" x14ac:dyDescent="0.25">
      <c r="B1161" t="s">
        <v>2814</v>
      </c>
    </row>
    <row r="1162" spans="2:2" x14ac:dyDescent="0.25">
      <c r="B1162" t="s">
        <v>2815</v>
      </c>
    </row>
    <row r="1163" spans="2:2" x14ac:dyDescent="0.25">
      <c r="B1163" t="s">
        <v>2816</v>
      </c>
    </row>
    <row r="1164" spans="2:2" x14ac:dyDescent="0.25">
      <c r="B1164" t="s">
        <v>2817</v>
      </c>
    </row>
    <row r="1165" spans="2:2" x14ac:dyDescent="0.25">
      <c r="B1165" t="s">
        <v>2818</v>
      </c>
    </row>
    <row r="1166" spans="2:2" x14ac:dyDescent="0.25">
      <c r="B1166" t="s">
        <v>2819</v>
      </c>
    </row>
    <row r="1167" spans="2:2" x14ac:dyDescent="0.25">
      <c r="B1167" t="s">
        <v>2820</v>
      </c>
    </row>
    <row r="1168" spans="2:2" x14ac:dyDescent="0.25">
      <c r="B1168" t="s">
        <v>2821</v>
      </c>
    </row>
    <row r="1169" spans="2:2" x14ac:dyDescent="0.25">
      <c r="B1169" t="s">
        <v>2822</v>
      </c>
    </row>
    <row r="1170" spans="2:2" x14ac:dyDescent="0.25">
      <c r="B1170" t="s">
        <v>2822</v>
      </c>
    </row>
    <row r="1171" spans="2:2" x14ac:dyDescent="0.25">
      <c r="B1171" t="s">
        <v>2823</v>
      </c>
    </row>
    <row r="1172" spans="2:2" x14ac:dyDescent="0.25">
      <c r="B1172" t="s">
        <v>2824</v>
      </c>
    </row>
    <row r="1173" spans="2:2" x14ac:dyDescent="0.25">
      <c r="B1173" t="s">
        <v>2825</v>
      </c>
    </row>
    <row r="1174" spans="2:2" x14ac:dyDescent="0.25">
      <c r="B1174" t="s">
        <v>2826</v>
      </c>
    </row>
    <row r="1175" spans="2:2" x14ac:dyDescent="0.25">
      <c r="B1175" t="s">
        <v>2827</v>
      </c>
    </row>
    <row r="1176" spans="2:2" x14ac:dyDescent="0.25">
      <c r="B1176" t="s">
        <v>2828</v>
      </c>
    </row>
    <row r="1177" spans="2:2" x14ac:dyDescent="0.25">
      <c r="B1177" t="s">
        <v>2465</v>
      </c>
    </row>
    <row r="1178" spans="2:2" x14ac:dyDescent="0.25">
      <c r="B1178" t="s">
        <v>2275</v>
      </c>
    </row>
    <row r="1179" spans="2:2" x14ac:dyDescent="0.25">
      <c r="B1179" t="s">
        <v>2829</v>
      </c>
    </row>
    <row r="1180" spans="2:2" x14ac:dyDescent="0.25">
      <c r="B1180" t="s">
        <v>2275</v>
      </c>
    </row>
    <row r="1181" spans="2:2" x14ac:dyDescent="0.25">
      <c r="B1181" t="s">
        <v>2830</v>
      </c>
    </row>
    <row r="1182" spans="2:2" x14ac:dyDescent="0.25">
      <c r="B1182" t="s">
        <v>2016</v>
      </c>
    </row>
    <row r="1183" spans="2:2" x14ac:dyDescent="0.25">
      <c r="B1183" t="s">
        <v>2831</v>
      </c>
    </row>
    <row r="1184" spans="2:2" x14ac:dyDescent="0.25">
      <c r="B1184" t="s">
        <v>2275</v>
      </c>
    </row>
    <row r="1185" spans="2:2" x14ac:dyDescent="0.25">
      <c r="B1185" t="s">
        <v>2832</v>
      </c>
    </row>
    <row r="1186" spans="2:2" x14ac:dyDescent="0.25">
      <c r="B1186" t="s">
        <v>2833</v>
      </c>
    </row>
    <row r="1187" spans="2:2" x14ac:dyDescent="0.25">
      <c r="B1187" t="s">
        <v>2834</v>
      </c>
    </row>
    <row r="1188" spans="2:2" x14ac:dyDescent="0.25">
      <c r="B1188" t="s">
        <v>2835</v>
      </c>
    </row>
    <row r="1189" spans="2:2" x14ac:dyDescent="0.25">
      <c r="B1189" t="s">
        <v>2836</v>
      </c>
    </row>
    <row r="1190" spans="2:2" x14ac:dyDescent="0.25">
      <c r="B1190" t="s">
        <v>2837</v>
      </c>
    </row>
    <row r="1191" spans="2:2" x14ac:dyDescent="0.25">
      <c r="B1191" t="s">
        <v>2275</v>
      </c>
    </row>
    <row r="1192" spans="2:2" x14ac:dyDescent="0.25">
      <c r="B1192" t="s">
        <v>2838</v>
      </c>
    </row>
    <row r="1193" spans="2:2" x14ac:dyDescent="0.25">
      <c r="B1193" t="s">
        <v>2839</v>
      </c>
    </row>
    <row r="1194" spans="2:2" x14ac:dyDescent="0.25">
      <c r="B1194" t="s">
        <v>2840</v>
      </c>
    </row>
    <row r="1195" spans="2:2" x14ac:dyDescent="0.25">
      <c r="B1195" t="s">
        <v>2275</v>
      </c>
    </row>
    <row r="1196" spans="2:2" x14ac:dyDescent="0.25">
      <c r="B1196" t="s">
        <v>2841</v>
      </c>
    </row>
    <row r="1197" spans="2:2" x14ac:dyDescent="0.25">
      <c r="B1197" t="s">
        <v>2842</v>
      </c>
    </row>
    <row r="1198" spans="2:2" x14ac:dyDescent="0.25">
      <c r="B1198" t="s">
        <v>2843</v>
      </c>
    </row>
    <row r="1199" spans="2:2" x14ac:dyDescent="0.25">
      <c r="B1199" t="s">
        <v>2844</v>
      </c>
    </row>
    <row r="1200" spans="2:2" x14ac:dyDescent="0.25">
      <c r="B1200" t="s">
        <v>2845</v>
      </c>
    </row>
    <row r="1201" spans="2:2" x14ac:dyDescent="0.25">
      <c r="B1201" t="s">
        <v>2846</v>
      </c>
    </row>
    <row r="1202" spans="2:2" x14ac:dyDescent="0.25">
      <c r="B1202" t="s">
        <v>2847</v>
      </c>
    </row>
    <row r="1203" spans="2:2" x14ac:dyDescent="0.25">
      <c r="B1203" t="s">
        <v>2848</v>
      </c>
    </row>
    <row r="1204" spans="2:2" x14ac:dyDescent="0.25">
      <c r="B1204" t="s">
        <v>2849</v>
      </c>
    </row>
    <row r="1205" spans="2:2" x14ac:dyDescent="0.25">
      <c r="B1205" t="s">
        <v>2850</v>
      </c>
    </row>
    <row r="1206" spans="2:2" x14ac:dyDescent="0.25">
      <c r="B1206" t="s">
        <v>2851</v>
      </c>
    </row>
    <row r="1207" spans="2:2" x14ac:dyDescent="0.25">
      <c r="B1207" t="s">
        <v>2852</v>
      </c>
    </row>
    <row r="1208" spans="2:2" x14ac:dyDescent="0.25">
      <c r="B1208" t="s">
        <v>2853</v>
      </c>
    </row>
    <row r="1209" spans="2:2" x14ac:dyDescent="0.25">
      <c r="B1209" t="s">
        <v>2854</v>
      </c>
    </row>
    <row r="1210" spans="2:2" x14ac:dyDescent="0.25">
      <c r="B1210" t="s">
        <v>2855</v>
      </c>
    </row>
    <row r="1211" spans="2:2" x14ac:dyDescent="0.25">
      <c r="B1211" t="s">
        <v>2856</v>
      </c>
    </row>
    <row r="1212" spans="2:2" x14ac:dyDescent="0.25">
      <c r="B1212" t="s">
        <v>2857</v>
      </c>
    </row>
    <row r="1213" spans="2:2" x14ac:dyDescent="0.25">
      <c r="B1213" t="s">
        <v>2858</v>
      </c>
    </row>
    <row r="1214" spans="2:2" x14ac:dyDescent="0.25">
      <c r="B1214" t="s">
        <v>2859</v>
      </c>
    </row>
    <row r="1215" spans="2:2" x14ac:dyDescent="0.25">
      <c r="B1215" t="s">
        <v>2860</v>
      </c>
    </row>
    <row r="1216" spans="2:2" x14ac:dyDescent="0.25">
      <c r="B1216" t="s">
        <v>2861</v>
      </c>
    </row>
    <row r="1217" spans="2:2" x14ac:dyDescent="0.25">
      <c r="B1217" t="s">
        <v>2862</v>
      </c>
    </row>
    <row r="1218" spans="2:2" x14ac:dyDescent="0.25">
      <c r="B1218" t="s">
        <v>2275</v>
      </c>
    </row>
    <row r="1219" spans="2:2" x14ac:dyDescent="0.25">
      <c r="B1219" t="s">
        <v>2863</v>
      </c>
    </row>
    <row r="1220" spans="2:2" x14ac:dyDescent="0.25">
      <c r="B1220" t="s">
        <v>2275</v>
      </c>
    </row>
    <row r="1221" spans="2:2" x14ac:dyDescent="0.25">
      <c r="B1221" t="s">
        <v>2864</v>
      </c>
    </row>
    <row r="1222" spans="2:2" x14ac:dyDescent="0.25">
      <c r="B1222" t="s">
        <v>2865</v>
      </c>
    </row>
    <row r="1223" spans="2:2" x14ac:dyDescent="0.25">
      <c r="B1223" t="s">
        <v>2866</v>
      </c>
    </row>
    <row r="1224" spans="2:2" x14ac:dyDescent="0.25">
      <c r="B1224" t="s">
        <v>2275</v>
      </c>
    </row>
    <row r="1225" spans="2:2" x14ac:dyDescent="0.25">
      <c r="B1225" t="s">
        <v>2275</v>
      </c>
    </row>
    <row r="1226" spans="2:2" x14ac:dyDescent="0.25">
      <c r="B1226" t="s">
        <v>2867</v>
      </c>
    </row>
    <row r="1227" spans="2:2" x14ac:dyDescent="0.25">
      <c r="B1227" t="s">
        <v>2275</v>
      </c>
    </row>
    <row r="1228" spans="2:2" x14ac:dyDescent="0.25">
      <c r="B1228" t="s">
        <v>2868</v>
      </c>
    </row>
    <row r="1229" spans="2:2" x14ac:dyDescent="0.25">
      <c r="B1229" t="s">
        <v>2275</v>
      </c>
    </row>
    <row r="1230" spans="2:2" x14ac:dyDescent="0.25">
      <c r="B1230" t="s">
        <v>2275</v>
      </c>
    </row>
    <row r="1231" spans="2:2" x14ac:dyDescent="0.25">
      <c r="B1231" t="s">
        <v>2691</v>
      </c>
    </row>
    <row r="1232" spans="2:2" x14ac:dyDescent="0.25">
      <c r="B1232" t="s">
        <v>2691</v>
      </c>
    </row>
    <row r="1233" spans="2:2" x14ac:dyDescent="0.25">
      <c r="B1233" t="s">
        <v>2691</v>
      </c>
    </row>
    <row r="1234" spans="2:2" x14ac:dyDescent="0.25">
      <c r="B1234" t="s">
        <v>2275</v>
      </c>
    </row>
    <row r="1235" spans="2:2" x14ac:dyDescent="0.25">
      <c r="B1235" t="s">
        <v>2275</v>
      </c>
    </row>
    <row r="1236" spans="2:2" x14ac:dyDescent="0.25">
      <c r="B1236" t="s">
        <v>2275</v>
      </c>
    </row>
    <row r="1237" spans="2:2" x14ac:dyDescent="0.25">
      <c r="B1237" t="s">
        <v>2275</v>
      </c>
    </row>
    <row r="1238" spans="2:2" x14ac:dyDescent="0.25">
      <c r="B1238" t="s">
        <v>2869</v>
      </c>
    </row>
    <row r="1239" spans="2:2" x14ac:dyDescent="0.25">
      <c r="B1239" t="s">
        <v>2275</v>
      </c>
    </row>
    <row r="1240" spans="2:2" x14ac:dyDescent="0.25">
      <c r="B1240" t="s">
        <v>2870</v>
      </c>
    </row>
    <row r="1241" spans="2:2" x14ac:dyDescent="0.25">
      <c r="B1241" t="s">
        <v>2275</v>
      </c>
    </row>
    <row r="1242" spans="2:2" x14ac:dyDescent="0.25">
      <c r="B1242" t="s">
        <v>2275</v>
      </c>
    </row>
    <row r="1243" spans="2:2" x14ac:dyDescent="0.25">
      <c r="B1243" t="s">
        <v>2871</v>
      </c>
    </row>
    <row r="1244" spans="2:2" x14ac:dyDescent="0.25">
      <c r="B1244" t="s">
        <v>2872</v>
      </c>
    </row>
    <row r="1245" spans="2:2" x14ac:dyDescent="0.25">
      <c r="B1245" t="s">
        <v>2873</v>
      </c>
    </row>
    <row r="1246" spans="2:2" x14ac:dyDescent="0.25">
      <c r="B1246" t="s">
        <v>2874</v>
      </c>
    </row>
    <row r="1247" spans="2:2" x14ac:dyDescent="0.25">
      <c r="B1247" t="s">
        <v>2275</v>
      </c>
    </row>
    <row r="1248" spans="2:2" x14ac:dyDescent="0.25">
      <c r="B1248" t="s">
        <v>2275</v>
      </c>
    </row>
    <row r="1249" spans="2:2" x14ac:dyDescent="0.25">
      <c r="B1249" t="s">
        <v>2875</v>
      </c>
    </row>
    <row r="1250" spans="2:2" x14ac:dyDescent="0.25">
      <c r="B1250" t="s">
        <v>2876</v>
      </c>
    </row>
    <row r="1251" spans="2:2" x14ac:dyDescent="0.25">
      <c r="B1251" t="s">
        <v>2877</v>
      </c>
    </row>
    <row r="1252" spans="2:2" x14ac:dyDescent="0.25">
      <c r="B1252" t="s">
        <v>2275</v>
      </c>
    </row>
    <row r="1253" spans="2:2" x14ac:dyDescent="0.25">
      <c r="B1253" t="s">
        <v>2878</v>
      </c>
    </row>
    <row r="1254" spans="2:2" x14ac:dyDescent="0.25">
      <c r="B1254" t="s">
        <v>2879</v>
      </c>
    </row>
    <row r="1255" spans="2:2" x14ac:dyDescent="0.25">
      <c r="B1255" t="s">
        <v>2880</v>
      </c>
    </row>
    <row r="1256" spans="2:2" x14ac:dyDescent="0.25">
      <c r="B1256" t="s">
        <v>2881</v>
      </c>
    </row>
    <row r="1257" spans="2:2" x14ac:dyDescent="0.25">
      <c r="B1257" t="s">
        <v>2882</v>
      </c>
    </row>
    <row r="1258" spans="2:2" x14ac:dyDescent="0.25">
      <c r="B1258" t="s">
        <v>2883</v>
      </c>
    </row>
    <row r="1259" spans="2:2" x14ac:dyDescent="0.25">
      <c r="B1259" t="s">
        <v>2275</v>
      </c>
    </row>
    <row r="1260" spans="2:2" x14ac:dyDescent="0.25">
      <c r="B1260" t="s">
        <v>2884</v>
      </c>
    </row>
    <row r="1261" spans="2:2" x14ac:dyDescent="0.25">
      <c r="B1261" t="s">
        <v>2885</v>
      </c>
    </row>
    <row r="1262" spans="2:2" x14ac:dyDescent="0.25">
      <c r="B1262" t="s">
        <v>2275</v>
      </c>
    </row>
    <row r="1263" spans="2:2" x14ac:dyDescent="0.25">
      <c r="B1263" t="s">
        <v>2886</v>
      </c>
    </row>
    <row r="1264" spans="2:2" x14ac:dyDescent="0.25">
      <c r="B1264" t="s">
        <v>2887</v>
      </c>
    </row>
    <row r="1265" spans="2:2" x14ac:dyDescent="0.25">
      <c r="B1265" t="s">
        <v>2888</v>
      </c>
    </row>
    <row r="1266" spans="2:2" x14ac:dyDescent="0.25">
      <c r="B1266" t="s">
        <v>2889</v>
      </c>
    </row>
    <row r="1267" spans="2:2" x14ac:dyDescent="0.25">
      <c r="B1267" t="s">
        <v>2890</v>
      </c>
    </row>
    <row r="1268" spans="2:2" x14ac:dyDescent="0.25">
      <c r="B1268" t="s">
        <v>2891</v>
      </c>
    </row>
    <row r="1269" spans="2:2" x14ac:dyDescent="0.25">
      <c r="B1269" t="s">
        <v>2892</v>
      </c>
    </row>
    <row r="1270" spans="2:2" x14ac:dyDescent="0.25">
      <c r="B1270" t="s">
        <v>2275</v>
      </c>
    </row>
    <row r="1271" spans="2:2" x14ac:dyDescent="0.25">
      <c r="B1271" t="s">
        <v>2893</v>
      </c>
    </row>
    <row r="1272" spans="2:2" x14ac:dyDescent="0.25">
      <c r="B1272" t="s">
        <v>2894</v>
      </c>
    </row>
    <row r="1273" spans="2:2" x14ac:dyDescent="0.25">
      <c r="B1273" t="s">
        <v>2895</v>
      </c>
    </row>
    <row r="1274" spans="2:2" x14ac:dyDescent="0.25">
      <c r="B1274" t="s">
        <v>2896</v>
      </c>
    </row>
    <row r="1275" spans="2:2" x14ac:dyDescent="0.25">
      <c r="B1275" t="s">
        <v>2897</v>
      </c>
    </row>
    <row r="1276" spans="2:2" x14ac:dyDescent="0.25">
      <c r="B1276" t="s">
        <v>2275</v>
      </c>
    </row>
    <row r="1277" spans="2:2" x14ac:dyDescent="0.25">
      <c r="B1277" t="s">
        <v>2898</v>
      </c>
    </row>
    <row r="1278" spans="2:2" x14ac:dyDescent="0.25">
      <c r="B1278" t="s">
        <v>2899</v>
      </c>
    </row>
    <row r="1279" spans="2:2" x14ac:dyDescent="0.25">
      <c r="B1279" t="s">
        <v>2900</v>
      </c>
    </row>
    <row r="1280" spans="2:2" x14ac:dyDescent="0.25">
      <c r="B1280" t="s">
        <v>2901</v>
      </c>
    </row>
    <row r="1281" spans="2:2" x14ac:dyDescent="0.25">
      <c r="B1281" t="s">
        <v>2902</v>
      </c>
    </row>
    <row r="1282" spans="2:2" x14ac:dyDescent="0.25">
      <c r="B1282" t="s">
        <v>2903</v>
      </c>
    </row>
    <row r="1283" spans="2:2" x14ac:dyDescent="0.25">
      <c r="B1283" t="s">
        <v>2904</v>
      </c>
    </row>
    <row r="1284" spans="2:2" x14ac:dyDescent="0.25">
      <c r="B1284" t="s">
        <v>2905</v>
      </c>
    </row>
    <row r="1285" spans="2:2" x14ac:dyDescent="0.25">
      <c r="B1285" t="s">
        <v>2906</v>
      </c>
    </row>
    <row r="1286" spans="2:2" x14ac:dyDescent="0.25">
      <c r="B1286" t="s">
        <v>2907</v>
      </c>
    </row>
    <row r="1287" spans="2:2" x14ac:dyDescent="0.25">
      <c r="B1287" t="s">
        <v>2275</v>
      </c>
    </row>
    <row r="1288" spans="2:2" x14ac:dyDescent="0.25">
      <c r="B1288" t="s">
        <v>2275</v>
      </c>
    </row>
    <row r="1289" spans="2:2" x14ac:dyDescent="0.25">
      <c r="B1289" t="s">
        <v>2275</v>
      </c>
    </row>
    <row r="1290" spans="2:2" x14ac:dyDescent="0.25">
      <c r="B1290" t="s">
        <v>2908</v>
      </c>
    </row>
    <row r="1291" spans="2:2" x14ac:dyDescent="0.25">
      <c r="B1291" t="s">
        <v>2275</v>
      </c>
    </row>
    <row r="1292" spans="2:2" x14ac:dyDescent="0.25">
      <c r="B1292" t="s">
        <v>2275</v>
      </c>
    </row>
    <row r="1293" spans="2:2" x14ac:dyDescent="0.25">
      <c r="B1293" t="s">
        <v>2275</v>
      </c>
    </row>
    <row r="1294" spans="2:2" x14ac:dyDescent="0.25">
      <c r="B1294" t="s">
        <v>2275</v>
      </c>
    </row>
    <row r="1295" spans="2:2" x14ac:dyDescent="0.25">
      <c r="B1295" t="s">
        <v>2275</v>
      </c>
    </row>
    <row r="1296" spans="2:2" x14ac:dyDescent="0.25">
      <c r="B1296" t="s">
        <v>2909</v>
      </c>
    </row>
    <row r="1297" spans="2:2" x14ac:dyDescent="0.25">
      <c r="B1297" t="s">
        <v>2275</v>
      </c>
    </row>
    <row r="1298" spans="2:2" x14ac:dyDescent="0.25">
      <c r="B1298" t="s">
        <v>2910</v>
      </c>
    </row>
    <row r="1299" spans="2:2" x14ac:dyDescent="0.25">
      <c r="B1299" t="s">
        <v>2911</v>
      </c>
    </row>
    <row r="1300" spans="2:2" x14ac:dyDescent="0.25">
      <c r="B1300" t="s">
        <v>2912</v>
      </c>
    </row>
    <row r="1301" spans="2:2" x14ac:dyDescent="0.25">
      <c r="B1301" t="s">
        <v>2913</v>
      </c>
    </row>
    <row r="1302" spans="2:2" x14ac:dyDescent="0.25">
      <c r="B1302" t="s">
        <v>2275</v>
      </c>
    </row>
    <row r="1303" spans="2:2" x14ac:dyDescent="0.25">
      <c r="B1303" t="s">
        <v>2914</v>
      </c>
    </row>
    <row r="1304" spans="2:2" x14ac:dyDescent="0.25">
      <c r="B1304" t="s">
        <v>2275</v>
      </c>
    </row>
    <row r="1305" spans="2:2" x14ac:dyDescent="0.25">
      <c r="B1305" t="s">
        <v>2915</v>
      </c>
    </row>
    <row r="1306" spans="2:2" x14ac:dyDescent="0.25">
      <c r="B1306" t="s">
        <v>2916</v>
      </c>
    </row>
    <row r="1307" spans="2:2" x14ac:dyDescent="0.25">
      <c r="B1307" t="s">
        <v>2917</v>
      </c>
    </row>
    <row r="1308" spans="2:2" x14ac:dyDescent="0.25">
      <c r="B1308" t="s">
        <v>2275</v>
      </c>
    </row>
    <row r="1309" spans="2:2" x14ac:dyDescent="0.25">
      <c r="B1309" t="s">
        <v>2275</v>
      </c>
    </row>
    <row r="1310" spans="2:2" x14ac:dyDescent="0.25">
      <c r="B1310" t="s">
        <v>2918</v>
      </c>
    </row>
    <row r="1311" spans="2:2" x14ac:dyDescent="0.25">
      <c r="B1311" t="s">
        <v>2919</v>
      </c>
    </row>
    <row r="1312" spans="2:2" x14ac:dyDescent="0.25">
      <c r="B1312" t="s">
        <v>2275</v>
      </c>
    </row>
    <row r="1313" spans="2:2" x14ac:dyDescent="0.25">
      <c r="B1313" t="s">
        <v>2920</v>
      </c>
    </row>
    <row r="1314" spans="2:2" x14ac:dyDescent="0.25">
      <c r="B1314" t="s">
        <v>2275</v>
      </c>
    </row>
    <row r="1315" spans="2:2" x14ac:dyDescent="0.25">
      <c r="B1315" t="s">
        <v>2921</v>
      </c>
    </row>
    <row r="1316" spans="2:2" x14ac:dyDescent="0.25">
      <c r="B1316" t="s">
        <v>2922</v>
      </c>
    </row>
    <row r="1317" spans="2:2" x14ac:dyDescent="0.25">
      <c r="B1317" t="s">
        <v>2923</v>
      </c>
    </row>
    <row r="1318" spans="2:2" x14ac:dyDescent="0.25">
      <c r="B1318" t="s">
        <v>2275</v>
      </c>
    </row>
    <row r="1319" spans="2:2" x14ac:dyDescent="0.25">
      <c r="B1319" t="s">
        <v>2275</v>
      </c>
    </row>
    <row r="1320" spans="2:2" x14ac:dyDescent="0.25">
      <c r="B1320" t="s">
        <v>2924</v>
      </c>
    </row>
    <row r="1321" spans="2:2" x14ac:dyDescent="0.25">
      <c r="B1321" t="s">
        <v>2925</v>
      </c>
    </row>
    <row r="1322" spans="2:2" x14ac:dyDescent="0.25">
      <c r="B1322" t="s">
        <v>2926</v>
      </c>
    </row>
    <row r="1323" spans="2:2" x14ac:dyDescent="0.25">
      <c r="B1323" t="s">
        <v>2927</v>
      </c>
    </row>
    <row r="1324" spans="2:2" x14ac:dyDescent="0.25">
      <c r="B1324" t="s">
        <v>2275</v>
      </c>
    </row>
    <row r="1325" spans="2:2" x14ac:dyDescent="0.25">
      <c r="B1325" t="s">
        <v>2928</v>
      </c>
    </row>
    <row r="1326" spans="2:2" x14ac:dyDescent="0.25">
      <c r="B1326" t="s">
        <v>2929</v>
      </c>
    </row>
    <row r="1327" spans="2:2" x14ac:dyDescent="0.25">
      <c r="B1327" t="s">
        <v>2275</v>
      </c>
    </row>
    <row r="1328" spans="2:2" x14ac:dyDescent="0.25">
      <c r="B1328" t="s">
        <v>2275</v>
      </c>
    </row>
    <row r="1329" spans="2:2" x14ac:dyDescent="0.25">
      <c r="B1329" t="s">
        <v>2930</v>
      </c>
    </row>
    <row r="1330" spans="2:2" x14ac:dyDescent="0.25">
      <c r="B1330" t="s">
        <v>2931</v>
      </c>
    </row>
    <row r="1331" spans="2:2" x14ac:dyDescent="0.25">
      <c r="B1331" t="s">
        <v>2275</v>
      </c>
    </row>
    <row r="1332" spans="2:2" x14ac:dyDescent="0.25">
      <c r="B1332" t="s">
        <v>2932</v>
      </c>
    </row>
    <row r="1333" spans="2:2" x14ac:dyDescent="0.25">
      <c r="B1333" t="s">
        <v>2933</v>
      </c>
    </row>
    <row r="1334" spans="2:2" x14ac:dyDescent="0.25">
      <c r="B1334" t="s">
        <v>2934</v>
      </c>
    </row>
    <row r="1335" spans="2:2" x14ac:dyDescent="0.25">
      <c r="B1335" t="s">
        <v>2935</v>
      </c>
    </row>
    <row r="1336" spans="2:2" x14ac:dyDescent="0.25">
      <c r="B1336" t="s">
        <v>2275</v>
      </c>
    </row>
    <row r="1337" spans="2:2" x14ac:dyDescent="0.25">
      <c r="B1337" t="s">
        <v>2936</v>
      </c>
    </row>
    <row r="1338" spans="2:2" x14ac:dyDescent="0.25">
      <c r="B1338" t="s">
        <v>2937</v>
      </c>
    </row>
    <row r="1339" spans="2:2" x14ac:dyDescent="0.25">
      <c r="B1339" t="s">
        <v>2938</v>
      </c>
    </row>
    <row r="1340" spans="2:2" x14ac:dyDescent="0.25">
      <c r="B1340" t="s">
        <v>2939</v>
      </c>
    </row>
    <row r="1341" spans="2:2" x14ac:dyDescent="0.25">
      <c r="B1341" t="s">
        <v>2275</v>
      </c>
    </row>
    <row r="1342" spans="2:2" x14ac:dyDescent="0.25">
      <c r="B1342" t="s">
        <v>2940</v>
      </c>
    </row>
    <row r="1343" spans="2:2" x14ac:dyDescent="0.25">
      <c r="B1343" t="s">
        <v>2941</v>
      </c>
    </row>
    <row r="1344" spans="2:2" x14ac:dyDescent="0.25">
      <c r="B1344" t="s">
        <v>2942</v>
      </c>
    </row>
    <row r="1345" spans="2:2" x14ac:dyDescent="0.25">
      <c r="B1345" t="s">
        <v>2275</v>
      </c>
    </row>
    <row r="1346" spans="2:2" x14ac:dyDescent="0.25">
      <c r="B1346" t="s">
        <v>2275</v>
      </c>
    </row>
    <row r="1347" spans="2:2" x14ac:dyDescent="0.25">
      <c r="B1347" t="s">
        <v>2943</v>
      </c>
    </row>
    <row r="1348" spans="2:2" x14ac:dyDescent="0.25">
      <c r="B1348" t="s">
        <v>2944</v>
      </c>
    </row>
    <row r="1349" spans="2:2" x14ac:dyDescent="0.25">
      <c r="B1349" t="s">
        <v>2945</v>
      </c>
    </row>
    <row r="1350" spans="2:2" x14ac:dyDescent="0.25">
      <c r="B1350" t="s">
        <v>2946</v>
      </c>
    </row>
    <row r="1351" spans="2:2" x14ac:dyDescent="0.25">
      <c r="B1351" t="s">
        <v>2947</v>
      </c>
    </row>
    <row r="1352" spans="2:2" x14ac:dyDescent="0.25">
      <c r="B1352" t="s">
        <v>2275</v>
      </c>
    </row>
    <row r="1353" spans="2:2" x14ac:dyDescent="0.25">
      <c r="B1353" t="s">
        <v>2948</v>
      </c>
    </row>
    <row r="1354" spans="2:2" x14ac:dyDescent="0.25">
      <c r="B1354" t="s">
        <v>2948</v>
      </c>
    </row>
    <row r="1355" spans="2:2" x14ac:dyDescent="0.25">
      <c r="B1355" t="s">
        <v>2949</v>
      </c>
    </row>
    <row r="1356" spans="2:2" x14ac:dyDescent="0.25">
      <c r="B1356" t="s">
        <v>2275</v>
      </c>
    </row>
    <row r="1357" spans="2:2" x14ac:dyDescent="0.25">
      <c r="B1357" t="s">
        <v>2950</v>
      </c>
    </row>
    <row r="1358" spans="2:2" x14ac:dyDescent="0.25">
      <c r="B1358" t="s">
        <v>2951</v>
      </c>
    </row>
    <row r="1359" spans="2:2" x14ac:dyDescent="0.25">
      <c r="B1359" t="s">
        <v>2952</v>
      </c>
    </row>
    <row r="1360" spans="2:2" x14ac:dyDescent="0.25">
      <c r="B1360" t="s">
        <v>2953</v>
      </c>
    </row>
    <row r="1361" spans="2:2" x14ac:dyDescent="0.25">
      <c r="B1361" t="s">
        <v>2954</v>
      </c>
    </row>
    <row r="1362" spans="2:2" x14ac:dyDescent="0.25">
      <c r="B1362" t="s">
        <v>2275</v>
      </c>
    </row>
    <row r="1363" spans="2:2" x14ac:dyDescent="0.25">
      <c r="B1363" t="s">
        <v>2275</v>
      </c>
    </row>
    <row r="1364" spans="2:2" x14ac:dyDescent="0.25">
      <c r="B1364" t="s">
        <v>2955</v>
      </c>
    </row>
    <row r="1365" spans="2:2" x14ac:dyDescent="0.25">
      <c r="B1365" t="s">
        <v>2275</v>
      </c>
    </row>
    <row r="1366" spans="2:2" x14ac:dyDescent="0.25">
      <c r="B1366" t="s">
        <v>2956</v>
      </c>
    </row>
    <row r="1367" spans="2:2" x14ac:dyDescent="0.25">
      <c r="B1367" t="s">
        <v>2957</v>
      </c>
    </row>
    <row r="1368" spans="2:2" x14ac:dyDescent="0.25">
      <c r="B1368" t="s">
        <v>2275</v>
      </c>
    </row>
    <row r="1369" spans="2:2" x14ac:dyDescent="0.25">
      <c r="B1369" t="s">
        <v>2958</v>
      </c>
    </row>
    <row r="1370" spans="2:2" x14ac:dyDescent="0.25">
      <c r="B1370" t="s">
        <v>2959</v>
      </c>
    </row>
    <row r="1371" spans="2:2" x14ac:dyDescent="0.25">
      <c r="B1371" t="s">
        <v>2275</v>
      </c>
    </row>
    <row r="1372" spans="2:2" x14ac:dyDescent="0.25">
      <c r="B1372" t="s">
        <v>2960</v>
      </c>
    </row>
    <row r="1373" spans="2:2" x14ac:dyDescent="0.25">
      <c r="B1373" t="s">
        <v>2961</v>
      </c>
    </row>
    <row r="1374" spans="2:2" x14ac:dyDescent="0.25">
      <c r="B1374" t="s">
        <v>2962</v>
      </c>
    </row>
    <row r="1375" spans="2:2" x14ac:dyDescent="0.25">
      <c r="B1375" t="s">
        <v>2275</v>
      </c>
    </row>
    <row r="1376" spans="2:2" x14ac:dyDescent="0.25">
      <c r="B1376" t="s">
        <v>2963</v>
      </c>
    </row>
    <row r="1377" spans="2:2" x14ac:dyDescent="0.25">
      <c r="B1377" t="s">
        <v>2964</v>
      </c>
    </row>
    <row r="1378" spans="2:2" x14ac:dyDescent="0.25">
      <c r="B1378" t="s">
        <v>2965</v>
      </c>
    </row>
    <row r="1379" spans="2:2" x14ac:dyDescent="0.25">
      <c r="B1379" t="s">
        <v>2966</v>
      </c>
    </row>
    <row r="1380" spans="2:2" x14ac:dyDescent="0.25">
      <c r="B1380" t="s">
        <v>2967</v>
      </c>
    </row>
    <row r="1381" spans="2:2" x14ac:dyDescent="0.25">
      <c r="B1381" t="s">
        <v>2275</v>
      </c>
    </row>
    <row r="1382" spans="2:2" x14ac:dyDescent="0.25">
      <c r="B1382" t="s">
        <v>2968</v>
      </c>
    </row>
    <row r="1383" spans="2:2" x14ac:dyDescent="0.25">
      <c r="B1383" t="s">
        <v>2275</v>
      </c>
    </row>
    <row r="1384" spans="2:2" x14ac:dyDescent="0.25">
      <c r="B1384" t="s">
        <v>2969</v>
      </c>
    </row>
    <row r="1385" spans="2:2" x14ac:dyDescent="0.25">
      <c r="B1385" t="s">
        <v>2970</v>
      </c>
    </row>
    <row r="1386" spans="2:2" x14ac:dyDescent="0.25">
      <c r="B1386" t="s">
        <v>2275</v>
      </c>
    </row>
    <row r="1387" spans="2:2" x14ac:dyDescent="0.25">
      <c r="B1387" t="s">
        <v>1996</v>
      </c>
    </row>
    <row r="1388" spans="2:2" x14ac:dyDescent="0.25">
      <c r="B1388" t="s">
        <v>2275</v>
      </c>
    </row>
    <row r="1389" spans="2:2" x14ac:dyDescent="0.25">
      <c r="B1389" t="s">
        <v>2971</v>
      </c>
    </row>
    <row r="1390" spans="2:2" x14ac:dyDescent="0.25">
      <c r="B1390" t="s">
        <v>2275</v>
      </c>
    </row>
    <row r="1391" spans="2:2" x14ac:dyDescent="0.25">
      <c r="B1391" t="s">
        <v>2972</v>
      </c>
    </row>
    <row r="1392" spans="2:2" x14ac:dyDescent="0.25">
      <c r="B1392" t="s">
        <v>2973</v>
      </c>
    </row>
    <row r="1393" spans="2:2" x14ac:dyDescent="0.25">
      <c r="B1393" t="s">
        <v>2974</v>
      </c>
    </row>
    <row r="1394" spans="2:2" x14ac:dyDescent="0.25">
      <c r="B1394" t="s">
        <v>2975</v>
      </c>
    </row>
    <row r="1395" spans="2:2" x14ac:dyDescent="0.25">
      <c r="B1395" t="s">
        <v>2976</v>
      </c>
    </row>
    <row r="1396" spans="2:2" x14ac:dyDescent="0.25">
      <c r="B1396" t="s">
        <v>1996</v>
      </c>
    </row>
    <row r="1397" spans="2:2" x14ac:dyDescent="0.25">
      <c r="B1397" t="s">
        <v>2977</v>
      </c>
    </row>
    <row r="1398" spans="2:2" x14ac:dyDescent="0.25">
      <c r="B1398" t="s">
        <v>2275</v>
      </c>
    </row>
    <row r="1399" spans="2:2" x14ac:dyDescent="0.25">
      <c r="B1399" t="s">
        <v>2275</v>
      </c>
    </row>
    <row r="1400" spans="2:2" x14ac:dyDescent="0.25">
      <c r="B1400" t="s">
        <v>2275</v>
      </c>
    </row>
    <row r="1401" spans="2:2" x14ac:dyDescent="0.25">
      <c r="B1401" t="s">
        <v>2978</v>
      </c>
    </row>
    <row r="1402" spans="2:2" x14ac:dyDescent="0.25">
      <c r="B1402" t="s">
        <v>2979</v>
      </c>
    </row>
    <row r="1403" spans="2:2" x14ac:dyDescent="0.25">
      <c r="B1403" t="s">
        <v>2980</v>
      </c>
    </row>
    <row r="1404" spans="2:2" x14ac:dyDescent="0.25">
      <c r="B1404" t="s">
        <v>2981</v>
      </c>
    </row>
    <row r="1405" spans="2:2" x14ac:dyDescent="0.25">
      <c r="B1405" t="s">
        <v>2982</v>
      </c>
    </row>
    <row r="1406" spans="2:2" x14ac:dyDescent="0.25">
      <c r="B1406" t="s">
        <v>2983</v>
      </c>
    </row>
    <row r="1407" spans="2:2" x14ac:dyDescent="0.25">
      <c r="B1407" t="s">
        <v>2984</v>
      </c>
    </row>
    <row r="1408" spans="2:2" x14ac:dyDescent="0.25">
      <c r="B1408" t="s">
        <v>2985</v>
      </c>
    </row>
    <row r="1409" spans="2:2" x14ac:dyDescent="0.25">
      <c r="B1409" t="s">
        <v>2986</v>
      </c>
    </row>
    <row r="1410" spans="2:2" x14ac:dyDescent="0.25">
      <c r="B1410" t="s">
        <v>2987</v>
      </c>
    </row>
    <row r="1411" spans="2:2" x14ac:dyDescent="0.25">
      <c r="B1411" t="s">
        <v>2988</v>
      </c>
    </row>
    <row r="1412" spans="2:2" x14ac:dyDescent="0.25">
      <c r="B1412" t="s">
        <v>2989</v>
      </c>
    </row>
    <row r="1413" spans="2:2" x14ac:dyDescent="0.25">
      <c r="B1413" t="s">
        <v>2990</v>
      </c>
    </row>
    <row r="1414" spans="2:2" x14ac:dyDescent="0.25">
      <c r="B1414" t="s">
        <v>2991</v>
      </c>
    </row>
    <row r="1415" spans="2:2" x14ac:dyDescent="0.25">
      <c r="B1415" t="s">
        <v>2992</v>
      </c>
    </row>
    <row r="1416" spans="2:2" x14ac:dyDescent="0.25">
      <c r="B1416" t="s">
        <v>2993</v>
      </c>
    </row>
    <row r="1417" spans="2:2" x14ac:dyDescent="0.25">
      <c r="B1417" t="s">
        <v>2994</v>
      </c>
    </row>
    <row r="1418" spans="2:2" x14ac:dyDescent="0.25">
      <c r="B1418" t="s">
        <v>2275</v>
      </c>
    </row>
    <row r="1419" spans="2:2" x14ac:dyDescent="0.25">
      <c r="B1419" t="s">
        <v>2275</v>
      </c>
    </row>
    <row r="1420" spans="2:2" x14ac:dyDescent="0.25">
      <c r="B1420" t="s">
        <v>2275</v>
      </c>
    </row>
    <row r="1421" spans="2:2" x14ac:dyDescent="0.25">
      <c r="B1421" t="s">
        <v>2995</v>
      </c>
    </row>
    <row r="1422" spans="2:2" x14ac:dyDescent="0.25">
      <c r="B1422" t="s">
        <v>2275</v>
      </c>
    </row>
    <row r="1423" spans="2:2" x14ac:dyDescent="0.25">
      <c r="B1423" t="s">
        <v>2275</v>
      </c>
    </row>
    <row r="1424" spans="2:2" x14ac:dyDescent="0.25">
      <c r="B1424" t="s">
        <v>2996</v>
      </c>
    </row>
    <row r="1425" spans="2:2" x14ac:dyDescent="0.25">
      <c r="B1425" t="s">
        <v>2997</v>
      </c>
    </row>
    <row r="1426" spans="2:2" x14ac:dyDescent="0.25">
      <c r="B1426" t="s">
        <v>2998</v>
      </c>
    </row>
    <row r="1427" spans="2:2" x14ac:dyDescent="0.25">
      <c r="B1427" t="s">
        <v>2999</v>
      </c>
    </row>
    <row r="1428" spans="2:2" x14ac:dyDescent="0.25">
      <c r="B1428" t="s">
        <v>3000</v>
      </c>
    </row>
    <row r="1429" spans="2:2" x14ac:dyDescent="0.25">
      <c r="B1429" t="s">
        <v>3001</v>
      </c>
    </row>
    <row r="1430" spans="2:2" x14ac:dyDescent="0.25">
      <c r="B1430" t="s">
        <v>2275</v>
      </c>
    </row>
    <row r="1431" spans="2:2" x14ac:dyDescent="0.25">
      <c r="B1431" t="s">
        <v>3002</v>
      </c>
    </row>
    <row r="1432" spans="2:2" x14ac:dyDescent="0.25">
      <c r="B1432" t="s">
        <v>2275</v>
      </c>
    </row>
    <row r="1433" spans="2:2" x14ac:dyDescent="0.25">
      <c r="B1433" t="s">
        <v>2275</v>
      </c>
    </row>
    <row r="1434" spans="2:2" x14ac:dyDescent="0.25">
      <c r="B1434" t="s">
        <v>3003</v>
      </c>
    </row>
    <row r="1435" spans="2:2" x14ac:dyDescent="0.25">
      <c r="B1435" t="s">
        <v>3004</v>
      </c>
    </row>
    <row r="1436" spans="2:2" x14ac:dyDescent="0.25">
      <c r="B1436" t="s">
        <v>3005</v>
      </c>
    </row>
    <row r="1437" spans="2:2" x14ac:dyDescent="0.25">
      <c r="B1437" t="s">
        <v>2275</v>
      </c>
    </row>
    <row r="1438" spans="2:2" x14ac:dyDescent="0.25">
      <c r="B1438" t="s">
        <v>3006</v>
      </c>
    </row>
    <row r="1439" spans="2:2" x14ac:dyDescent="0.25">
      <c r="B1439" t="s">
        <v>3007</v>
      </c>
    </row>
    <row r="1440" spans="2:2" x14ac:dyDescent="0.25">
      <c r="B1440" t="s">
        <v>3008</v>
      </c>
    </row>
    <row r="1441" spans="2:2" x14ac:dyDescent="0.25">
      <c r="B1441" t="s">
        <v>3009</v>
      </c>
    </row>
    <row r="1442" spans="2:2" x14ac:dyDescent="0.25">
      <c r="B1442" t="s">
        <v>3010</v>
      </c>
    </row>
    <row r="1443" spans="2:2" x14ac:dyDescent="0.25">
      <c r="B1443" t="s">
        <v>2275</v>
      </c>
    </row>
    <row r="1444" spans="2:2" x14ac:dyDescent="0.25">
      <c r="B1444" t="s">
        <v>2275</v>
      </c>
    </row>
    <row r="1445" spans="2:2" x14ac:dyDescent="0.25">
      <c r="B1445" t="s">
        <v>3011</v>
      </c>
    </row>
    <row r="1446" spans="2:2" x14ac:dyDescent="0.25">
      <c r="B1446" t="s">
        <v>2449</v>
      </c>
    </row>
    <row r="1447" spans="2:2" x14ac:dyDescent="0.25">
      <c r="B1447" t="s">
        <v>3012</v>
      </c>
    </row>
    <row r="1448" spans="2:2" x14ac:dyDescent="0.25">
      <c r="B1448" t="s">
        <v>3013</v>
      </c>
    </row>
    <row r="1449" spans="2:2" x14ac:dyDescent="0.25">
      <c r="B1449" t="s">
        <v>3014</v>
      </c>
    </row>
    <row r="1450" spans="2:2" x14ac:dyDescent="0.25">
      <c r="B1450" t="s">
        <v>2275</v>
      </c>
    </row>
    <row r="1451" spans="2:2" x14ac:dyDescent="0.25">
      <c r="B1451" t="s">
        <v>3015</v>
      </c>
    </row>
    <row r="1452" spans="2:2" x14ac:dyDescent="0.25">
      <c r="B1452" t="s">
        <v>2275</v>
      </c>
    </row>
    <row r="1453" spans="2:2" x14ac:dyDescent="0.25">
      <c r="B1453" t="s">
        <v>2275</v>
      </c>
    </row>
    <row r="1454" spans="2:2" x14ac:dyDescent="0.25">
      <c r="B1454" t="s">
        <v>3016</v>
      </c>
    </row>
    <row r="1455" spans="2:2" x14ac:dyDescent="0.25">
      <c r="B1455" t="s">
        <v>2275</v>
      </c>
    </row>
    <row r="1456" spans="2:2" x14ac:dyDescent="0.25">
      <c r="B1456" t="s">
        <v>2275</v>
      </c>
    </row>
    <row r="1457" spans="2:2" x14ac:dyDescent="0.25">
      <c r="B1457" t="s">
        <v>3017</v>
      </c>
    </row>
    <row r="1458" spans="2:2" x14ac:dyDescent="0.25">
      <c r="B1458" t="s">
        <v>3018</v>
      </c>
    </row>
    <row r="1459" spans="2:2" x14ac:dyDescent="0.25">
      <c r="B1459" t="s">
        <v>3019</v>
      </c>
    </row>
    <row r="1460" spans="2:2" x14ac:dyDescent="0.25">
      <c r="B1460" t="s">
        <v>3020</v>
      </c>
    </row>
    <row r="1461" spans="2:2" x14ac:dyDescent="0.25">
      <c r="B1461" t="s">
        <v>1967</v>
      </c>
    </row>
    <row r="1462" spans="2:2" x14ac:dyDescent="0.25">
      <c r="B1462" t="s">
        <v>3021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READ_ME</vt:lpstr>
      <vt:lpstr>Churches</vt:lpstr>
      <vt:lpstr>Schools</vt:lpstr>
      <vt:lpstr>Configuration</vt:lpstr>
      <vt:lpstr>OsmCoordinates</vt:lpstr>
      <vt:lpstr>CoordsFromClickingOnMap</vt:lpstr>
      <vt:lpstr>FuzzyLookup_AddIn_Undo_Sheet</vt:lpstr>
      <vt:lpstr>AdditionalFieldsChurches</vt:lpstr>
      <vt:lpstr>AdditionalFieldsSchools</vt:lpstr>
      <vt:lpstr>ChurchmanshipOptions</vt:lpstr>
      <vt:lpstr>DateLastUpdated</vt:lpstr>
      <vt:lpstr>GoogleStreetViewLinkFormat</vt:lpstr>
      <vt:lpstr>LinkDetails</vt:lpstr>
      <vt:lpstr>PopupDetailsChurches</vt:lpstr>
      <vt:lpstr>PopUpDetailsSchools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2021-01-13T10:09:29Z</dcterms:modified>
</cp:coreProperties>
</file>